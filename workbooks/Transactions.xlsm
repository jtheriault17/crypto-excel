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fb9da95441de1b7/GitHub/crypto-excel/workbooks/"/>
    </mc:Choice>
  </mc:AlternateContent>
  <xr:revisionPtr revIDLastSave="0" documentId="11_9A902E1D9E343831B3DE36414EB2FA5701B9ED3A" xr6:coauthVersionLast="47" xr6:coauthVersionMax="47" xr10:uidLastSave="{00000000-0000-0000-0000-000000000000}"/>
  <bookViews>
    <workbookView xWindow="0" yWindow="500" windowWidth="16800" windowHeight="20500" activeTab="4" xr2:uid="{00000000-000D-0000-FFFF-FFFF00000000}"/>
  </bookViews>
  <sheets>
    <sheet name="Portfolio" sheetId="1" r:id="rId1"/>
    <sheet name="Transactions" sheetId="2" r:id="rId2"/>
    <sheet name="Currency Transactions" sheetId="3" r:id="rId3"/>
    <sheet name="Currency Data" sheetId="4" r:id="rId4"/>
    <sheet name="Total Data" sheetId="5" r:id="rId5"/>
  </sheets>
  <definedNames>
    <definedName name="_xlnm._FilterDatabase" localSheetId="2" hidden="1">'Currency Transactions'!$A$6:$M$30</definedName>
    <definedName name="_xlnm._FilterDatabase" localSheetId="1" hidden="1">Transactions!$A$1:$M$355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CHART_RANGE">Portfolio!$N$11</definedName>
    <definedName name="COST_BASIS_BOUGHT">OFFSET('Currency Data'!$E$2, 0, 0, COUNTA('Currency Data'!$A:$A) - 1, 1)</definedName>
    <definedName name="COST_BASIS_DATE">OFFSET('Total Data'!$A$6, 0, 0, COUNTA('Total Data'!$A:$A) - 2, 1)</definedName>
    <definedName name="COST_BASIS_SOLD">OFFSET('Currency Data'!$F$2, 0, 0, COUNTA('Currency Data'!$A:$A) - 1, 1)</definedName>
    <definedName name="CURRENCY">OFFSET('Currency Data'!$A$2, 0, 0, COUNTA('Currency Data'!$A:$A) - 1, 1)</definedName>
    <definedName name="CURRENT_COST_BASIS">OFFSET('Currency Data'!$G$2, 0, 0, COUNTA('Currency Data'!$A:$A) - 1, 1)</definedName>
    <definedName name="CURRENT_QUANTITY">OFFSET('Currency Data'!$D$2, 0, 0, COUNTA('Currency Data'!$A:$A) - 1, 1)</definedName>
    <definedName name="DATE">OFFSET(Transactions!$A$2, 0, 0, COUNTA(Transactions!$A:$A) - 1, 1)</definedName>
    <definedName name="FEE_COST_BASIS">OFFSET(Transactions!$K$2, 0, 0, COUNTA(Transactions!$A:$A) - 1, 1)</definedName>
    <definedName name="FEE_CURRENCY">OFFSET(Transactions!$J$2, 0, 0, COUNTA(Transactions!$A:$A) - 1, 1)</definedName>
    <definedName name="FEE_QUANTITY">OFFSET(Transactions!$I$2, 0, 0, COUNTA(Transactions!$A:$A) - 1, 1)</definedName>
    <definedName name="FEE_REALIZED_RETURN">OFFSET(Transactions!$M$2, 0, 0, COUNTA(Transactions!$A:$A) - 1, 1)</definedName>
    <definedName name="PORTFOLIO_DATE">OFFSET('Total Data'!$F$6, 0, 0, COUNTA('Total Data'!$F:$F) - 2, 1)</definedName>
    <definedName name="QUANTITY_BOUGHT">OFFSET('Currency Data'!$B$2, 0, 0, COUNTA('Currency Data'!$A:$A) - 1, 1)</definedName>
    <definedName name="QUANTITY_SOLD">OFFSET('Currency Data'!$C$2, 0, 0, COUNTA('Currency Data'!$A:$A) - 1, 1)</definedName>
    <definedName name="REALIZED_RETURN">OFFSET(Transactions!$L$2, 0, 0, COUNTA(Transactions!$A:$A) - 1, 1)</definedName>
    <definedName name="RECEIVED_COST_BASIS">OFFSET(Transactions!$E$2, 0, 0, COUNTA(Transactions!$A:$A) - 1, 1)</definedName>
    <definedName name="RECEIVED_CURRENCY">OFFSET(Transactions!$D$2, 0, 0, COUNTA(Transactions!$A:$A) - 1, 1)</definedName>
    <definedName name="RECEIVED_QUANTITY">OFFSET(Transactions!$C$2, 0, 0, COUNTA(Transactions!$A:$A) - 1, 1)</definedName>
    <definedName name="RETURN">OFFSET('Currency Data'!$I$2, 0, 0, COUNTA('Currency Data'!$A:$A) - 1, 1)</definedName>
    <definedName name="SENT_COST_BASIS">OFFSET(Transactions!$H$2, 0, 0, COUNTA(Transactions!$A:$A) - 1, 1)</definedName>
    <definedName name="SENT_CURRENCY">OFFSET(Transactions!$G$2, 0, 0, COUNTA(Transactions!$A:$A) - 1, 1)</definedName>
    <definedName name="SENT_QUANTITY">OFFSET(Transactions!$F$2, 0, 0, COUNTA(Transactions!$A:$A) - 1, 1)</definedName>
    <definedName name="TOTAL_COST_BASIS">OFFSET('Total Data'!$B$6, 0, 0, COUNTA('Total Data'!$A:$A) - 2, 1)</definedName>
    <definedName name="TYPE">OFFSET(Transactions!$B$2, 0, 0, COUNTA(Transactions!$A:$A) - 1, 1)</definedName>
  </definedNames>
  <calcPr calcId="191029" iterate="1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5" l="1" a="1"/>
  <c r="A370" i="5" s="1"/>
  <c r="A109" i="5" l="1"/>
  <c r="A196" i="5"/>
  <c r="A219" i="5"/>
  <c r="A237" i="5"/>
  <c r="A260" i="5"/>
  <c r="A283" i="5"/>
  <c r="A301" i="5"/>
  <c r="A324" i="5"/>
  <c r="A347" i="5"/>
  <c r="A348" i="5"/>
  <c r="A70" i="5"/>
  <c r="A173" i="5"/>
  <c r="A35" i="5"/>
  <c r="A75" i="5"/>
  <c r="A115" i="5"/>
  <c r="A156" i="5"/>
  <c r="A197" i="5"/>
  <c r="A13" i="5"/>
  <c r="A349" i="5"/>
  <c r="A29" i="5"/>
  <c r="A155" i="5"/>
  <c r="A12" i="5"/>
  <c r="A53" i="5"/>
  <c r="A92" i="5"/>
  <c r="A133" i="5"/>
  <c r="A179" i="5"/>
  <c r="A220" i="5"/>
  <c r="A243" i="5"/>
  <c r="A261" i="5"/>
  <c r="A284" i="5"/>
  <c r="A307" i="5"/>
  <c r="A325" i="5"/>
  <c r="A36" i="5"/>
  <c r="A59" i="5"/>
  <c r="A76" i="5"/>
  <c r="A93" i="5"/>
  <c r="A116" i="5"/>
  <c r="A139" i="5"/>
  <c r="A157" i="5"/>
  <c r="A180" i="5"/>
  <c r="A203" i="5"/>
  <c r="A221" i="5"/>
  <c r="A244" i="5"/>
  <c r="A267" i="5"/>
  <c r="A285" i="5"/>
  <c r="A308" i="5"/>
  <c r="A331" i="5"/>
  <c r="A19" i="5"/>
  <c r="A37" i="5"/>
  <c r="A60" i="5"/>
  <c r="A77" i="5"/>
  <c r="A99" i="5"/>
  <c r="A117" i="5"/>
  <c r="A140" i="5"/>
  <c r="A163" i="5"/>
  <c r="A181" i="5"/>
  <c r="A204" i="5"/>
  <c r="A227" i="5"/>
  <c r="A245" i="5"/>
  <c r="A268" i="5"/>
  <c r="A291" i="5"/>
  <c r="A309" i="5"/>
  <c r="A332" i="5"/>
  <c r="A355" i="5"/>
  <c r="A52" i="5"/>
  <c r="A100" i="5"/>
  <c r="A205" i="5"/>
  <c r="A356" i="5"/>
  <c r="A91" i="5"/>
  <c r="A43" i="5"/>
  <c r="A78" i="5"/>
  <c r="A141" i="5"/>
  <c r="A187" i="5"/>
  <c r="A21" i="5"/>
  <c r="A357" i="5"/>
  <c r="A11" i="5"/>
  <c r="A132" i="5"/>
  <c r="A20" i="5"/>
  <c r="A61" i="5"/>
  <c r="A123" i="5"/>
  <c r="A164" i="5"/>
  <c r="A228" i="5"/>
  <c r="A251" i="5"/>
  <c r="A269" i="5"/>
  <c r="A292" i="5"/>
  <c r="A315" i="5"/>
  <c r="A333" i="5"/>
  <c r="A44" i="5"/>
  <c r="A67" i="5"/>
  <c r="A83" i="5"/>
  <c r="A101" i="5"/>
  <c r="A124" i="5"/>
  <c r="A147" i="5"/>
  <c r="A165" i="5"/>
  <c r="A188" i="5"/>
  <c r="A211" i="5"/>
  <c r="A229" i="5"/>
  <c r="A252" i="5"/>
  <c r="A275" i="5"/>
  <c r="A293" i="5"/>
  <c r="A316" i="5"/>
  <c r="A339" i="5"/>
  <c r="A6" i="5"/>
  <c r="A27" i="5"/>
  <c r="A45" i="5"/>
  <c r="A68" i="5"/>
  <c r="A84" i="5"/>
  <c r="A107" i="5"/>
  <c r="A125" i="5"/>
  <c r="A148" i="5"/>
  <c r="A171" i="5"/>
  <c r="A189" i="5"/>
  <c r="A212" i="5"/>
  <c r="A235" i="5"/>
  <c r="A253" i="5"/>
  <c r="A276" i="5"/>
  <c r="A299" i="5"/>
  <c r="A317" i="5"/>
  <c r="A340" i="5"/>
  <c r="A363" i="5"/>
  <c r="A28" i="5"/>
  <c r="A51" i="5"/>
  <c r="A69" i="5"/>
  <c r="A85" i="5"/>
  <c r="A108" i="5"/>
  <c r="A131" i="5"/>
  <c r="A149" i="5"/>
  <c r="A172" i="5"/>
  <c r="A195" i="5"/>
  <c r="A213" i="5"/>
  <c r="A236" i="5"/>
  <c r="A259" i="5"/>
  <c r="A277" i="5"/>
  <c r="A300" i="5"/>
  <c r="A323" i="5"/>
  <c r="A341" i="5"/>
  <c r="A364" i="5"/>
  <c r="A365" i="5"/>
  <c r="A366" i="5"/>
  <c r="A22" i="5"/>
  <c r="A38" i="5"/>
  <c r="A54" i="5"/>
  <c r="A86" i="5"/>
  <c r="A118" i="5"/>
  <c r="A150" i="5"/>
  <c r="A182" i="5"/>
  <c r="A214" i="5"/>
  <c r="A246" i="5"/>
  <c r="A278" i="5"/>
  <c r="A310" i="5"/>
  <c r="A350" i="5"/>
  <c r="A31" i="5"/>
  <c r="A87" i="5"/>
  <c r="A119" i="5"/>
  <c r="A159" i="5"/>
  <c r="A191" i="5"/>
  <c r="A223" i="5"/>
  <c r="A263" i="5"/>
  <c r="A311" i="5"/>
  <c r="A367" i="5"/>
  <c r="A14" i="5"/>
  <c r="A30" i="5"/>
  <c r="A46" i="5"/>
  <c r="A62" i="5"/>
  <c r="A94" i="5"/>
  <c r="A134" i="5"/>
  <c r="A174" i="5"/>
  <c r="A206" i="5"/>
  <c r="A238" i="5"/>
  <c r="A270" i="5"/>
  <c r="A302" i="5"/>
  <c r="A334" i="5"/>
  <c r="A7" i="5"/>
  <c r="A47" i="5"/>
  <c r="A79" i="5"/>
  <c r="A111" i="5"/>
  <c r="A151" i="5"/>
  <c r="A199" i="5"/>
  <c r="A247" i="5"/>
  <c r="A343" i="5"/>
  <c r="A16" i="5"/>
  <c r="A88" i="5"/>
  <c r="A120" i="5"/>
  <c r="A160" i="5"/>
  <c r="A192" i="5"/>
  <c r="A232" i="5"/>
  <c r="A256" i="5"/>
  <c r="A288" i="5"/>
  <c r="A304" i="5"/>
  <c r="A312" i="5"/>
  <c r="A328" i="5"/>
  <c r="A344" i="5"/>
  <c r="A352" i="5"/>
  <c r="A360" i="5"/>
  <c r="A368" i="5"/>
  <c r="A110" i="5"/>
  <c r="A142" i="5"/>
  <c r="A166" i="5"/>
  <c r="A198" i="5"/>
  <c r="A230" i="5"/>
  <c r="A262" i="5"/>
  <c r="A294" i="5"/>
  <c r="A326" i="5"/>
  <c r="A342" i="5"/>
  <c r="A23" i="5"/>
  <c r="A55" i="5"/>
  <c r="A71" i="5"/>
  <c r="A103" i="5"/>
  <c r="A135" i="5"/>
  <c r="A167" i="5"/>
  <c r="A183" i="5"/>
  <c r="A215" i="5"/>
  <c r="A239" i="5"/>
  <c r="A271" i="5"/>
  <c r="A287" i="5"/>
  <c r="A303" i="5"/>
  <c r="A327" i="5"/>
  <c r="A351" i="5"/>
  <c r="A8" i="5"/>
  <c r="A32" i="5"/>
  <c r="A48" i="5"/>
  <c r="A64" i="5"/>
  <c r="A80" i="5"/>
  <c r="A104" i="5"/>
  <c r="A128" i="5"/>
  <c r="A144" i="5"/>
  <c r="A168" i="5"/>
  <c r="A184" i="5"/>
  <c r="A208" i="5"/>
  <c r="A224" i="5"/>
  <c r="A248" i="5"/>
  <c r="A272" i="5"/>
  <c r="A296" i="5"/>
  <c r="A336" i="5"/>
  <c r="A9" i="5"/>
  <c r="A17" i="5"/>
  <c r="A25" i="5"/>
  <c r="A33" i="5"/>
  <c r="A41" i="5"/>
  <c r="A49" i="5"/>
  <c r="A57" i="5"/>
  <c r="A65" i="5"/>
  <c r="A73" i="5"/>
  <c r="A81" i="5"/>
  <c r="A89" i="5"/>
  <c r="A97" i="5"/>
  <c r="A105" i="5"/>
  <c r="A113" i="5"/>
  <c r="A121" i="5"/>
  <c r="A129" i="5"/>
  <c r="A137" i="5"/>
  <c r="A145" i="5"/>
  <c r="A153" i="5"/>
  <c r="A161" i="5"/>
  <c r="A169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369" i="5"/>
  <c r="A102" i="5"/>
  <c r="A126" i="5"/>
  <c r="A158" i="5"/>
  <c r="A190" i="5"/>
  <c r="A222" i="5"/>
  <c r="A254" i="5"/>
  <c r="A286" i="5"/>
  <c r="A318" i="5"/>
  <c r="A358" i="5"/>
  <c r="A15" i="5"/>
  <c r="A39" i="5"/>
  <c r="A63" i="5"/>
  <c r="A95" i="5"/>
  <c r="A127" i="5"/>
  <c r="A143" i="5"/>
  <c r="A175" i="5"/>
  <c r="A207" i="5"/>
  <c r="A231" i="5"/>
  <c r="A255" i="5"/>
  <c r="A279" i="5"/>
  <c r="A295" i="5"/>
  <c r="A319" i="5"/>
  <c r="A335" i="5"/>
  <c r="A359" i="5"/>
  <c r="A24" i="5"/>
  <c r="A40" i="5"/>
  <c r="A56" i="5"/>
  <c r="A72" i="5"/>
  <c r="A96" i="5"/>
  <c r="A112" i="5"/>
  <c r="A136" i="5"/>
  <c r="A152" i="5"/>
  <c r="A176" i="5"/>
  <c r="A200" i="5"/>
  <c r="A216" i="5"/>
  <c r="A240" i="5"/>
  <c r="A264" i="5"/>
  <c r="A280" i="5"/>
  <c r="A320" i="5"/>
  <c r="A10" i="5"/>
  <c r="A18" i="5"/>
  <c r="A26" i="5"/>
  <c r="A34" i="5"/>
  <c r="A42" i="5"/>
  <c r="A50" i="5"/>
  <c r="A58" i="5"/>
  <c r="A66" i="5"/>
  <c r="A74" i="5"/>
  <c r="A82" i="5"/>
  <c r="A90" i="5"/>
  <c r="A98" i="5"/>
  <c r="A106" i="5"/>
  <c r="A114" i="5"/>
  <c r="A122" i="5"/>
  <c r="A130" i="5"/>
  <c r="A138" i="5"/>
  <c r="A146" i="5"/>
  <c r="A154" i="5"/>
  <c r="A162" i="5"/>
  <c r="A170" i="5"/>
  <c r="A178" i="5"/>
  <c r="A186" i="5"/>
  <c r="A194" i="5"/>
  <c r="A202" i="5"/>
  <c r="A210" i="5"/>
  <c r="A218" i="5"/>
  <c r="A226" i="5"/>
  <c r="A234" i="5"/>
  <c r="A242" i="5"/>
  <c r="A250" i="5"/>
  <c r="A258" i="5"/>
  <c r="A266" i="5"/>
  <c r="A274" i="5"/>
  <c r="A282" i="5"/>
  <c r="A290" i="5"/>
  <c r="A298" i="5"/>
  <c r="A306" i="5"/>
  <c r="A314" i="5"/>
  <c r="A322" i="5"/>
  <c r="A330" i="5"/>
  <c r="A338" i="5"/>
  <c r="A346" i="5"/>
  <c r="A354" i="5"/>
  <c r="A362" i="5"/>
</calcChain>
</file>

<file path=xl/sharedStrings.xml><?xml version="1.0" encoding="utf-8"?>
<sst xmlns="http://schemas.openxmlformats.org/spreadsheetml/2006/main" count="2800" uniqueCount="458">
  <si>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</si>
  <si>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</si>
  <si>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</si>
  <si>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</si>
  <si>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</si>
  <si>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</si>
  <si>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</si>
  <si>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</si>
  <si>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</si>
  <si>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</si>
  <si>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</si>
  <si>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</si>
  <si>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Name: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</si>
  <si>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</si>
  <si>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</si>
  <si>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</si>
  <si>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</si>
  <si>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</si>
  <si>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</si>
  <si>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</si>
  <si>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</si>
  <si>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</si>
  <si>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</si>
  <si>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</si>
  <si>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</si>
  <si>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</si>
  <si>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</si>
  <si>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</si>
  <si>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</si>
  <si>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</si>
  <si>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</si>
  <si>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</si>
  <si>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</si>
  <si>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</si>
  <si>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</si>
  <si>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</si>
  <si>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</si>
  <si>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</si>
  <si>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</si>
  <si>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</si>
  <si>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</si>
  <si>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</si>
  <si>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</si>
  <si>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</si>
  <si>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</si>
  <si>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</si>
  <si>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</si>
  <si>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</si>
  <si>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</si>
  <si>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</si>
  <si>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</si>
  <si>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</si>
  <si>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</si>
  <si>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</si>
  <si>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</si>
  <si>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</si>
  <si>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</si>
  <si>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</si>
  <si>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</si>
  <si>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</si>
  <si>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</si>
  <si>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</si>
  <si>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</si>
  <si>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</si>
  <si>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</si>
  <si>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</si>
  <si>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</si>
  <si>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</si>
  <si>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</si>
  <si>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</si>
  <si>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</si>
  <si>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</si>
  <si>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</si>
  <si>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</si>
  <si>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</si>
  <si>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fix data validation list. fix cells just being data, need to get from Transactions sheet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</si>
  <si>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</si>
  <si>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</si>
  <si>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</si>
  <si>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</si>
  <si>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</si>
  <si>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</si>
  <si>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</si>
  <si>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</si>
  <si>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Return</t>
  </si>
  <si>
    <t>fix this sheet. looks like just data in cells. need to be based off Transactions sheet</t>
  </si>
  <si>
    <t>Data:</t>
  </si>
  <si>
    <t>DAYS</t>
  </si>
  <si>
    <t>UNIT</t>
  </si>
  <si>
    <t>Cost Basis</t>
  </si>
  <si>
    <t>Portfolio Value</t>
  </si>
  <si>
    <t>Potfolio</t>
  </si>
  <si>
    <t>Quantity</t>
  </si>
  <si>
    <t>04/06/24</t>
  </si>
  <si>
    <t>04/05/24</t>
  </si>
  <si>
    <t>04/04/24</t>
  </si>
  <si>
    <t>04/03/24</t>
  </si>
  <si>
    <t>04/02/24</t>
  </si>
  <si>
    <t>04/01/24</t>
  </si>
  <si>
    <t>03/31/24</t>
  </si>
  <si>
    <t>03/30/24</t>
  </si>
  <si>
    <t>03/29/24</t>
  </si>
  <si>
    <t>03/28/24</t>
  </si>
  <si>
    <t>03/27/24</t>
  </si>
  <si>
    <t>03/26/24</t>
  </si>
  <si>
    <t>03/25/24</t>
  </si>
  <si>
    <t>03/24/24</t>
  </si>
  <si>
    <t>03/23/24</t>
  </si>
  <si>
    <t>03/22/24</t>
  </si>
  <si>
    <t>03/21/24</t>
  </si>
  <si>
    <t>03/20/24</t>
  </si>
  <si>
    <t>03/19/24</t>
  </si>
  <si>
    <t>03/18/24</t>
  </si>
  <si>
    <t>03/17/24</t>
  </si>
  <si>
    <t>03/16/24</t>
  </si>
  <si>
    <t>03/15/24</t>
  </si>
  <si>
    <t>03/14/24</t>
  </si>
  <si>
    <t>03/13/24</t>
  </si>
  <si>
    <t>03/12/24</t>
  </si>
  <si>
    <t>03/11/24</t>
  </si>
  <si>
    <t>03/10/24</t>
  </si>
  <si>
    <t>03/09/24</t>
  </si>
  <si>
    <t>03/08/24</t>
  </si>
  <si>
    <t>03/07/24</t>
  </si>
  <si>
    <t>03/06/24</t>
  </si>
  <si>
    <t>03/05/24</t>
  </si>
  <si>
    <t>03/04/24</t>
  </si>
  <si>
    <t>03/03/24</t>
  </si>
  <si>
    <t>03/02/24</t>
  </si>
  <si>
    <t>03/01/24</t>
  </si>
  <si>
    <t>02/29/24</t>
  </si>
  <si>
    <t>02/28/24</t>
  </si>
  <si>
    <t>02/27/24</t>
  </si>
  <si>
    <t>02/26/24</t>
  </si>
  <si>
    <t>02/25/24</t>
  </si>
  <si>
    <t>02/24/24</t>
  </si>
  <si>
    <t>02/23/24</t>
  </si>
  <si>
    <t>02/22/24</t>
  </si>
  <si>
    <t>02/21/24</t>
  </si>
  <si>
    <t>02/20/24</t>
  </si>
  <si>
    <t>02/19/24</t>
  </si>
  <si>
    <t>02/18/24</t>
  </si>
  <si>
    <t>02/17/24</t>
  </si>
  <si>
    <t>02/16/24</t>
  </si>
  <si>
    <t>02/15/24</t>
  </si>
  <si>
    <t>02/14/24</t>
  </si>
  <si>
    <t>02/13/24</t>
  </si>
  <si>
    <t>02/12/24</t>
  </si>
  <si>
    <t>02/11/24</t>
  </si>
  <si>
    <t>02/10/24</t>
  </si>
  <si>
    <t>02/09/24</t>
  </si>
  <si>
    <t>02/08/24</t>
  </si>
  <si>
    <t>02/07/24</t>
  </si>
  <si>
    <t>02/06/24</t>
  </si>
  <si>
    <t>02/05/24</t>
  </si>
  <si>
    <t>02/04/24</t>
  </si>
  <si>
    <t>02/03/24</t>
  </si>
  <si>
    <t>02/02/24</t>
  </si>
  <si>
    <t>02/01/24</t>
  </si>
  <si>
    <t>01/31/24</t>
  </si>
  <si>
    <t>01/30/24</t>
  </si>
  <si>
    <t>01/29/24</t>
  </si>
  <si>
    <t>01/28/24</t>
  </si>
  <si>
    <t>01/27/24</t>
  </si>
  <si>
    <t>01/26/24</t>
  </si>
  <si>
    <t>01/25/24</t>
  </si>
  <si>
    <t>01/24/24</t>
  </si>
  <si>
    <t>01/23/24</t>
  </si>
  <si>
    <t>01/22/24</t>
  </si>
  <si>
    <t>01/21/24</t>
  </si>
  <si>
    <t>01/20/24</t>
  </si>
  <si>
    <t>01/19/24</t>
  </si>
  <si>
    <t>01/18/24</t>
  </si>
  <si>
    <t>01/17/24</t>
  </si>
  <si>
    <t>01/16/24</t>
  </si>
  <si>
    <t>01/15/24</t>
  </si>
  <si>
    <t>01/14/24</t>
  </si>
  <si>
    <t>01/13/24</t>
  </si>
  <si>
    <t>01/12/24</t>
  </si>
  <si>
    <t>01/11/24</t>
  </si>
  <si>
    <t>01/10/24</t>
  </si>
  <si>
    <t>01/09/24</t>
  </si>
  <si>
    <t>01/08/24</t>
  </si>
  <si>
    <t>01/07/24</t>
  </si>
  <si>
    <t>01/06/24</t>
  </si>
  <si>
    <t>01/05/24</t>
  </si>
  <si>
    <t>01/04/24</t>
  </si>
  <si>
    <t>01/03/24</t>
  </si>
  <si>
    <t>01/02/24</t>
  </si>
  <si>
    <t>01/01/24</t>
  </si>
  <si>
    <t>12/31/23</t>
  </si>
  <si>
    <t>12/30/23</t>
  </si>
  <si>
    <t>12/29/23</t>
  </si>
  <si>
    <t>12/28/23</t>
  </si>
  <si>
    <t>12/27/23</t>
  </si>
  <si>
    <t>12/26/23</t>
  </si>
  <si>
    <t>12/25/23</t>
  </si>
  <si>
    <t>12/24/23</t>
  </si>
  <si>
    <t>12/23/23</t>
  </si>
  <si>
    <t>12/22/23</t>
  </si>
  <si>
    <t>12/21/23</t>
  </si>
  <si>
    <t>12/20/23</t>
  </si>
  <si>
    <t>12/19/23</t>
  </si>
  <si>
    <t>12/18/23</t>
  </si>
  <si>
    <t>12/17/23</t>
  </si>
  <si>
    <t>12/16/23</t>
  </si>
  <si>
    <t>12/15/23</t>
  </si>
  <si>
    <t>12/14/23</t>
  </si>
  <si>
    <t>12/13/23</t>
  </si>
  <si>
    <t>12/12/23</t>
  </si>
  <si>
    <t>12/11/23</t>
  </si>
  <si>
    <t>12/10/23</t>
  </si>
  <si>
    <t>12/09/23</t>
  </si>
  <si>
    <t>12/08/23</t>
  </si>
  <si>
    <t>12/07/23</t>
  </si>
  <si>
    <t>12/06/23</t>
  </si>
  <si>
    <t>12/05/23</t>
  </si>
  <si>
    <t>12/04/23</t>
  </si>
  <si>
    <t>12/03/23</t>
  </si>
  <si>
    <t>12/02/23</t>
  </si>
  <si>
    <t>12/01/23</t>
  </si>
  <si>
    <t>11/30/23</t>
  </si>
  <si>
    <t>11/29/23</t>
  </si>
  <si>
    <t>11/28/23</t>
  </si>
  <si>
    <t>11/27/23</t>
  </si>
  <si>
    <t>11/26/23</t>
  </si>
  <si>
    <t>11/25/23</t>
  </si>
  <si>
    <t>11/24/23</t>
  </si>
  <si>
    <t>11/23/23</t>
  </si>
  <si>
    <t>11/22/23</t>
  </si>
  <si>
    <t>11/21/23</t>
  </si>
  <si>
    <t>11/20/23</t>
  </si>
  <si>
    <t>11/19/23</t>
  </si>
  <si>
    <t>11/18/23</t>
  </si>
  <si>
    <t>11/17/23</t>
  </si>
  <si>
    <t>11/16/23</t>
  </si>
  <si>
    <t>11/15/23</t>
  </si>
  <si>
    <t>11/14/23</t>
  </si>
  <si>
    <t>11/13/23</t>
  </si>
  <si>
    <t>11/12/23</t>
  </si>
  <si>
    <t>11/11/23</t>
  </si>
  <si>
    <t>11/10/23</t>
  </si>
  <si>
    <t>11/09/23</t>
  </si>
  <si>
    <t>11/08/23</t>
  </si>
  <si>
    <t>11/07/23</t>
  </si>
  <si>
    <t>11/06/23</t>
  </si>
  <si>
    <t>11/05/23</t>
  </si>
  <si>
    <t>11/04/23</t>
  </si>
  <si>
    <t>11/03/23</t>
  </si>
  <si>
    <t>11/02/23</t>
  </si>
  <si>
    <t>11/01/23</t>
  </si>
  <si>
    <t>10/31/23</t>
  </si>
  <si>
    <t>10/30/23</t>
  </si>
  <si>
    <t>10/29/23</t>
  </si>
  <si>
    <t>10/28/23</t>
  </si>
  <si>
    <t>10/27/23</t>
  </si>
  <si>
    <t>10/26/23</t>
  </si>
  <si>
    <t>10/25/23</t>
  </si>
  <si>
    <t>10/24/23</t>
  </si>
  <si>
    <t>10/23/23</t>
  </si>
  <si>
    <t>10/22/23</t>
  </si>
  <si>
    <t>10/21/23</t>
  </si>
  <si>
    <t>10/20/23</t>
  </si>
  <si>
    <t>10/19/23</t>
  </si>
  <si>
    <t>10/18/23</t>
  </si>
  <si>
    <t>10/17/23</t>
  </si>
  <si>
    <t>10/16/23</t>
  </si>
  <si>
    <t>10/15/23</t>
  </si>
  <si>
    <t>10/14/23</t>
  </si>
  <si>
    <t>10/13/23</t>
  </si>
  <si>
    <t>10/12/23</t>
  </si>
  <si>
    <t>10/11/23</t>
  </si>
  <si>
    <t>10/10/23</t>
  </si>
  <si>
    <t>10/09/23</t>
  </si>
  <si>
    <t>10/08/23</t>
  </si>
  <si>
    <t>10/07/23</t>
  </si>
  <si>
    <t>10/06/23</t>
  </si>
  <si>
    <t>10/05/23</t>
  </si>
  <si>
    <t>10/04/23</t>
  </si>
  <si>
    <t>10/03/23</t>
  </si>
  <si>
    <t>10/02/23</t>
  </si>
  <si>
    <t>10/01/23</t>
  </si>
  <si>
    <t>09/30/23</t>
  </si>
  <si>
    <t>09/29/23</t>
  </si>
  <si>
    <t>09/28/23</t>
  </si>
  <si>
    <t>09/27/23</t>
  </si>
  <si>
    <t>09/26/23</t>
  </si>
  <si>
    <t>09/25/23</t>
  </si>
  <si>
    <t>09/24/23</t>
  </si>
  <si>
    <t>09/23/23</t>
  </si>
  <si>
    <t>09/22/23</t>
  </si>
  <si>
    <t>09/21/23</t>
  </si>
  <si>
    <t>09/20/23</t>
  </si>
  <si>
    <t>09/19/23</t>
  </si>
  <si>
    <t>09/18/23</t>
  </si>
  <si>
    <t>09/17/23</t>
  </si>
  <si>
    <t>09/16/23</t>
  </si>
  <si>
    <t>09/15/23</t>
  </si>
  <si>
    <t>09/14/23</t>
  </si>
  <si>
    <t>09/13/23</t>
  </si>
  <si>
    <t>09/12/23</t>
  </si>
  <si>
    <t>09/11/23</t>
  </si>
  <si>
    <t>09/10/23</t>
  </si>
  <si>
    <t>09/09/23</t>
  </si>
  <si>
    <t>09/08/23</t>
  </si>
  <si>
    <t>09/07/23</t>
  </si>
  <si>
    <t>09/06/23</t>
  </si>
  <si>
    <t>09/05/23</t>
  </si>
  <si>
    <t>09/04/23</t>
  </si>
  <si>
    <t>09/03/23</t>
  </si>
  <si>
    <t>09/02/23</t>
  </si>
  <si>
    <t>09/01/23</t>
  </si>
  <si>
    <t>08/31/23</t>
  </si>
  <si>
    <t>08/30/23</t>
  </si>
  <si>
    <t>08/29/23</t>
  </si>
  <si>
    <t>08/28/23</t>
  </si>
  <si>
    <t>08/27/23</t>
  </si>
  <si>
    <t>08/26/23</t>
  </si>
  <si>
    <t>08/25/23</t>
  </si>
  <si>
    <t>08/24/23</t>
  </si>
  <si>
    <t>08/23/23</t>
  </si>
  <si>
    <t>08/22/23</t>
  </si>
  <si>
    <t>08/21/23</t>
  </si>
  <si>
    <t>08/20/23</t>
  </si>
  <si>
    <t>08/19/23</t>
  </si>
  <si>
    <t>08/18/23</t>
  </si>
  <si>
    <t>08/17/23</t>
  </si>
  <si>
    <t>08/16/23</t>
  </si>
  <si>
    <t>08/15/23</t>
  </si>
  <si>
    <t>08/14/23</t>
  </si>
  <si>
    <t>08/13/23</t>
  </si>
  <si>
    <t>08/12/23</t>
  </si>
  <si>
    <t>08/11/23</t>
  </si>
  <si>
    <t>08/10/23</t>
  </si>
  <si>
    <t>08/09/23</t>
  </si>
  <si>
    <t>08/08/23</t>
  </si>
  <si>
    <t>08/07/23</t>
  </si>
  <si>
    <t>08/06/23</t>
  </si>
  <si>
    <t>08/05/23</t>
  </si>
  <si>
    <t>08/04/23</t>
  </si>
  <si>
    <t>08/03/23</t>
  </si>
  <si>
    <t>08/02/23</t>
  </si>
  <si>
    <t>08/01/23</t>
  </si>
  <si>
    <t>07/31/23</t>
  </si>
  <si>
    <t>07/30/23</t>
  </si>
  <si>
    <t>07/29/23</t>
  </si>
  <si>
    <t>07/28/23</t>
  </si>
  <si>
    <t>07/27/23</t>
  </si>
  <si>
    <t>07/26/23</t>
  </si>
  <si>
    <t>07/25/23</t>
  </si>
  <si>
    <t>07/24/23</t>
  </si>
  <si>
    <t>07/23/23</t>
  </si>
  <si>
    <t>07/22/23</t>
  </si>
  <si>
    <t>07/21/23</t>
  </si>
  <si>
    <t>07/20/23</t>
  </si>
  <si>
    <t>07/19/23</t>
  </si>
  <si>
    <t>07/18/23</t>
  </si>
  <si>
    <t>07/17/23</t>
  </si>
  <si>
    <t>07/16/23</t>
  </si>
  <si>
    <t>07/15/23</t>
  </si>
  <si>
    <t>07/14/23</t>
  </si>
  <si>
    <t>07/13/23</t>
  </si>
  <si>
    <t>07/12/23</t>
  </si>
  <si>
    <t>07/11/23</t>
  </si>
  <si>
    <t>07/10/23</t>
  </si>
  <si>
    <t>07/09/23</t>
  </si>
  <si>
    <t>07/08/23</t>
  </si>
  <si>
    <t>07/07/23</t>
  </si>
  <si>
    <t>07/06/23</t>
  </si>
  <si>
    <t>07/05/23</t>
  </si>
  <si>
    <t>07/04/23</t>
  </si>
  <si>
    <t>07/03/23</t>
  </si>
  <si>
    <t>07/02/23</t>
  </si>
  <si>
    <t>07/01/23</t>
  </si>
  <si>
    <t>06/30/23</t>
  </si>
  <si>
    <t>06/29/23</t>
  </si>
  <si>
    <t>06/28/23</t>
  </si>
  <si>
    <t>06/27/23</t>
  </si>
  <si>
    <t>06/26/23</t>
  </si>
  <si>
    <t>06/25/23</t>
  </si>
  <si>
    <t>06/24/23</t>
  </si>
  <si>
    <t>06/23/23</t>
  </si>
  <si>
    <t>06/22/23</t>
  </si>
  <si>
    <t>06/21/23</t>
  </si>
  <si>
    <t>06/20/23</t>
  </si>
  <si>
    <t>06/19/23</t>
  </si>
  <si>
    <t>06/18/23</t>
  </si>
  <si>
    <t>06/17/23</t>
  </si>
  <si>
    <t>06/16/23</t>
  </si>
  <si>
    <t>06/15/23</t>
  </si>
  <si>
    <t>06/14/23</t>
  </si>
  <si>
    <t>06/13/23</t>
  </si>
  <si>
    <t>06/12/23</t>
  </si>
  <si>
    <t>06/11/23</t>
  </si>
  <si>
    <t>06/10/23</t>
  </si>
  <si>
    <t>06/09/23</t>
  </si>
  <si>
    <t>06/08/23</t>
  </si>
  <si>
    <t>06/07/23</t>
  </si>
  <si>
    <t>06/06/23</t>
  </si>
  <si>
    <t>06/05/23</t>
  </si>
  <si>
    <t>06/04/23</t>
  </si>
  <si>
    <t>06/03/23</t>
  </si>
  <si>
    <t>06/02/23</t>
  </si>
  <si>
    <t>06/01/23</t>
  </si>
  <si>
    <t>05/31/23</t>
  </si>
  <si>
    <t>05/30/23</t>
  </si>
  <si>
    <t>05/29/23</t>
  </si>
  <si>
    <t>05/28/23</t>
  </si>
  <si>
    <t>05/27/23</t>
  </si>
  <si>
    <t>05/26/23</t>
  </si>
  <si>
    <t>05/25/23</t>
  </si>
  <si>
    <t>05/24/23</t>
  </si>
  <si>
    <t>05/23/23</t>
  </si>
  <si>
    <t>05/22/23</t>
  </si>
  <si>
    <t>05/21/23</t>
  </si>
  <si>
    <t>05/20/23</t>
  </si>
  <si>
    <t>05/19/23</t>
  </si>
  <si>
    <t>05/18/23</t>
  </si>
  <si>
    <t>05/17/23</t>
  </si>
  <si>
    <t>05/16/23</t>
  </si>
  <si>
    <t>05/15/23</t>
  </si>
  <si>
    <t>05/14/23</t>
  </si>
  <si>
    <t>05/13/23</t>
  </si>
  <si>
    <t>05/12/23</t>
  </si>
  <si>
    <t>05/11/23</t>
  </si>
  <si>
    <t>05/10/23</t>
  </si>
  <si>
    <t>05/09/23</t>
  </si>
  <si>
    <t>05/08/23</t>
  </si>
  <si>
    <t>05/07/23</t>
  </si>
  <si>
    <t>05/06/23</t>
  </si>
  <si>
    <t>05/05/23</t>
  </si>
  <si>
    <t>05/04/23</t>
  </si>
  <si>
    <t>05/03/23</t>
  </si>
  <si>
    <t>05/02/23</t>
  </si>
  <si>
    <t>05/01/23</t>
  </si>
  <si>
    <t>04/30/23</t>
  </si>
  <si>
    <t>04/29/23</t>
  </si>
  <si>
    <t>04/28/23</t>
  </si>
  <si>
    <t>04/27/23</t>
  </si>
  <si>
    <t>04/26/23</t>
  </si>
  <si>
    <t>04/25/23</t>
  </si>
  <si>
    <t>04/24/23</t>
  </si>
  <si>
    <t>04/23/23</t>
  </si>
  <si>
    <t>04/22/23</t>
  </si>
  <si>
    <t>04/21/23</t>
  </si>
  <si>
    <t>04/20/23</t>
  </si>
  <si>
    <t>04/19/23</t>
  </si>
  <si>
    <t>04/18/23</t>
  </si>
  <si>
    <t>04/17/23</t>
  </si>
  <si>
    <t>04/16/23</t>
  </si>
  <si>
    <t>04/15/23</t>
  </si>
  <si>
    <t>04/14/23</t>
  </si>
  <si>
    <t>04/13/23</t>
  </si>
  <si>
    <t>04/12/23</t>
  </si>
  <si>
    <t>04/11/23</t>
  </si>
  <si>
    <t>04/10/23</t>
  </si>
  <si>
    <t>04/09/23</t>
  </si>
  <si>
    <t>04/08/23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</si>
</sst>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mm/dd/yy;@"/>
  </numFmts>
  <fonts count="18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12"/>
      <name val="Century Gothic"/>
      <family val="1"/>
    </font>
    <font>
      <sz val="12"/>
      <name val="Century Gothic"/>
      <family val="1"/>
    </font>
    <font>
      <b/>
      <sz val="12"/>
      <name val="Century Gothic"/>
      <family val="1"/>
    </font>
    <font>
      <sz val="12"/>
      <name val="Century Gothic"/>
      <family val="1"/>
    </font>
    <font>
      <sz val="12"/>
      <color theme="1"/>
      <name val="Century Gothic"/>
      <family val="2"/>
      <scheme val="minor"/>
    </font>
    <font>
      <b/>
      <sz val="12"/>
      <name val="Century Gothic"/>
      <family val="1"/>
    </font>
    <font>
      <sz val="12"/>
      <name val="Century Gothic"/>
      <family val="1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rgb="FFFFFFFF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5" fillId="0" borderId="0"/>
  </cellStyleXfs>
  <cellXfs count="121">
    <xf numFmtId="0" fontId="0" fillId="0" borderId="0" xfId="0"/>
    <xf numFmtId="0" fontId="0" fillId="2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4" fontId="0" fillId="3" borderId="7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14" fontId="3" fillId="3" borderId="11" xfId="0" applyNumberFormat="1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2" fontId="0" fillId="3" borderId="0" xfId="0" applyNumberFormat="1" applyFill="1"/>
    <xf numFmtId="0" fontId="0" fillId="3" borderId="0" xfId="0" applyFill="1" applyAlignment="1">
      <alignment horizontal="left"/>
    </xf>
    <xf numFmtId="0" fontId="6" fillId="9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7" fillId="3" borderId="0" xfId="0" applyFont="1" applyFill="1"/>
    <xf numFmtId="2" fontId="7" fillId="3" borderId="0" xfId="0" applyNumberFormat="1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9" borderId="0" xfId="0" applyNumberFormat="1" applyFont="1" applyFill="1" applyAlignment="1">
      <alignment horizontal="right"/>
    </xf>
    <xf numFmtId="0" fontId="6" fillId="9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2" fontId="0" fillId="3" borderId="0" xfId="0" applyNumberFormat="1" applyFill="1" applyAlignment="1">
      <alignment horizontal="left"/>
    </xf>
    <xf numFmtId="14" fontId="0" fillId="3" borderId="0" xfId="0" applyNumberFormat="1" applyFill="1" applyAlignment="1">
      <alignment horizontal="left"/>
    </xf>
    <xf numFmtId="164" fontId="4" fillId="3" borderId="0" xfId="0" applyNumberFormat="1" applyFont="1" applyFill="1"/>
    <xf numFmtId="14" fontId="4" fillId="3" borderId="0" xfId="0" applyNumberFormat="1" applyFont="1" applyFill="1"/>
    <xf numFmtId="164" fontId="0" fillId="10" borderId="0" xfId="0" applyNumberFormat="1" applyFill="1"/>
    <xf numFmtId="14" fontId="4" fillId="3" borderId="0" xfId="0" applyNumberFormat="1" applyFont="1" applyFill="1" applyAlignment="1">
      <alignment horizontal="left"/>
    </xf>
    <xf numFmtId="0" fontId="11" fillId="10" borderId="0" xfId="0" applyFont="1" applyFill="1"/>
    <xf numFmtId="0" fontId="0" fillId="10" borderId="0" xfId="0" applyFill="1"/>
    <xf numFmtId="0" fontId="12" fillId="10" borderId="0" xfId="0" applyFont="1" applyFill="1"/>
    <xf numFmtId="0" fontId="13" fillId="10" borderId="0" xfId="0" applyFont="1" applyFill="1"/>
    <xf numFmtId="0" fontId="14" fillId="10" borderId="0" xfId="0" applyFont="1" applyFill="1"/>
    <xf numFmtId="164" fontId="4" fillId="3" borderId="0" xfId="1" applyNumberFormat="1" applyFont="1" applyFill="1" applyAlignment="1">
      <alignment horizontal="left"/>
    </xf>
    <xf numFmtId="164" fontId="0" fillId="10" borderId="0" xfId="1" applyNumberFormat="1" applyFont="1" applyFill="1" applyAlignment="1">
      <alignment horizontal="left"/>
    </xf>
    <xf numFmtId="164" fontId="14" fillId="10" borderId="0" xfId="1" applyNumberFormat="1" applyFont="1" applyFill="1"/>
    <xf numFmtId="164" fontId="12" fillId="10" borderId="0" xfId="1" applyNumberFormat="1" applyFont="1" applyFill="1"/>
    <xf numFmtId="164" fontId="11" fillId="10" borderId="0" xfId="1" applyNumberFormat="1" applyFont="1" applyFill="1"/>
    <xf numFmtId="164" fontId="0" fillId="10" borderId="0" xfId="1" applyNumberFormat="1" applyFont="1" applyFill="1"/>
    <xf numFmtId="164" fontId="0" fillId="3" borderId="0" xfId="1" applyNumberFormat="1" applyFont="1" applyFill="1" applyAlignment="1">
      <alignment horizontal="left"/>
    </xf>
    <xf numFmtId="167" fontId="4" fillId="3" borderId="0" xfId="0" applyNumberFormat="1" applyFont="1" applyFill="1" applyAlignment="1">
      <alignment horizontal="left"/>
    </xf>
    <xf numFmtId="167" fontId="0" fillId="3" borderId="0" xfId="0" applyNumberFormat="1" applyFill="1" applyAlignment="1">
      <alignment horizontal="left"/>
    </xf>
    <xf numFmtId="0" fontId="16" fillId="10" borderId="0" xfId="0" applyFont="1" applyFill="1"/>
    <xf numFmtId="0" fontId="17" fillId="10" borderId="0" xfId="0" applyFont="1" applyFill="1"/>
    <xf numFmtId="164" fontId="17" fillId="10" borderId="0" xfId="1" applyNumberFormat="1" applyFont="1" applyFill="1"/>
    <xf numFmtId="164" fontId="17" fillId="10" borderId="0" xfId="0" applyNumberFormat="1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0" fillId="3" borderId="0" xfId="0" applyFill="1"/>
    <xf numFmtId="0" fontId="10" fillId="3" borderId="17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5" fillId="3" borderId="0" xfId="0" applyNumberFormat="1" applyFont="1" applyFill="1" applyAlignment="1">
      <alignment horizontal="right"/>
    </xf>
    <xf numFmtId="0" fontId="2" fillId="8" borderId="10" xfId="0" applyFont="1" applyFill="1" applyBorder="1" applyAlignment="1">
      <alignment horizontal="center"/>
    </xf>
    <xf numFmtId="0" fontId="0" fillId="0" borderId="10" xfId="0" applyBorder="1"/>
    <xf numFmtId="0" fontId="9" fillId="3" borderId="0" xfId="0" applyFont="1" applyFill="1" applyAlignment="1">
      <alignment horizontal="center"/>
    </xf>
    <xf numFmtId="14" fontId="0" fillId="3" borderId="0" xfId="0" applyNumberFormat="1" applyFill="1"/>
    <xf numFmtId="0" fontId="2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3" borderId="0" xfId="1" applyNumberFormat="1" applyFont="1" applyFill="1" applyAlignment="1">
      <alignment horizontal="left"/>
    </xf>
    <xf numFmtId="0" fontId="2" fillId="3" borderId="0" xfId="0" applyFont="1" applyFill="1" applyAlignment="1">
      <alignment horizontal="center"/>
    </xf>
    <xf numFmtId="164" fontId="0" fillId="3" borderId="0" xfId="0" applyNumberFormat="1" applyFill="1"/>
    <xf numFmtId="167" fontId="0" fillId="3" borderId="0" xfId="0" applyNumberFormat="1" applyFill="1" applyAlignment="1">
      <alignment horizontal="left"/>
    </xf>
  </cellXfs>
  <cellStyles count="2">
    <cellStyle name="Currency" xfId="1" builtinId="4"/>
    <cellStyle name="Normal" xfId="0" builtinId="0"/>
  </cellStyles>
  <dxfs count="11"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6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t>None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COST BASIS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[0]!COST_BASIS_DATE</c:f>
              <c:numCache>
                <c:formatCode>mm/dd/yy;@</c:formatCode>
                <c:ptCount val="365"/>
                <c:pt idx="0">
                  <c:v>45389</c:v>
                </c:pt>
                <c:pt idx="1">
                  <c:v>45388</c:v>
                </c:pt>
                <c:pt idx="2">
                  <c:v>45387</c:v>
                </c:pt>
                <c:pt idx="3">
                  <c:v>45386</c:v>
                </c:pt>
                <c:pt idx="4">
                  <c:v>45385</c:v>
                </c:pt>
                <c:pt idx="5">
                  <c:v>45384</c:v>
                </c:pt>
                <c:pt idx="6">
                  <c:v>45383</c:v>
                </c:pt>
                <c:pt idx="7">
                  <c:v>45382</c:v>
                </c:pt>
                <c:pt idx="8">
                  <c:v>45381</c:v>
                </c:pt>
                <c:pt idx="9">
                  <c:v>45380</c:v>
                </c:pt>
                <c:pt idx="10">
                  <c:v>45379</c:v>
                </c:pt>
                <c:pt idx="11">
                  <c:v>45378</c:v>
                </c:pt>
                <c:pt idx="12">
                  <c:v>45377</c:v>
                </c:pt>
                <c:pt idx="13">
                  <c:v>45376</c:v>
                </c:pt>
                <c:pt idx="14">
                  <c:v>45375</c:v>
                </c:pt>
                <c:pt idx="15">
                  <c:v>45374</c:v>
                </c:pt>
                <c:pt idx="16">
                  <c:v>45373</c:v>
                </c:pt>
                <c:pt idx="17">
                  <c:v>45372</c:v>
                </c:pt>
                <c:pt idx="18">
                  <c:v>45371</c:v>
                </c:pt>
                <c:pt idx="19">
                  <c:v>45370</c:v>
                </c:pt>
                <c:pt idx="20">
                  <c:v>45369</c:v>
                </c:pt>
                <c:pt idx="21">
                  <c:v>45368</c:v>
                </c:pt>
                <c:pt idx="22">
                  <c:v>45367</c:v>
                </c:pt>
                <c:pt idx="23">
                  <c:v>45366</c:v>
                </c:pt>
                <c:pt idx="24">
                  <c:v>45365</c:v>
                </c:pt>
                <c:pt idx="25">
                  <c:v>45364</c:v>
                </c:pt>
                <c:pt idx="26">
                  <c:v>45363</c:v>
                </c:pt>
                <c:pt idx="27">
                  <c:v>45362</c:v>
                </c:pt>
                <c:pt idx="28">
                  <c:v>45361</c:v>
                </c:pt>
                <c:pt idx="29">
                  <c:v>45360</c:v>
                </c:pt>
                <c:pt idx="30">
                  <c:v>45359</c:v>
                </c:pt>
                <c:pt idx="31">
                  <c:v>45358</c:v>
                </c:pt>
                <c:pt idx="32">
                  <c:v>45357</c:v>
                </c:pt>
                <c:pt idx="33">
                  <c:v>45356</c:v>
                </c:pt>
                <c:pt idx="34">
                  <c:v>45355</c:v>
                </c:pt>
                <c:pt idx="35">
                  <c:v>45354</c:v>
                </c:pt>
                <c:pt idx="36">
                  <c:v>45353</c:v>
                </c:pt>
                <c:pt idx="37">
                  <c:v>45352</c:v>
                </c:pt>
                <c:pt idx="38">
                  <c:v>45351</c:v>
                </c:pt>
                <c:pt idx="39">
                  <c:v>45350</c:v>
                </c:pt>
                <c:pt idx="40">
                  <c:v>45349</c:v>
                </c:pt>
                <c:pt idx="41">
                  <c:v>45348</c:v>
                </c:pt>
                <c:pt idx="42">
                  <c:v>45347</c:v>
                </c:pt>
                <c:pt idx="43">
                  <c:v>45346</c:v>
                </c:pt>
                <c:pt idx="44">
                  <c:v>45345</c:v>
                </c:pt>
                <c:pt idx="45">
                  <c:v>45344</c:v>
                </c:pt>
                <c:pt idx="46">
                  <c:v>45343</c:v>
                </c:pt>
                <c:pt idx="47">
                  <c:v>45342</c:v>
                </c:pt>
                <c:pt idx="48">
                  <c:v>45341</c:v>
                </c:pt>
                <c:pt idx="49">
                  <c:v>45340</c:v>
                </c:pt>
                <c:pt idx="50">
                  <c:v>45339</c:v>
                </c:pt>
                <c:pt idx="51">
                  <c:v>45338</c:v>
                </c:pt>
                <c:pt idx="52">
                  <c:v>45337</c:v>
                </c:pt>
                <c:pt idx="53">
                  <c:v>45336</c:v>
                </c:pt>
                <c:pt idx="54">
                  <c:v>45335</c:v>
                </c:pt>
                <c:pt idx="55">
                  <c:v>45334</c:v>
                </c:pt>
                <c:pt idx="56">
                  <c:v>45333</c:v>
                </c:pt>
                <c:pt idx="57">
                  <c:v>45332</c:v>
                </c:pt>
                <c:pt idx="58">
                  <c:v>45331</c:v>
                </c:pt>
                <c:pt idx="59">
                  <c:v>45330</c:v>
                </c:pt>
                <c:pt idx="60">
                  <c:v>45329</c:v>
                </c:pt>
                <c:pt idx="61">
                  <c:v>45328</c:v>
                </c:pt>
                <c:pt idx="62">
                  <c:v>45327</c:v>
                </c:pt>
                <c:pt idx="63">
                  <c:v>45326</c:v>
                </c:pt>
                <c:pt idx="64">
                  <c:v>45325</c:v>
                </c:pt>
                <c:pt idx="65">
                  <c:v>45324</c:v>
                </c:pt>
                <c:pt idx="66">
                  <c:v>45323</c:v>
                </c:pt>
                <c:pt idx="67">
                  <c:v>45322</c:v>
                </c:pt>
                <c:pt idx="68">
                  <c:v>45321</c:v>
                </c:pt>
                <c:pt idx="69">
                  <c:v>45320</c:v>
                </c:pt>
                <c:pt idx="70">
                  <c:v>45319</c:v>
                </c:pt>
                <c:pt idx="71">
                  <c:v>45318</c:v>
                </c:pt>
                <c:pt idx="72">
                  <c:v>45317</c:v>
                </c:pt>
                <c:pt idx="73">
                  <c:v>45316</c:v>
                </c:pt>
                <c:pt idx="74">
                  <c:v>45315</c:v>
                </c:pt>
                <c:pt idx="75">
                  <c:v>45314</c:v>
                </c:pt>
                <c:pt idx="76">
                  <c:v>45313</c:v>
                </c:pt>
                <c:pt idx="77">
                  <c:v>45312</c:v>
                </c:pt>
                <c:pt idx="78">
                  <c:v>45311</c:v>
                </c:pt>
                <c:pt idx="79">
                  <c:v>45310</c:v>
                </c:pt>
                <c:pt idx="80">
                  <c:v>45309</c:v>
                </c:pt>
                <c:pt idx="81">
                  <c:v>45308</c:v>
                </c:pt>
                <c:pt idx="82">
                  <c:v>45307</c:v>
                </c:pt>
                <c:pt idx="83">
                  <c:v>45306</c:v>
                </c:pt>
                <c:pt idx="84">
                  <c:v>45305</c:v>
                </c:pt>
                <c:pt idx="85">
                  <c:v>45304</c:v>
                </c:pt>
                <c:pt idx="86">
                  <c:v>45303</c:v>
                </c:pt>
                <c:pt idx="87">
                  <c:v>45302</c:v>
                </c:pt>
                <c:pt idx="88">
                  <c:v>45301</c:v>
                </c:pt>
                <c:pt idx="89">
                  <c:v>45300</c:v>
                </c:pt>
                <c:pt idx="90">
                  <c:v>45299</c:v>
                </c:pt>
                <c:pt idx="91">
                  <c:v>45298</c:v>
                </c:pt>
                <c:pt idx="92">
                  <c:v>45297</c:v>
                </c:pt>
                <c:pt idx="93">
                  <c:v>45296</c:v>
                </c:pt>
                <c:pt idx="94">
                  <c:v>45295</c:v>
                </c:pt>
                <c:pt idx="95">
                  <c:v>45294</c:v>
                </c:pt>
                <c:pt idx="96">
                  <c:v>45293</c:v>
                </c:pt>
                <c:pt idx="97">
                  <c:v>45292</c:v>
                </c:pt>
                <c:pt idx="98">
                  <c:v>45291</c:v>
                </c:pt>
                <c:pt idx="99">
                  <c:v>45290</c:v>
                </c:pt>
                <c:pt idx="100">
                  <c:v>45289</c:v>
                </c:pt>
                <c:pt idx="101">
                  <c:v>45288</c:v>
                </c:pt>
                <c:pt idx="102">
                  <c:v>45287</c:v>
                </c:pt>
                <c:pt idx="103">
                  <c:v>45286</c:v>
                </c:pt>
                <c:pt idx="104">
                  <c:v>45285</c:v>
                </c:pt>
                <c:pt idx="105">
                  <c:v>45284</c:v>
                </c:pt>
                <c:pt idx="106">
                  <c:v>45283</c:v>
                </c:pt>
                <c:pt idx="107">
                  <c:v>45282</c:v>
                </c:pt>
                <c:pt idx="108">
                  <c:v>45281</c:v>
                </c:pt>
                <c:pt idx="109">
                  <c:v>45280</c:v>
                </c:pt>
                <c:pt idx="110">
                  <c:v>45279</c:v>
                </c:pt>
                <c:pt idx="111">
                  <c:v>45278</c:v>
                </c:pt>
                <c:pt idx="112">
                  <c:v>45277</c:v>
                </c:pt>
                <c:pt idx="113">
                  <c:v>45276</c:v>
                </c:pt>
                <c:pt idx="114">
                  <c:v>45275</c:v>
                </c:pt>
                <c:pt idx="115">
                  <c:v>45274</c:v>
                </c:pt>
                <c:pt idx="116">
                  <c:v>45273</c:v>
                </c:pt>
                <c:pt idx="117">
                  <c:v>45272</c:v>
                </c:pt>
                <c:pt idx="118">
                  <c:v>45271</c:v>
                </c:pt>
                <c:pt idx="119">
                  <c:v>45270</c:v>
                </c:pt>
                <c:pt idx="120">
                  <c:v>45269</c:v>
                </c:pt>
                <c:pt idx="121">
                  <c:v>45268</c:v>
                </c:pt>
                <c:pt idx="122">
                  <c:v>45267</c:v>
                </c:pt>
                <c:pt idx="123">
                  <c:v>45266</c:v>
                </c:pt>
                <c:pt idx="124">
                  <c:v>45265</c:v>
                </c:pt>
                <c:pt idx="125">
                  <c:v>45264</c:v>
                </c:pt>
                <c:pt idx="126">
                  <c:v>45263</c:v>
                </c:pt>
                <c:pt idx="127">
                  <c:v>45262</c:v>
                </c:pt>
                <c:pt idx="128">
                  <c:v>45261</c:v>
                </c:pt>
                <c:pt idx="129">
                  <c:v>45260</c:v>
                </c:pt>
                <c:pt idx="130">
                  <c:v>45259</c:v>
                </c:pt>
                <c:pt idx="131">
                  <c:v>45258</c:v>
                </c:pt>
                <c:pt idx="132">
                  <c:v>45257</c:v>
                </c:pt>
                <c:pt idx="133">
                  <c:v>45256</c:v>
                </c:pt>
                <c:pt idx="134">
                  <c:v>45255</c:v>
                </c:pt>
                <c:pt idx="135">
                  <c:v>45254</c:v>
                </c:pt>
                <c:pt idx="136">
                  <c:v>45253</c:v>
                </c:pt>
                <c:pt idx="137">
                  <c:v>45252</c:v>
                </c:pt>
                <c:pt idx="138">
                  <c:v>45251</c:v>
                </c:pt>
                <c:pt idx="139">
                  <c:v>45250</c:v>
                </c:pt>
                <c:pt idx="140">
                  <c:v>45249</c:v>
                </c:pt>
                <c:pt idx="141">
                  <c:v>45248</c:v>
                </c:pt>
                <c:pt idx="142">
                  <c:v>45247</c:v>
                </c:pt>
                <c:pt idx="143">
                  <c:v>45246</c:v>
                </c:pt>
                <c:pt idx="144">
                  <c:v>45245</c:v>
                </c:pt>
                <c:pt idx="145">
                  <c:v>45244</c:v>
                </c:pt>
                <c:pt idx="146">
                  <c:v>45243</c:v>
                </c:pt>
                <c:pt idx="147">
                  <c:v>45242</c:v>
                </c:pt>
                <c:pt idx="148">
                  <c:v>45241</c:v>
                </c:pt>
                <c:pt idx="149">
                  <c:v>45240</c:v>
                </c:pt>
                <c:pt idx="150">
                  <c:v>45239</c:v>
                </c:pt>
                <c:pt idx="151">
                  <c:v>45238</c:v>
                </c:pt>
                <c:pt idx="152">
                  <c:v>45237</c:v>
                </c:pt>
                <c:pt idx="153">
                  <c:v>45236</c:v>
                </c:pt>
                <c:pt idx="154">
                  <c:v>45235</c:v>
                </c:pt>
                <c:pt idx="155">
                  <c:v>45234</c:v>
                </c:pt>
                <c:pt idx="156">
                  <c:v>45233</c:v>
                </c:pt>
                <c:pt idx="157">
                  <c:v>45232</c:v>
                </c:pt>
                <c:pt idx="158">
                  <c:v>45231</c:v>
                </c:pt>
                <c:pt idx="159">
                  <c:v>45230</c:v>
                </c:pt>
                <c:pt idx="160">
                  <c:v>45229</c:v>
                </c:pt>
                <c:pt idx="161">
                  <c:v>45228</c:v>
                </c:pt>
                <c:pt idx="162">
                  <c:v>45227</c:v>
                </c:pt>
                <c:pt idx="163">
                  <c:v>45226</c:v>
                </c:pt>
                <c:pt idx="164">
                  <c:v>45225</c:v>
                </c:pt>
                <c:pt idx="165">
                  <c:v>45224</c:v>
                </c:pt>
                <c:pt idx="166">
                  <c:v>45223</c:v>
                </c:pt>
                <c:pt idx="167">
                  <c:v>45222</c:v>
                </c:pt>
                <c:pt idx="168">
                  <c:v>45221</c:v>
                </c:pt>
                <c:pt idx="169">
                  <c:v>45220</c:v>
                </c:pt>
                <c:pt idx="170">
                  <c:v>45219</c:v>
                </c:pt>
                <c:pt idx="171">
                  <c:v>45218</c:v>
                </c:pt>
                <c:pt idx="172">
                  <c:v>45217</c:v>
                </c:pt>
                <c:pt idx="173">
                  <c:v>45216</c:v>
                </c:pt>
                <c:pt idx="174">
                  <c:v>45215</c:v>
                </c:pt>
                <c:pt idx="175">
                  <c:v>45214</c:v>
                </c:pt>
                <c:pt idx="176">
                  <c:v>45213</c:v>
                </c:pt>
                <c:pt idx="177">
                  <c:v>45212</c:v>
                </c:pt>
                <c:pt idx="178">
                  <c:v>45211</c:v>
                </c:pt>
                <c:pt idx="179">
                  <c:v>45210</c:v>
                </c:pt>
                <c:pt idx="180">
                  <c:v>45209</c:v>
                </c:pt>
                <c:pt idx="181">
                  <c:v>45208</c:v>
                </c:pt>
                <c:pt idx="182">
                  <c:v>45207</c:v>
                </c:pt>
                <c:pt idx="183">
                  <c:v>45206</c:v>
                </c:pt>
                <c:pt idx="184">
                  <c:v>45205</c:v>
                </c:pt>
                <c:pt idx="185">
                  <c:v>45204</c:v>
                </c:pt>
                <c:pt idx="186">
                  <c:v>45203</c:v>
                </c:pt>
                <c:pt idx="187">
                  <c:v>45202</c:v>
                </c:pt>
                <c:pt idx="188">
                  <c:v>45201</c:v>
                </c:pt>
                <c:pt idx="189">
                  <c:v>45200</c:v>
                </c:pt>
                <c:pt idx="190">
                  <c:v>45199</c:v>
                </c:pt>
                <c:pt idx="191">
                  <c:v>45198</c:v>
                </c:pt>
                <c:pt idx="192">
                  <c:v>45197</c:v>
                </c:pt>
                <c:pt idx="193">
                  <c:v>45196</c:v>
                </c:pt>
                <c:pt idx="194">
                  <c:v>45195</c:v>
                </c:pt>
                <c:pt idx="195">
                  <c:v>45194</c:v>
                </c:pt>
                <c:pt idx="196">
                  <c:v>45193</c:v>
                </c:pt>
                <c:pt idx="197">
                  <c:v>45192</c:v>
                </c:pt>
                <c:pt idx="198">
                  <c:v>45191</c:v>
                </c:pt>
                <c:pt idx="199">
                  <c:v>45190</c:v>
                </c:pt>
                <c:pt idx="200">
                  <c:v>45189</c:v>
                </c:pt>
                <c:pt idx="201">
                  <c:v>45188</c:v>
                </c:pt>
                <c:pt idx="202">
                  <c:v>45187</c:v>
                </c:pt>
                <c:pt idx="203">
                  <c:v>45186</c:v>
                </c:pt>
                <c:pt idx="204">
                  <c:v>45185</c:v>
                </c:pt>
                <c:pt idx="205">
                  <c:v>45184</c:v>
                </c:pt>
                <c:pt idx="206">
                  <c:v>45183</c:v>
                </c:pt>
                <c:pt idx="207">
                  <c:v>45182</c:v>
                </c:pt>
                <c:pt idx="208">
                  <c:v>45181</c:v>
                </c:pt>
                <c:pt idx="209">
                  <c:v>45180</c:v>
                </c:pt>
                <c:pt idx="210">
                  <c:v>45179</c:v>
                </c:pt>
                <c:pt idx="211">
                  <c:v>45178</c:v>
                </c:pt>
                <c:pt idx="212">
                  <c:v>45177</c:v>
                </c:pt>
                <c:pt idx="213">
                  <c:v>45176</c:v>
                </c:pt>
                <c:pt idx="214">
                  <c:v>45175</c:v>
                </c:pt>
                <c:pt idx="215">
                  <c:v>45174</c:v>
                </c:pt>
                <c:pt idx="216">
                  <c:v>45173</c:v>
                </c:pt>
                <c:pt idx="217">
                  <c:v>45172</c:v>
                </c:pt>
                <c:pt idx="218">
                  <c:v>45171</c:v>
                </c:pt>
                <c:pt idx="219">
                  <c:v>45170</c:v>
                </c:pt>
                <c:pt idx="220">
                  <c:v>45169</c:v>
                </c:pt>
                <c:pt idx="221">
                  <c:v>45168</c:v>
                </c:pt>
                <c:pt idx="222">
                  <c:v>45167</c:v>
                </c:pt>
                <c:pt idx="223">
                  <c:v>45166</c:v>
                </c:pt>
                <c:pt idx="224">
                  <c:v>45165</c:v>
                </c:pt>
                <c:pt idx="225">
                  <c:v>45164</c:v>
                </c:pt>
                <c:pt idx="226">
                  <c:v>45163</c:v>
                </c:pt>
                <c:pt idx="227">
                  <c:v>45162</c:v>
                </c:pt>
                <c:pt idx="228">
                  <c:v>45161</c:v>
                </c:pt>
                <c:pt idx="229">
                  <c:v>45160</c:v>
                </c:pt>
                <c:pt idx="230">
                  <c:v>45159</c:v>
                </c:pt>
                <c:pt idx="231">
                  <c:v>45158</c:v>
                </c:pt>
                <c:pt idx="232">
                  <c:v>45157</c:v>
                </c:pt>
                <c:pt idx="233">
                  <c:v>45156</c:v>
                </c:pt>
                <c:pt idx="234">
                  <c:v>45155</c:v>
                </c:pt>
                <c:pt idx="235">
                  <c:v>45154</c:v>
                </c:pt>
                <c:pt idx="236">
                  <c:v>45153</c:v>
                </c:pt>
                <c:pt idx="237">
                  <c:v>45152</c:v>
                </c:pt>
                <c:pt idx="238">
                  <c:v>45151</c:v>
                </c:pt>
                <c:pt idx="239">
                  <c:v>45150</c:v>
                </c:pt>
                <c:pt idx="240">
                  <c:v>45149</c:v>
                </c:pt>
                <c:pt idx="241">
                  <c:v>45148</c:v>
                </c:pt>
                <c:pt idx="242">
                  <c:v>45147</c:v>
                </c:pt>
                <c:pt idx="243">
                  <c:v>45146</c:v>
                </c:pt>
                <c:pt idx="244">
                  <c:v>45145</c:v>
                </c:pt>
                <c:pt idx="245">
                  <c:v>45144</c:v>
                </c:pt>
                <c:pt idx="246">
                  <c:v>45143</c:v>
                </c:pt>
                <c:pt idx="247">
                  <c:v>45142</c:v>
                </c:pt>
                <c:pt idx="248">
                  <c:v>45141</c:v>
                </c:pt>
                <c:pt idx="249">
                  <c:v>45140</c:v>
                </c:pt>
                <c:pt idx="250">
                  <c:v>45139</c:v>
                </c:pt>
                <c:pt idx="251">
                  <c:v>45138</c:v>
                </c:pt>
                <c:pt idx="252">
                  <c:v>45137</c:v>
                </c:pt>
                <c:pt idx="253">
                  <c:v>45136</c:v>
                </c:pt>
                <c:pt idx="254">
                  <c:v>45135</c:v>
                </c:pt>
                <c:pt idx="255">
                  <c:v>45134</c:v>
                </c:pt>
                <c:pt idx="256">
                  <c:v>45133</c:v>
                </c:pt>
                <c:pt idx="257">
                  <c:v>45132</c:v>
                </c:pt>
                <c:pt idx="258">
                  <c:v>45131</c:v>
                </c:pt>
                <c:pt idx="259">
                  <c:v>45130</c:v>
                </c:pt>
                <c:pt idx="260">
                  <c:v>45129</c:v>
                </c:pt>
                <c:pt idx="261">
                  <c:v>45128</c:v>
                </c:pt>
                <c:pt idx="262">
                  <c:v>45127</c:v>
                </c:pt>
                <c:pt idx="263">
                  <c:v>45126</c:v>
                </c:pt>
                <c:pt idx="264">
                  <c:v>45125</c:v>
                </c:pt>
                <c:pt idx="265">
                  <c:v>45124</c:v>
                </c:pt>
                <c:pt idx="266">
                  <c:v>45123</c:v>
                </c:pt>
                <c:pt idx="267">
                  <c:v>45122</c:v>
                </c:pt>
                <c:pt idx="268">
                  <c:v>45121</c:v>
                </c:pt>
                <c:pt idx="269">
                  <c:v>45120</c:v>
                </c:pt>
                <c:pt idx="270">
                  <c:v>45119</c:v>
                </c:pt>
                <c:pt idx="271">
                  <c:v>45118</c:v>
                </c:pt>
                <c:pt idx="272">
                  <c:v>45117</c:v>
                </c:pt>
                <c:pt idx="273">
                  <c:v>45116</c:v>
                </c:pt>
                <c:pt idx="274">
                  <c:v>45115</c:v>
                </c:pt>
                <c:pt idx="275">
                  <c:v>45114</c:v>
                </c:pt>
                <c:pt idx="276">
                  <c:v>45113</c:v>
                </c:pt>
                <c:pt idx="277">
                  <c:v>45112</c:v>
                </c:pt>
                <c:pt idx="278">
                  <c:v>45111</c:v>
                </c:pt>
                <c:pt idx="279">
                  <c:v>45110</c:v>
                </c:pt>
                <c:pt idx="280">
                  <c:v>45109</c:v>
                </c:pt>
                <c:pt idx="281">
                  <c:v>45108</c:v>
                </c:pt>
                <c:pt idx="282">
                  <c:v>45107</c:v>
                </c:pt>
                <c:pt idx="283">
                  <c:v>45106</c:v>
                </c:pt>
                <c:pt idx="284">
                  <c:v>45105</c:v>
                </c:pt>
                <c:pt idx="285">
                  <c:v>45104</c:v>
                </c:pt>
                <c:pt idx="286">
                  <c:v>45103</c:v>
                </c:pt>
                <c:pt idx="287">
                  <c:v>45102</c:v>
                </c:pt>
                <c:pt idx="288">
                  <c:v>45101</c:v>
                </c:pt>
                <c:pt idx="289">
                  <c:v>45100</c:v>
                </c:pt>
                <c:pt idx="290">
                  <c:v>45099</c:v>
                </c:pt>
                <c:pt idx="291">
                  <c:v>45098</c:v>
                </c:pt>
                <c:pt idx="292">
                  <c:v>45097</c:v>
                </c:pt>
                <c:pt idx="293">
                  <c:v>45096</c:v>
                </c:pt>
                <c:pt idx="294">
                  <c:v>45095</c:v>
                </c:pt>
                <c:pt idx="295">
                  <c:v>45094</c:v>
                </c:pt>
                <c:pt idx="296">
                  <c:v>45093</c:v>
                </c:pt>
                <c:pt idx="297">
                  <c:v>45092</c:v>
                </c:pt>
                <c:pt idx="298">
                  <c:v>45091</c:v>
                </c:pt>
                <c:pt idx="299">
                  <c:v>45090</c:v>
                </c:pt>
                <c:pt idx="300">
                  <c:v>45089</c:v>
                </c:pt>
                <c:pt idx="301">
                  <c:v>45088</c:v>
                </c:pt>
                <c:pt idx="302">
                  <c:v>45087</c:v>
                </c:pt>
                <c:pt idx="303">
                  <c:v>45086</c:v>
                </c:pt>
                <c:pt idx="304">
                  <c:v>45085</c:v>
                </c:pt>
                <c:pt idx="305">
                  <c:v>45084</c:v>
                </c:pt>
                <c:pt idx="306">
                  <c:v>45083</c:v>
                </c:pt>
                <c:pt idx="307">
                  <c:v>45082</c:v>
                </c:pt>
                <c:pt idx="308">
                  <c:v>45081</c:v>
                </c:pt>
                <c:pt idx="309">
                  <c:v>45080</c:v>
                </c:pt>
                <c:pt idx="310">
                  <c:v>45079</c:v>
                </c:pt>
                <c:pt idx="311">
                  <c:v>45078</c:v>
                </c:pt>
                <c:pt idx="312">
                  <c:v>45077</c:v>
                </c:pt>
                <c:pt idx="313">
                  <c:v>45076</c:v>
                </c:pt>
                <c:pt idx="314">
                  <c:v>45075</c:v>
                </c:pt>
                <c:pt idx="315">
                  <c:v>45074</c:v>
                </c:pt>
                <c:pt idx="316">
                  <c:v>45073</c:v>
                </c:pt>
                <c:pt idx="317">
                  <c:v>45072</c:v>
                </c:pt>
                <c:pt idx="318">
                  <c:v>45071</c:v>
                </c:pt>
                <c:pt idx="319">
                  <c:v>45070</c:v>
                </c:pt>
                <c:pt idx="320">
                  <c:v>45069</c:v>
                </c:pt>
                <c:pt idx="321">
                  <c:v>45068</c:v>
                </c:pt>
                <c:pt idx="322">
                  <c:v>45067</c:v>
                </c:pt>
                <c:pt idx="323">
                  <c:v>45066</c:v>
                </c:pt>
                <c:pt idx="324">
                  <c:v>45065</c:v>
                </c:pt>
                <c:pt idx="325">
                  <c:v>45064</c:v>
                </c:pt>
                <c:pt idx="326">
                  <c:v>45063</c:v>
                </c:pt>
                <c:pt idx="327">
                  <c:v>45062</c:v>
                </c:pt>
                <c:pt idx="328">
                  <c:v>45061</c:v>
                </c:pt>
                <c:pt idx="329">
                  <c:v>45060</c:v>
                </c:pt>
                <c:pt idx="330">
                  <c:v>45059</c:v>
                </c:pt>
                <c:pt idx="331">
                  <c:v>45058</c:v>
                </c:pt>
                <c:pt idx="332">
                  <c:v>45057</c:v>
                </c:pt>
                <c:pt idx="333">
                  <c:v>45056</c:v>
                </c:pt>
                <c:pt idx="334">
                  <c:v>45055</c:v>
                </c:pt>
                <c:pt idx="335">
                  <c:v>45054</c:v>
                </c:pt>
                <c:pt idx="336">
                  <c:v>45053</c:v>
                </c:pt>
                <c:pt idx="337">
                  <c:v>45052</c:v>
                </c:pt>
                <c:pt idx="338">
                  <c:v>45051</c:v>
                </c:pt>
                <c:pt idx="339">
                  <c:v>45050</c:v>
                </c:pt>
                <c:pt idx="340">
                  <c:v>45049</c:v>
                </c:pt>
                <c:pt idx="341">
                  <c:v>45048</c:v>
                </c:pt>
                <c:pt idx="342">
                  <c:v>45047</c:v>
                </c:pt>
                <c:pt idx="343">
                  <c:v>45046</c:v>
                </c:pt>
                <c:pt idx="344">
                  <c:v>45045</c:v>
                </c:pt>
                <c:pt idx="345">
                  <c:v>45044</c:v>
                </c:pt>
                <c:pt idx="346">
                  <c:v>45043</c:v>
                </c:pt>
                <c:pt idx="347">
                  <c:v>45042</c:v>
                </c:pt>
                <c:pt idx="348">
                  <c:v>45041</c:v>
                </c:pt>
                <c:pt idx="349">
                  <c:v>45040</c:v>
                </c:pt>
                <c:pt idx="350">
                  <c:v>45039</c:v>
                </c:pt>
                <c:pt idx="351">
                  <c:v>45038</c:v>
                </c:pt>
                <c:pt idx="352">
                  <c:v>45037</c:v>
                </c:pt>
                <c:pt idx="353">
                  <c:v>45036</c:v>
                </c:pt>
                <c:pt idx="354">
                  <c:v>45035</c:v>
                </c:pt>
                <c:pt idx="355">
                  <c:v>45034</c:v>
                </c:pt>
                <c:pt idx="356">
                  <c:v>45033</c:v>
                </c:pt>
                <c:pt idx="357">
                  <c:v>45032</c:v>
                </c:pt>
                <c:pt idx="358">
                  <c:v>45031</c:v>
                </c:pt>
                <c:pt idx="359">
                  <c:v>45030</c:v>
                </c:pt>
                <c:pt idx="360">
                  <c:v>45029</c:v>
                </c:pt>
                <c:pt idx="361">
                  <c:v>45028</c:v>
                </c:pt>
                <c:pt idx="362">
                  <c:v>45027</c:v>
                </c:pt>
                <c:pt idx="363">
                  <c:v>45026</c:v>
                </c:pt>
                <c:pt idx="364">
                  <c:v>45025</c:v>
                </c:pt>
              </c:numCache>
            </c:numRef>
          </c:cat>
          <c:val>
            <c:numRef>
              <c:f>[0]!TOTAL_COST_BASIS</c:f>
              <c:numCache>
                <c:formatCode>"$"#,##0.00</c:formatCode>
                <c:ptCount val="3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7-F441-ADD1-166CD1E19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4144607"/>
        <c:axId val="434331839"/>
      </c:lineChart>
      <c:catAx>
        <c:axId val="434144607"/>
        <c:scaling>
          <c:orientation val="maxMin"/>
        </c:scaling>
        <c:delete val="0"/>
        <c:axPos val="b"/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31839"/>
        <c:crosses val="autoZero"/>
        <c:auto val="0"/>
        <c:lblAlgn val="ctr"/>
        <c:lblOffset val="100"/>
        <c:noMultiLvlLbl val="0"/>
      </c:catAx>
      <c:valAx>
        <c:axId val="43433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144607"/>
        <c:crosses val="max"/>
        <c:crossBetween val="between"/>
      </c:valAx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186267</xdr:colOff>
      <xdr:row>9</xdr:row>
      <xdr:rowOff>207434</xdr:rowOff>
    </xdr:from>
    <xdr:to>
      <xdr:col>12</xdr:col>
      <xdr:colOff>744448</xdr:colOff>
      <xdr:row>31</xdr:row>
      <xdr:rowOff>186266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52"/>
  <sheetViews>
    <sheetView topLeftCell="A5" zoomScale="75" zoomScaleNormal="75" workbookViewId="0">
      <selection activeCell="D38" sqref="D38"/>
    </sheetView>
  </sheetViews>
  <sheetFormatPr baseColWidth="10" defaultRowHeight="16" x14ac:dyDescent="0.2"/>
  <cols>
    <col min="1" max="3" width="10.7109375" style="39" customWidth="1"/>
    <col min="4" max="4" width="16.140625" style="39" customWidth="1"/>
    <col min="5" max="5" width="7" style="39" customWidth="1"/>
    <col min="6" max="6" width="13.140625" style="39" customWidth="1"/>
    <col min="7" max="7" width="10.7109375" style="39" customWidth="1"/>
    <col min="8" max="8" width="21.140625" style="39" customWidth="1"/>
    <col min="9" max="29" width="10.7109375" style="39" customWidth="1"/>
    <col min="30" max="16384" width="10.7109375" style="39"/>
  </cols>
  <sheetData>
    <row r="1" spans="1:18" x14ac:dyDescent="0.2">
      <c r="A1" s="111" t="s">
        <v>0</v>
      </c>
      <c r="B1" s="105"/>
      <c r="C1" s="105"/>
      <c r="D1" s="105"/>
    </row>
    <row r="2" spans="1:18" x14ac:dyDescent="0.2">
      <c r="A2" s="105"/>
      <c r="B2" s="105"/>
      <c r="C2" s="105"/>
      <c r="D2" s="105"/>
    </row>
    <row r="3" spans="1:18" ht="17" customHeight="1" thickBot="1" x14ac:dyDescent="0.25">
      <c r="A3" s="112"/>
      <c r="B3" s="112"/>
      <c r="C3" s="112"/>
      <c r="D3" s="112"/>
    </row>
    <row r="4" spans="1:18" ht="17" customHeight="1" thickTop="1" x14ac:dyDescent="0.2"/>
    <row r="5" spans="1:18" x14ac:dyDescent="0.2">
      <c r="A5" s="104" t="s">
        <v>1</v>
      </c>
      <c r="B5" s="105"/>
      <c r="C5" s="110">
        <v>12115.87</v>
      </c>
      <c r="D5" s="105"/>
    </row>
    <row r="6" spans="1:18" x14ac:dyDescent="0.2">
      <c r="A6" s="105"/>
      <c r="B6" s="105"/>
      <c r="C6" s="105"/>
      <c r="D6" s="105"/>
    </row>
    <row r="7" spans="1:18" x14ac:dyDescent="0.2">
      <c r="A7" s="52"/>
      <c r="B7" s="52"/>
      <c r="C7" s="52"/>
      <c r="D7" s="52"/>
    </row>
    <row r="8" spans="1:18" x14ac:dyDescent="0.2">
      <c r="A8" s="104" t="s">
        <v>2</v>
      </c>
      <c r="B8" s="105"/>
      <c r="C8" s="110">
        <v>0</v>
      </c>
      <c r="D8" s="105"/>
    </row>
    <row r="9" spans="1:18" x14ac:dyDescent="0.2">
      <c r="A9" s="105"/>
      <c r="B9" s="105"/>
      <c r="C9" s="105"/>
      <c r="D9" s="105"/>
    </row>
    <row r="10" spans="1:18" ht="17" customHeight="1" thickBot="1" x14ac:dyDescent="0.25"/>
    <row r="11" spans="1:18" x14ac:dyDescent="0.2">
      <c r="N11" s="106" t="s">
        <v>3</v>
      </c>
      <c r="O11" s="107"/>
      <c r="R11" s="39" t="s">
        <v>4</v>
      </c>
    </row>
    <row r="12" spans="1:18" ht="17" customHeight="1" thickBot="1" x14ac:dyDescent="0.25">
      <c r="N12" s="108"/>
      <c r="O12" s="109"/>
    </row>
    <row r="13" spans="1:18" s="56" customFormat="1" ht="21" customHeight="1" x14ac:dyDescent="0.25">
      <c r="L13" s="78" t="s">
        <v>3</v>
      </c>
    </row>
    <row r="14" spans="1:18" x14ac:dyDescent="0.2">
      <c r="L14" s="79" t="s">
        <v>5</v>
      </c>
    </row>
    <row r="15" spans="1:18" x14ac:dyDescent="0.2">
      <c r="L15" s="79" t="s">
        <v>6</v>
      </c>
    </row>
    <row r="16" spans="1:18" x14ac:dyDescent="0.2">
      <c r="L16" s="79" t="s">
        <v>7</v>
      </c>
    </row>
    <row r="17" spans="4:12" x14ac:dyDescent="0.2">
      <c r="D17" s="51"/>
      <c r="L17" s="79" t="s">
        <v>8</v>
      </c>
    </row>
    <row r="18" spans="4:12" x14ac:dyDescent="0.2">
      <c r="D18" s="51"/>
      <c r="L18" s="79" t="s">
        <v>9</v>
      </c>
    </row>
    <row r="19" spans="4:12" x14ac:dyDescent="0.2">
      <c r="D19" s="51"/>
      <c r="L19" s="79" t="s">
        <v>10</v>
      </c>
    </row>
    <row r="20" spans="4:12" x14ac:dyDescent="0.2">
      <c r="D20" s="51"/>
    </row>
    <row r="21" spans="4:12" x14ac:dyDescent="0.2">
      <c r="D21" s="51"/>
    </row>
    <row r="22" spans="4:12" x14ac:dyDescent="0.2">
      <c r="D22" s="51"/>
    </row>
    <row r="23" spans="4:12" x14ac:dyDescent="0.2">
      <c r="D23" s="51"/>
    </row>
    <row r="24" spans="4:12" x14ac:dyDescent="0.2">
      <c r="D24" s="51"/>
    </row>
    <row r="25" spans="4:12" x14ac:dyDescent="0.2">
      <c r="D25" s="51"/>
    </row>
    <row r="26" spans="4:12" x14ac:dyDescent="0.2">
      <c r="D26" s="51"/>
    </row>
    <row r="27" spans="4:12" x14ac:dyDescent="0.2">
      <c r="D27" s="51"/>
    </row>
    <row r="34" spans="1:8" x14ac:dyDescent="0.2">
      <c r="D34" s="51"/>
    </row>
    <row r="35" spans="1:8" x14ac:dyDescent="0.2">
      <c r="A35" s="104" t="s">
        <v>11</v>
      </c>
      <c r="B35" s="105"/>
    </row>
    <row r="36" spans="1:8" x14ac:dyDescent="0.2">
      <c r="A36" s="105"/>
      <c r="B36" s="105"/>
      <c r="D36" s="51"/>
    </row>
    <row r="37" spans="1:8" ht="21" customHeight="1" x14ac:dyDescent="0.25">
      <c r="A37" s="55" t="s">
        <v>12</v>
      </c>
      <c r="B37" s="55" t="s">
        <v>13</v>
      </c>
      <c r="C37" s="56"/>
      <c r="D37" s="56" t="s">
        <v>14</v>
      </c>
      <c r="E37" s="56"/>
      <c r="F37" s="57" t="s">
        <v>1</v>
      </c>
      <c r="G37" s="56"/>
      <c r="H37" s="56" t="s">
        <v>15</v>
      </c>
    </row>
    <row r="38" spans="1:8" x14ac:dyDescent="0.2">
      <c r="A38" s="39" t="s">
        <v>16</v>
      </c>
      <c r="B38" s="39">
        <v>12273.445639</v>
      </c>
      <c r="F38" s="51">
        <v>7110.93</v>
      </c>
    </row>
    <row r="39" spans="1:8" x14ac:dyDescent="0.2">
      <c r="A39" s="39" t="s">
        <v>17</v>
      </c>
      <c r="B39" s="39">
        <v>81520.145294549991</v>
      </c>
      <c r="F39" s="51">
        <v>5004.41</v>
      </c>
    </row>
    <row r="40" spans="1:8" x14ac:dyDescent="0.2">
      <c r="D40" s="51"/>
    </row>
    <row r="41" spans="1:8" x14ac:dyDescent="0.2">
      <c r="D41" s="51"/>
    </row>
    <row r="42" spans="1:8" x14ac:dyDescent="0.2">
      <c r="D42" s="51"/>
    </row>
    <row r="43" spans="1:8" x14ac:dyDescent="0.2">
      <c r="D43" s="51"/>
    </row>
    <row r="44" spans="1:8" x14ac:dyDescent="0.2">
      <c r="D44" s="51"/>
    </row>
    <row r="45" spans="1:8" x14ac:dyDescent="0.2">
      <c r="D45" s="51"/>
    </row>
    <row r="46" spans="1:8" x14ac:dyDescent="0.2">
      <c r="D46" s="51"/>
    </row>
    <row r="47" spans="1:8" x14ac:dyDescent="0.2">
      <c r="D47" s="51"/>
    </row>
    <row r="48" spans="1:8" x14ac:dyDescent="0.2">
      <c r="D48" s="51"/>
    </row>
    <row r="49" spans="4:4" x14ac:dyDescent="0.2">
      <c r="D49" s="51"/>
    </row>
    <row r="50" spans="4:4" x14ac:dyDescent="0.2">
      <c r="D50" s="51"/>
    </row>
    <row r="51" spans="4:4" x14ac:dyDescent="0.2">
      <c r="D51" s="51"/>
    </row>
    <row r="52" spans="4:4" x14ac:dyDescent="0.2">
      <c r="D52" s="51"/>
    </row>
  </sheetData>
  <mergeCells count="7">
    <mergeCell ref="A35:B36"/>
    <mergeCell ref="N11:O12"/>
    <mergeCell ref="A8:B9"/>
    <mergeCell ref="C8:D9"/>
    <mergeCell ref="A1:D3"/>
    <mergeCell ref="C5:D6"/>
    <mergeCell ref="A5:B6"/>
  </mergeCells>
  <dataValidations count="1">
    <dataValidation type="list" showInputMessage="1" showErrorMessage="1" sqref="N11:O12" xr:uid="{00000000-0002-0000-0000-000000000000}">
      <formula1>$L$13:$L$19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55"/>
  <sheetViews>
    <sheetView zoomScale="92" workbookViewId="0">
      <pane ySplit="1" topLeftCell="A340" activePane="bottomLeft" state="frozen"/>
      <selection activeCell="D1" sqref="D1"/>
      <selection pane="bottomLeft" activeCell="A2" sqref="A2"/>
    </sheetView>
  </sheetViews>
  <sheetFormatPr baseColWidth="10" defaultRowHeight="16" x14ac:dyDescent="0.2"/>
  <cols>
    <col min="1" max="1" width="15.5703125" style="2" customWidth="1"/>
    <col min="2" max="2" width="21.5703125" style="6" customWidth="1"/>
    <col min="3" max="3" width="20.85546875" style="4" customWidth="1"/>
    <col min="4" max="4" width="22.5703125" style="4" customWidth="1"/>
    <col min="5" max="5" width="28.85546875" style="5" customWidth="1"/>
    <col min="6" max="6" width="17" style="7" customWidth="1"/>
    <col min="7" max="7" width="19" style="7" customWidth="1"/>
    <col min="8" max="8" width="23.7109375" style="8" customWidth="1"/>
    <col min="9" max="9" width="15.5703125" style="1" customWidth="1"/>
    <col min="10" max="10" width="16" style="1" customWidth="1"/>
    <col min="11" max="11" width="23" style="9" customWidth="1"/>
    <col min="12" max="12" width="24.28515625" style="3" customWidth="1"/>
    <col min="13" max="13" width="28.28515625" style="3" customWidth="1"/>
  </cols>
  <sheetData>
    <row r="1" spans="1:13" ht="19" customHeight="1" x14ac:dyDescent="0.2">
      <c r="A1" s="29" t="s">
        <v>18</v>
      </c>
      <c r="B1" s="30" t="s">
        <v>19</v>
      </c>
      <c r="C1" s="31" t="s">
        <v>20</v>
      </c>
      <c r="D1" s="31" t="s">
        <v>21</v>
      </c>
      <c r="E1" s="32" t="s">
        <v>22</v>
      </c>
      <c r="F1" s="33" t="s">
        <v>23</v>
      </c>
      <c r="G1" s="33" t="s">
        <v>24</v>
      </c>
      <c r="H1" s="34" t="s">
        <v>25</v>
      </c>
      <c r="I1" s="35" t="s">
        <v>26</v>
      </c>
      <c r="J1" s="35" t="s">
        <v>27</v>
      </c>
      <c r="K1" s="36" t="s">
        <v>28</v>
      </c>
      <c r="L1" s="37" t="s">
        <v>29</v>
      </c>
      <c r="M1" s="38" t="s">
        <v>30</v>
      </c>
    </row>
    <row r="2" spans="1:13" s="40" customFormat="1" x14ac:dyDescent="0.2">
      <c r="A2" s="41">
        <v>45345.194444444453</v>
      </c>
      <c r="B2" s="42" t="s">
        <v>31</v>
      </c>
      <c r="C2" s="43">
        <v>3616.6573899999999</v>
      </c>
      <c r="D2" s="43" t="s">
        <v>16</v>
      </c>
      <c r="E2" s="44">
        <v>1970.64</v>
      </c>
      <c r="F2" s="45">
        <v>3616.6573899999999</v>
      </c>
      <c r="G2" s="45" t="s">
        <v>16</v>
      </c>
      <c r="H2" s="46">
        <v>1970.64</v>
      </c>
      <c r="I2" s="47"/>
      <c r="J2" s="47"/>
      <c r="K2" s="48"/>
      <c r="L2" s="49"/>
      <c r="M2" s="50"/>
    </row>
    <row r="3" spans="1:13" s="40" customFormat="1" x14ac:dyDescent="0.2">
      <c r="A3" s="41">
        <v>45345.19027777778</v>
      </c>
      <c r="B3" s="42" t="s">
        <v>32</v>
      </c>
      <c r="C3" s="43">
        <v>3616.6573899999999</v>
      </c>
      <c r="D3" s="43" t="s">
        <v>16</v>
      </c>
      <c r="E3" s="44">
        <v>1970.64</v>
      </c>
      <c r="F3" s="45"/>
      <c r="G3" s="45"/>
      <c r="H3" s="46"/>
      <c r="I3" s="47">
        <v>29.36</v>
      </c>
      <c r="J3" s="47" t="s">
        <v>33</v>
      </c>
      <c r="K3" s="48">
        <v>29.36</v>
      </c>
      <c r="L3" s="49"/>
      <c r="M3" s="50"/>
    </row>
    <row r="4" spans="1:13" x14ac:dyDescent="0.2">
      <c r="A4" s="10">
        <v>45327.971851851849</v>
      </c>
      <c r="B4" s="11" t="s">
        <v>32</v>
      </c>
      <c r="C4" s="12">
        <v>10.87677555</v>
      </c>
      <c r="D4" s="12" t="s">
        <v>17</v>
      </c>
      <c r="E4" s="13">
        <v>0.74</v>
      </c>
      <c r="F4" s="14"/>
      <c r="G4" s="14"/>
      <c r="H4" s="15"/>
      <c r="I4" s="16">
        <v>1.4769900000000001E-3</v>
      </c>
      <c r="J4" s="16" t="s">
        <v>17</v>
      </c>
      <c r="K4" s="17">
        <v>0</v>
      </c>
      <c r="L4" s="18"/>
      <c r="M4" s="19">
        <v>0</v>
      </c>
    </row>
    <row r="5" spans="1:13" x14ac:dyDescent="0.2">
      <c r="A5" s="10">
        <v>45320.480104166672</v>
      </c>
      <c r="B5" s="11" t="s">
        <v>32</v>
      </c>
      <c r="C5" s="12">
        <v>72.684001640000005</v>
      </c>
      <c r="D5" s="12" t="s">
        <v>17</v>
      </c>
      <c r="E5" s="13">
        <v>5.33</v>
      </c>
      <c r="F5" s="14"/>
      <c r="G5" s="14"/>
      <c r="H5" s="15"/>
      <c r="I5" s="16">
        <v>1.38708E-3</v>
      </c>
      <c r="J5" s="16" t="s">
        <v>17</v>
      </c>
      <c r="K5" s="17">
        <v>0</v>
      </c>
      <c r="L5" s="18"/>
      <c r="M5" s="19">
        <v>0</v>
      </c>
    </row>
    <row r="6" spans="1:13" x14ac:dyDescent="0.2">
      <c r="A6" s="10">
        <v>45281.831469907411</v>
      </c>
      <c r="B6" s="11" t="s">
        <v>32</v>
      </c>
      <c r="C6" s="12">
        <v>34.129637819999999</v>
      </c>
      <c r="D6" s="12" t="s">
        <v>17</v>
      </c>
      <c r="E6" s="13">
        <v>2.97</v>
      </c>
      <c r="F6" s="14"/>
      <c r="G6" s="14"/>
      <c r="H6" s="15"/>
      <c r="I6" s="16">
        <v>1.12359E-3</v>
      </c>
      <c r="J6" s="16" t="s">
        <v>17</v>
      </c>
      <c r="K6" s="17">
        <v>0</v>
      </c>
      <c r="L6" s="18"/>
      <c r="M6" s="19">
        <v>0</v>
      </c>
    </row>
    <row r="7" spans="1:13" x14ac:dyDescent="0.2">
      <c r="A7" s="10">
        <v>45268.5000462963</v>
      </c>
      <c r="B7" s="11" t="s">
        <v>31</v>
      </c>
      <c r="C7" s="12">
        <v>2.5099999999999998E-4</v>
      </c>
      <c r="D7" s="12" t="s">
        <v>34</v>
      </c>
      <c r="E7" s="13">
        <v>0</v>
      </c>
      <c r="F7" s="14">
        <v>2.5099999999999998E-4</v>
      </c>
      <c r="G7" s="14" t="s">
        <v>34</v>
      </c>
      <c r="H7" s="15">
        <v>0</v>
      </c>
      <c r="I7" s="16"/>
      <c r="J7" s="16"/>
      <c r="K7" s="17"/>
      <c r="L7" s="18">
        <v>0</v>
      </c>
      <c r="M7" s="19"/>
    </row>
    <row r="8" spans="1:13" x14ac:dyDescent="0.2">
      <c r="A8" s="10">
        <v>45266.919039351851</v>
      </c>
      <c r="B8" s="11" t="s">
        <v>32</v>
      </c>
      <c r="C8" s="12">
        <v>48.302981090000003</v>
      </c>
      <c r="D8" s="12" t="s">
        <v>17</v>
      </c>
      <c r="E8" s="13">
        <v>3.18</v>
      </c>
      <c r="F8" s="14"/>
      <c r="G8" s="14"/>
      <c r="H8" s="15"/>
      <c r="I8" s="16">
        <v>1.4703800000000001E-3</v>
      </c>
      <c r="J8" s="16" t="s">
        <v>17</v>
      </c>
      <c r="K8" s="17">
        <v>0</v>
      </c>
      <c r="L8" s="18"/>
      <c r="M8" s="19">
        <v>0</v>
      </c>
    </row>
    <row r="9" spans="1:13" x14ac:dyDescent="0.2">
      <c r="A9" s="10">
        <v>45254.750219907408</v>
      </c>
      <c r="B9" s="11" t="s">
        <v>31</v>
      </c>
      <c r="C9" s="12">
        <v>3.4547000000000001E-2</v>
      </c>
      <c r="D9" s="12" t="s">
        <v>34</v>
      </c>
      <c r="E9" s="13">
        <v>0</v>
      </c>
      <c r="F9" s="14">
        <v>3.4547000000000001E-2</v>
      </c>
      <c r="G9" s="14" t="s">
        <v>34</v>
      </c>
      <c r="H9" s="15">
        <v>0</v>
      </c>
      <c r="I9" s="16"/>
      <c r="J9" s="16"/>
      <c r="K9" s="17"/>
      <c r="L9" s="18">
        <v>0</v>
      </c>
      <c r="M9" s="19"/>
    </row>
    <row r="10" spans="1:13" x14ac:dyDescent="0.2">
      <c r="A10" s="10">
        <v>45250.833518518521</v>
      </c>
      <c r="B10" s="11" t="s">
        <v>31</v>
      </c>
      <c r="C10" s="12">
        <v>2.65E-6</v>
      </c>
      <c r="D10" s="12" t="s">
        <v>35</v>
      </c>
      <c r="E10" s="13">
        <v>0</v>
      </c>
      <c r="F10" s="14">
        <v>2.65E-6</v>
      </c>
      <c r="G10" s="14" t="s">
        <v>35</v>
      </c>
      <c r="H10" s="15">
        <v>0</v>
      </c>
      <c r="I10" s="16"/>
      <c r="J10" s="16"/>
      <c r="K10" s="17"/>
      <c r="L10" s="18">
        <v>0</v>
      </c>
      <c r="M10" s="19"/>
    </row>
    <row r="11" spans="1:13" x14ac:dyDescent="0.2">
      <c r="A11" s="10">
        <v>45247.933171296303</v>
      </c>
      <c r="B11" s="11" t="s">
        <v>32</v>
      </c>
      <c r="C11" s="12">
        <v>10.96719865</v>
      </c>
      <c r="D11" s="12" t="s">
        <v>17</v>
      </c>
      <c r="E11" s="13">
        <v>0.67</v>
      </c>
      <c r="F11" s="14"/>
      <c r="G11" s="14"/>
      <c r="H11" s="15"/>
      <c r="I11" s="16">
        <v>1.6597999999999999E-3</v>
      </c>
      <c r="J11" s="16" t="s">
        <v>17</v>
      </c>
      <c r="K11" s="17">
        <v>0</v>
      </c>
      <c r="L11" s="18"/>
      <c r="M11" s="19">
        <v>0</v>
      </c>
    </row>
    <row r="12" spans="1:13" x14ac:dyDescent="0.2">
      <c r="A12" s="10">
        <v>45246.916747685187</v>
      </c>
      <c r="B12" s="11" t="s">
        <v>31</v>
      </c>
      <c r="C12" s="12">
        <v>1.45E-4</v>
      </c>
      <c r="D12" s="12" t="s">
        <v>36</v>
      </c>
      <c r="E12" s="13">
        <v>0</v>
      </c>
      <c r="F12" s="14">
        <v>1.45E-4</v>
      </c>
      <c r="G12" s="14" t="s">
        <v>36</v>
      </c>
      <c r="H12" s="15">
        <v>0</v>
      </c>
      <c r="I12" s="16"/>
      <c r="J12" s="16"/>
      <c r="K12" s="17"/>
      <c r="L12" s="18">
        <v>0</v>
      </c>
      <c r="M12" s="19"/>
    </row>
    <row r="13" spans="1:13" x14ac:dyDescent="0.2">
      <c r="A13" s="10">
        <v>45243.922037037039</v>
      </c>
      <c r="B13" s="11" t="s">
        <v>32</v>
      </c>
      <c r="C13" s="12">
        <v>55.782606919999999</v>
      </c>
      <c r="D13" s="12" t="s">
        <v>17</v>
      </c>
      <c r="E13" s="13">
        <v>3.47</v>
      </c>
      <c r="F13" s="14"/>
      <c r="G13" s="14"/>
      <c r="H13" s="15"/>
      <c r="I13" s="16">
        <v>1.68936E-3</v>
      </c>
      <c r="J13" s="16" t="s">
        <v>17</v>
      </c>
      <c r="K13" s="17">
        <v>0</v>
      </c>
      <c r="L13" s="18"/>
      <c r="M13" s="19">
        <v>0</v>
      </c>
    </row>
    <row r="14" spans="1:13" x14ac:dyDescent="0.2">
      <c r="A14" s="10">
        <v>45236.666921296302</v>
      </c>
      <c r="B14" s="11" t="s">
        <v>31</v>
      </c>
      <c r="C14" s="12">
        <v>1.1867399999999999E-3</v>
      </c>
      <c r="D14" s="12" t="s">
        <v>35</v>
      </c>
      <c r="E14" s="13">
        <v>0</v>
      </c>
      <c r="F14" s="14">
        <v>1.1867399999999999E-3</v>
      </c>
      <c r="G14" s="14" t="s">
        <v>35</v>
      </c>
      <c r="H14" s="15">
        <v>0</v>
      </c>
      <c r="I14" s="16"/>
      <c r="J14" s="16"/>
      <c r="K14" s="17"/>
      <c r="L14" s="18">
        <v>0</v>
      </c>
      <c r="M14" s="19"/>
    </row>
    <row r="15" spans="1:13" x14ac:dyDescent="0.2">
      <c r="A15" s="10">
        <v>45234.106111111112</v>
      </c>
      <c r="B15" s="11" t="s">
        <v>31</v>
      </c>
      <c r="C15" s="12">
        <v>0.19414200000000001</v>
      </c>
      <c r="D15" s="12" t="s">
        <v>36</v>
      </c>
      <c r="E15" s="13">
        <v>0</v>
      </c>
      <c r="F15" s="14">
        <v>0.19414200000000001</v>
      </c>
      <c r="G15" s="14" t="s">
        <v>36</v>
      </c>
      <c r="H15" s="15">
        <v>0</v>
      </c>
      <c r="I15" s="16"/>
      <c r="J15" s="16"/>
      <c r="K15" s="17"/>
      <c r="L15" s="18">
        <v>0</v>
      </c>
      <c r="M15" s="19"/>
    </row>
    <row r="16" spans="1:13" x14ac:dyDescent="0.2">
      <c r="A16" s="10">
        <v>45230.472326388888</v>
      </c>
      <c r="B16" s="11" t="s">
        <v>37</v>
      </c>
      <c r="C16" s="12">
        <v>0.15995400000000001</v>
      </c>
      <c r="D16" s="12" t="s">
        <v>38</v>
      </c>
      <c r="E16" s="13">
        <v>0.16</v>
      </c>
      <c r="F16" s="14">
        <v>2.3085714300000002</v>
      </c>
      <c r="G16" s="14" t="s">
        <v>39</v>
      </c>
      <c r="H16" s="15">
        <v>0.16</v>
      </c>
      <c r="I16" s="16"/>
      <c r="J16" s="16"/>
      <c r="K16" s="17"/>
      <c r="L16" s="18">
        <v>0</v>
      </c>
      <c r="M16" s="19"/>
    </row>
    <row r="17" spans="1:13" x14ac:dyDescent="0.2">
      <c r="A17" s="10">
        <v>45224.691180555557</v>
      </c>
      <c r="B17" s="11" t="s">
        <v>32</v>
      </c>
      <c r="C17" s="12">
        <v>15.683454920000001</v>
      </c>
      <c r="D17" s="12" t="s">
        <v>17</v>
      </c>
      <c r="E17" s="13">
        <v>0.81</v>
      </c>
      <c r="F17" s="14"/>
      <c r="G17" s="14"/>
      <c r="H17" s="15"/>
      <c r="I17" s="16">
        <v>1.9652900000000002E-3</v>
      </c>
      <c r="J17" s="16" t="s">
        <v>17</v>
      </c>
      <c r="K17" s="17">
        <v>0</v>
      </c>
      <c r="L17" s="18"/>
      <c r="M17" s="19">
        <v>0</v>
      </c>
    </row>
    <row r="18" spans="1:13" x14ac:dyDescent="0.2">
      <c r="A18" s="10">
        <v>45219.758831018517</v>
      </c>
      <c r="B18" s="11" t="s">
        <v>32</v>
      </c>
      <c r="C18" s="12">
        <v>297.4689965</v>
      </c>
      <c r="D18" s="12" t="s">
        <v>17</v>
      </c>
      <c r="E18" s="13">
        <v>13.63</v>
      </c>
      <c r="F18" s="14"/>
      <c r="G18" s="14"/>
      <c r="H18" s="15"/>
      <c r="I18" s="16">
        <v>2.1617400000000001E-3</v>
      </c>
      <c r="J18" s="16" t="s">
        <v>17</v>
      </c>
      <c r="K18" s="17">
        <v>0</v>
      </c>
      <c r="L18" s="18"/>
      <c r="M18" s="19">
        <v>0</v>
      </c>
    </row>
    <row r="19" spans="1:13" x14ac:dyDescent="0.2">
      <c r="A19" s="10">
        <v>45146.037858796299</v>
      </c>
      <c r="B19" s="11" t="s">
        <v>31</v>
      </c>
      <c r="C19" s="12">
        <v>43801.362979999998</v>
      </c>
      <c r="D19" s="12" t="s">
        <v>17</v>
      </c>
      <c r="E19" s="13">
        <v>0</v>
      </c>
      <c r="F19" s="14">
        <v>43801.36297917</v>
      </c>
      <c r="G19" s="14" t="s">
        <v>17</v>
      </c>
      <c r="H19" s="15">
        <v>0</v>
      </c>
      <c r="I19" s="16">
        <v>1.80624E-3</v>
      </c>
      <c r="J19" s="16" t="s">
        <v>17</v>
      </c>
      <c r="K19" s="17">
        <v>0</v>
      </c>
      <c r="L19" s="18">
        <v>0</v>
      </c>
      <c r="M19" s="19">
        <v>0</v>
      </c>
    </row>
    <row r="20" spans="1:13" x14ac:dyDescent="0.2">
      <c r="A20" s="10">
        <v>45146.037858796299</v>
      </c>
      <c r="B20" s="11" t="s">
        <v>31</v>
      </c>
      <c r="C20" s="12"/>
      <c r="D20" s="12"/>
      <c r="E20" s="13"/>
      <c r="F20" s="14"/>
      <c r="G20" s="14"/>
      <c r="H20" s="15"/>
      <c r="I20" s="16">
        <v>1</v>
      </c>
      <c r="J20" s="16" t="s">
        <v>17</v>
      </c>
      <c r="K20" s="17">
        <v>0.06</v>
      </c>
      <c r="L20" s="18"/>
      <c r="M20" s="19">
        <v>0</v>
      </c>
    </row>
    <row r="21" spans="1:13" x14ac:dyDescent="0.2">
      <c r="A21" s="10">
        <v>45146.036030092589</v>
      </c>
      <c r="B21" s="11" t="s">
        <v>32</v>
      </c>
      <c r="C21" s="12">
        <v>470.261323</v>
      </c>
      <c r="D21" s="12" t="s">
        <v>17</v>
      </c>
      <c r="E21" s="13">
        <v>26.55</v>
      </c>
      <c r="F21" s="14"/>
      <c r="G21" s="14"/>
      <c r="H21" s="15"/>
      <c r="I21" s="16">
        <v>1.80624E-3</v>
      </c>
      <c r="J21" s="16" t="s">
        <v>17</v>
      </c>
      <c r="K21" s="17">
        <v>0</v>
      </c>
      <c r="L21" s="18"/>
      <c r="M21" s="19">
        <v>0</v>
      </c>
    </row>
    <row r="22" spans="1:13" x14ac:dyDescent="0.2">
      <c r="A22" s="10">
        <v>45146.03597222222</v>
      </c>
      <c r="B22" s="11" t="s">
        <v>40</v>
      </c>
      <c r="C22" s="12"/>
      <c r="D22" s="12" t="s">
        <v>33</v>
      </c>
      <c r="E22" s="13"/>
      <c r="F22" s="14">
        <v>84.666836000000004</v>
      </c>
      <c r="G22" s="14" t="s">
        <v>17</v>
      </c>
      <c r="H22" s="15">
        <v>4.9800000000000004</v>
      </c>
      <c r="I22" s="16">
        <v>1</v>
      </c>
      <c r="J22" s="16" t="s">
        <v>17</v>
      </c>
      <c r="K22" s="17">
        <v>0.06</v>
      </c>
      <c r="L22" s="18">
        <v>0.01</v>
      </c>
      <c r="M22" s="19">
        <v>0</v>
      </c>
    </row>
    <row r="23" spans="1:13" x14ac:dyDescent="0.2">
      <c r="A23" s="10">
        <v>45146.032858796287</v>
      </c>
      <c r="B23" s="11" t="s">
        <v>37</v>
      </c>
      <c r="C23" s="12">
        <v>43834.383661319996</v>
      </c>
      <c r="D23" s="12" t="s">
        <v>17</v>
      </c>
      <c r="E23" s="13">
        <v>2563.87</v>
      </c>
      <c r="F23" s="14">
        <v>1.44312946</v>
      </c>
      <c r="G23" s="14" t="s">
        <v>41</v>
      </c>
      <c r="H23" s="15">
        <v>2055.84</v>
      </c>
      <c r="I23" s="16"/>
      <c r="J23" s="16"/>
      <c r="K23" s="17"/>
      <c r="L23" s="18">
        <v>508.03</v>
      </c>
      <c r="M23" s="19"/>
    </row>
    <row r="24" spans="1:13" x14ac:dyDescent="0.2">
      <c r="A24" s="10">
        <v>45146.030590277784</v>
      </c>
      <c r="B24" s="11" t="s">
        <v>32</v>
      </c>
      <c r="C24" s="12">
        <v>53.646153849999997</v>
      </c>
      <c r="D24" s="12" t="s">
        <v>17</v>
      </c>
      <c r="E24" s="13">
        <v>3.17</v>
      </c>
      <c r="F24" s="14">
        <v>3.17</v>
      </c>
      <c r="G24" s="14" t="s">
        <v>33</v>
      </c>
      <c r="H24" s="15"/>
      <c r="I24" s="16"/>
      <c r="J24" s="16"/>
      <c r="K24" s="17"/>
      <c r="L24" s="18"/>
      <c r="M24" s="19"/>
    </row>
    <row r="25" spans="1:13" x14ac:dyDescent="0.2">
      <c r="A25" s="10">
        <v>45146.027060185188</v>
      </c>
      <c r="B25" s="11" t="s">
        <v>31</v>
      </c>
      <c r="C25" s="12">
        <v>1.44312946</v>
      </c>
      <c r="D25" s="12" t="s">
        <v>41</v>
      </c>
      <c r="E25" s="13">
        <v>0</v>
      </c>
      <c r="F25" s="14">
        <v>1.44312946</v>
      </c>
      <c r="G25" s="14" t="s">
        <v>41</v>
      </c>
      <c r="H25" s="15">
        <v>0</v>
      </c>
      <c r="I25" s="16">
        <v>3.0227999999999999E-4</v>
      </c>
      <c r="J25" s="16" t="s">
        <v>41</v>
      </c>
      <c r="K25" s="17">
        <v>0.36</v>
      </c>
      <c r="L25" s="18">
        <v>0</v>
      </c>
      <c r="M25" s="19">
        <v>0.2</v>
      </c>
    </row>
    <row r="26" spans="1:13" x14ac:dyDescent="0.2">
      <c r="A26" s="10">
        <v>45141.109305555547</v>
      </c>
      <c r="B26" s="11" t="s">
        <v>40</v>
      </c>
      <c r="C26" s="12">
        <v>3.17</v>
      </c>
      <c r="D26" s="12" t="s">
        <v>33</v>
      </c>
      <c r="E26" s="13"/>
      <c r="F26" s="14">
        <v>1.1001E-4</v>
      </c>
      <c r="G26" s="14" t="s">
        <v>42</v>
      </c>
      <c r="H26" s="15">
        <v>3.24</v>
      </c>
      <c r="I26" s="16"/>
      <c r="J26" s="16"/>
      <c r="K26" s="17"/>
      <c r="L26" s="18">
        <v>-7.0000000000000007E-2</v>
      </c>
      <c r="M26" s="19"/>
    </row>
    <row r="27" spans="1:13" x14ac:dyDescent="0.2">
      <c r="A27" s="10">
        <v>45140.752222222232</v>
      </c>
      <c r="B27" s="11" t="s">
        <v>40</v>
      </c>
      <c r="C27" s="12"/>
      <c r="D27" s="12" t="s">
        <v>33</v>
      </c>
      <c r="E27" s="13"/>
      <c r="F27" s="14">
        <v>3.2610999999999998E-3</v>
      </c>
      <c r="G27" s="14" t="s">
        <v>42</v>
      </c>
      <c r="H27" s="15">
        <v>95.98</v>
      </c>
      <c r="I27" s="16">
        <v>2.669E-5</v>
      </c>
      <c r="J27" s="16" t="s">
        <v>42</v>
      </c>
      <c r="K27" s="17">
        <v>0.79</v>
      </c>
      <c r="L27" s="18">
        <v>-1.02</v>
      </c>
      <c r="M27" s="19">
        <v>0</v>
      </c>
    </row>
    <row r="28" spans="1:13" x14ac:dyDescent="0.2">
      <c r="A28" s="10">
        <v>45140.749502314808</v>
      </c>
      <c r="B28" s="11" t="s">
        <v>32</v>
      </c>
      <c r="C28" s="12">
        <v>3.3977999999999999E-3</v>
      </c>
      <c r="D28" s="12" t="s">
        <v>42</v>
      </c>
      <c r="E28" s="13">
        <v>100</v>
      </c>
      <c r="F28" s="14">
        <v>100</v>
      </c>
      <c r="G28" s="14" t="s">
        <v>33</v>
      </c>
      <c r="H28" s="15"/>
      <c r="I28" s="16"/>
      <c r="J28" s="16"/>
      <c r="K28" s="17"/>
      <c r="L28" s="18"/>
      <c r="M28" s="19"/>
    </row>
    <row r="29" spans="1:13" x14ac:dyDescent="0.2">
      <c r="A29" s="10">
        <v>45131.465405092589</v>
      </c>
      <c r="B29" s="11" t="s">
        <v>31</v>
      </c>
      <c r="C29" s="12">
        <v>1418.7446259999999</v>
      </c>
      <c r="D29" s="12" t="s">
        <v>16</v>
      </c>
      <c r="E29" s="13">
        <v>0</v>
      </c>
      <c r="F29" s="14">
        <v>1418.7446259999999</v>
      </c>
      <c r="G29" s="14" t="s">
        <v>16</v>
      </c>
      <c r="H29" s="15">
        <v>0</v>
      </c>
      <c r="I29" s="16"/>
      <c r="J29" s="16"/>
      <c r="K29" s="17"/>
      <c r="L29" s="18">
        <v>0</v>
      </c>
      <c r="M29" s="19"/>
    </row>
    <row r="30" spans="1:13" x14ac:dyDescent="0.2">
      <c r="A30" s="10">
        <v>45131.44159722222</v>
      </c>
      <c r="B30" s="11" t="s">
        <v>32</v>
      </c>
      <c r="C30" s="12">
        <v>1418.7446259999999</v>
      </c>
      <c r="D30" s="12" t="s">
        <v>16</v>
      </c>
      <c r="E30" s="13">
        <v>1000</v>
      </c>
      <c r="F30" s="14">
        <v>1000</v>
      </c>
      <c r="G30" s="14" t="s">
        <v>33</v>
      </c>
      <c r="H30" s="15"/>
      <c r="I30" s="16"/>
      <c r="J30" s="16"/>
      <c r="K30" s="17"/>
      <c r="L30" s="18"/>
      <c r="M30" s="19"/>
    </row>
    <row r="31" spans="1:13" x14ac:dyDescent="0.2">
      <c r="A31" s="10">
        <v>45124.809259259258</v>
      </c>
      <c r="B31" s="11" t="s">
        <v>31</v>
      </c>
      <c r="C31" s="12">
        <v>922.76831300000003</v>
      </c>
      <c r="D31" s="12" t="s">
        <v>16</v>
      </c>
      <c r="E31" s="13">
        <v>0</v>
      </c>
      <c r="F31" s="14">
        <v>922.76831300000003</v>
      </c>
      <c r="G31" s="14" t="s">
        <v>16</v>
      </c>
      <c r="H31" s="15">
        <v>0</v>
      </c>
      <c r="I31" s="16"/>
      <c r="J31" s="16"/>
      <c r="K31" s="17"/>
      <c r="L31" s="18">
        <v>0</v>
      </c>
      <c r="M31" s="19"/>
    </row>
    <row r="32" spans="1:13" x14ac:dyDescent="0.2">
      <c r="A32" s="10">
        <v>45124.807025462957</v>
      </c>
      <c r="B32" s="11" t="s">
        <v>37</v>
      </c>
      <c r="C32" s="12">
        <v>922.76831300000003</v>
      </c>
      <c r="D32" s="12" t="s">
        <v>16</v>
      </c>
      <c r="E32" s="13">
        <v>674.82</v>
      </c>
      <c r="F32" s="14">
        <v>2236.4582850000002</v>
      </c>
      <c r="G32" s="14" t="s">
        <v>36</v>
      </c>
      <c r="H32" s="15">
        <v>784.86</v>
      </c>
      <c r="I32" s="16"/>
      <c r="J32" s="16"/>
      <c r="K32" s="17"/>
      <c r="L32" s="18">
        <v>-110.04</v>
      </c>
      <c r="M32" s="19"/>
    </row>
    <row r="33" spans="1:13" x14ac:dyDescent="0.2">
      <c r="A33" s="10">
        <v>45124.787141203713</v>
      </c>
      <c r="B33" s="11" t="s">
        <v>32</v>
      </c>
      <c r="C33" s="12">
        <v>32.43394</v>
      </c>
      <c r="D33" s="12" t="s">
        <v>36</v>
      </c>
      <c r="E33" s="13">
        <v>9.9600000000000009</v>
      </c>
      <c r="F33" s="14"/>
      <c r="G33" s="14"/>
      <c r="H33" s="15"/>
      <c r="I33" s="16"/>
      <c r="J33" s="16"/>
      <c r="K33" s="17"/>
      <c r="L33" s="18"/>
      <c r="M33" s="19"/>
    </row>
    <row r="34" spans="1:13" x14ac:dyDescent="0.2">
      <c r="A34" s="10">
        <v>45124.787048611113</v>
      </c>
      <c r="B34" s="11" t="s">
        <v>31</v>
      </c>
      <c r="C34" s="12">
        <v>2204.0243150000001</v>
      </c>
      <c r="D34" s="12" t="s">
        <v>36</v>
      </c>
      <c r="E34" s="13">
        <v>0</v>
      </c>
      <c r="F34" s="14">
        <v>2236.622304</v>
      </c>
      <c r="G34" s="14" t="s">
        <v>36</v>
      </c>
      <c r="H34" s="15">
        <v>0</v>
      </c>
      <c r="I34" s="16">
        <v>0.166909</v>
      </c>
      <c r="J34" s="16" t="s">
        <v>36</v>
      </c>
      <c r="K34" s="17">
        <v>0.06</v>
      </c>
      <c r="L34" s="18">
        <v>0</v>
      </c>
      <c r="M34" s="19">
        <v>0</v>
      </c>
    </row>
    <row r="35" spans="1:13" x14ac:dyDescent="0.2">
      <c r="A35" s="10">
        <v>45124.783113425918</v>
      </c>
      <c r="B35" s="11" t="s">
        <v>31</v>
      </c>
      <c r="C35" s="12">
        <v>919.04330900000002</v>
      </c>
      <c r="D35" s="12" t="s">
        <v>16</v>
      </c>
      <c r="E35" s="13">
        <v>0</v>
      </c>
      <c r="F35" s="14">
        <v>919.04330900000002</v>
      </c>
      <c r="G35" s="14" t="s">
        <v>16</v>
      </c>
      <c r="H35" s="15">
        <v>0</v>
      </c>
      <c r="I35" s="16"/>
      <c r="J35" s="16"/>
      <c r="K35" s="17"/>
      <c r="L35" s="18">
        <v>0</v>
      </c>
      <c r="M35" s="19"/>
    </row>
    <row r="36" spans="1:13" x14ac:dyDescent="0.2">
      <c r="A36" s="10">
        <v>45124.777662037042</v>
      </c>
      <c r="B36" s="11" t="s">
        <v>31</v>
      </c>
      <c r="C36" s="12">
        <v>22</v>
      </c>
      <c r="D36" s="12" t="s">
        <v>16</v>
      </c>
      <c r="E36" s="13">
        <v>0</v>
      </c>
      <c r="F36" s="14">
        <v>22</v>
      </c>
      <c r="G36" s="14" t="s">
        <v>16</v>
      </c>
      <c r="H36" s="15">
        <v>0</v>
      </c>
      <c r="I36" s="16"/>
      <c r="J36" s="16"/>
      <c r="K36" s="17"/>
      <c r="L36" s="18">
        <v>0</v>
      </c>
      <c r="M36" s="19"/>
    </row>
    <row r="37" spans="1:13" x14ac:dyDescent="0.2">
      <c r="A37" s="10">
        <v>45124.775393518517</v>
      </c>
      <c r="B37" s="11" t="s">
        <v>37</v>
      </c>
      <c r="C37" s="12">
        <v>941.04330900000002</v>
      </c>
      <c r="D37" s="12" t="s">
        <v>16</v>
      </c>
      <c r="E37" s="13">
        <v>681.5</v>
      </c>
      <c r="F37" s="14">
        <v>75.606707</v>
      </c>
      <c r="G37" s="14" t="s">
        <v>34</v>
      </c>
      <c r="H37" s="15">
        <v>746.63</v>
      </c>
      <c r="I37" s="16"/>
      <c r="J37" s="16"/>
      <c r="K37" s="17"/>
      <c r="L37" s="18">
        <v>-65.13</v>
      </c>
      <c r="M37" s="19"/>
    </row>
    <row r="38" spans="1:13" x14ac:dyDescent="0.2">
      <c r="A38" s="10">
        <v>45124.773773148147</v>
      </c>
      <c r="B38" s="11" t="s">
        <v>31</v>
      </c>
      <c r="C38" s="12">
        <v>74.602784999999997</v>
      </c>
      <c r="D38" s="12" t="s">
        <v>34</v>
      </c>
      <c r="E38" s="13">
        <v>0</v>
      </c>
      <c r="F38" s="14">
        <v>74.604799999999997</v>
      </c>
      <c r="G38" s="14" t="s">
        <v>34</v>
      </c>
      <c r="H38" s="15">
        <v>0</v>
      </c>
      <c r="I38" s="16">
        <v>2.065E-3</v>
      </c>
      <c r="J38" s="16" t="s">
        <v>34</v>
      </c>
      <c r="K38" s="17">
        <v>0</v>
      </c>
      <c r="L38" s="18">
        <v>0</v>
      </c>
      <c r="M38" s="19">
        <v>0</v>
      </c>
    </row>
    <row r="39" spans="1:13" x14ac:dyDescent="0.2">
      <c r="A39" s="10">
        <v>45124.773773148147</v>
      </c>
      <c r="B39" s="11" t="s">
        <v>31</v>
      </c>
      <c r="C39" s="12"/>
      <c r="D39" s="12"/>
      <c r="E39" s="13"/>
      <c r="F39" s="14"/>
      <c r="G39" s="14"/>
      <c r="H39" s="15"/>
      <c r="I39" s="16">
        <v>2.065E-3</v>
      </c>
      <c r="J39" s="16" t="s">
        <v>34</v>
      </c>
      <c r="K39" s="17">
        <v>0.02</v>
      </c>
      <c r="L39" s="18"/>
      <c r="M39" s="19">
        <v>0</v>
      </c>
    </row>
    <row r="40" spans="1:13" x14ac:dyDescent="0.2">
      <c r="A40" s="10">
        <v>45124.772534722222</v>
      </c>
      <c r="B40" s="11" t="s">
        <v>31</v>
      </c>
      <c r="C40" s="12">
        <v>1</v>
      </c>
      <c r="D40" s="12" t="s">
        <v>34</v>
      </c>
      <c r="E40" s="13">
        <v>0</v>
      </c>
      <c r="F40" s="14">
        <v>1.0025999999999999</v>
      </c>
      <c r="G40" s="14" t="s">
        <v>34</v>
      </c>
      <c r="H40" s="15">
        <v>0</v>
      </c>
      <c r="I40" s="16">
        <v>2.6050000000000001E-3</v>
      </c>
      <c r="J40" s="16" t="s">
        <v>34</v>
      </c>
      <c r="K40" s="17">
        <v>0</v>
      </c>
      <c r="L40" s="18">
        <v>0</v>
      </c>
      <c r="M40" s="19">
        <v>0</v>
      </c>
    </row>
    <row r="41" spans="1:13" x14ac:dyDescent="0.2">
      <c r="A41" s="10">
        <v>45124.772534722222</v>
      </c>
      <c r="B41" s="11" t="s">
        <v>31</v>
      </c>
      <c r="C41" s="12"/>
      <c r="D41" s="12"/>
      <c r="E41" s="13"/>
      <c r="F41" s="14"/>
      <c r="G41" s="14"/>
      <c r="H41" s="15"/>
      <c r="I41" s="16">
        <v>2.6050000000000001E-3</v>
      </c>
      <c r="J41" s="16" t="s">
        <v>34</v>
      </c>
      <c r="K41" s="17">
        <v>0.03</v>
      </c>
      <c r="L41" s="18"/>
      <c r="M41" s="19">
        <v>0</v>
      </c>
    </row>
    <row r="42" spans="1:13" x14ac:dyDescent="0.2">
      <c r="A42" s="10">
        <v>45124.756597222222</v>
      </c>
      <c r="B42" s="11" t="s">
        <v>32</v>
      </c>
      <c r="C42" s="12">
        <v>971.85601499999996</v>
      </c>
      <c r="D42" s="12" t="s">
        <v>16</v>
      </c>
      <c r="E42" s="13">
        <v>725.94</v>
      </c>
      <c r="F42" s="14"/>
      <c r="G42" s="14"/>
      <c r="H42" s="15"/>
      <c r="I42" s="16"/>
      <c r="J42" s="16"/>
      <c r="K42" s="17"/>
      <c r="L42" s="18"/>
      <c r="M42" s="19"/>
    </row>
    <row r="43" spans="1:13" x14ac:dyDescent="0.2">
      <c r="A43" s="10">
        <v>45124.755266203712</v>
      </c>
      <c r="B43" s="11" t="s">
        <v>40</v>
      </c>
      <c r="C43" s="12">
        <v>941.2</v>
      </c>
      <c r="D43" s="12" t="s">
        <v>33</v>
      </c>
      <c r="E43" s="13"/>
      <c r="F43" s="14">
        <v>105.2927045</v>
      </c>
      <c r="G43" s="14" t="s">
        <v>43</v>
      </c>
      <c r="H43" s="15">
        <v>941.2</v>
      </c>
      <c r="I43" s="16">
        <v>1.3099100000000001E-3</v>
      </c>
      <c r="J43" s="16" t="s">
        <v>41</v>
      </c>
      <c r="K43" s="17">
        <v>3.53</v>
      </c>
      <c r="L43" s="18">
        <v>-247.1</v>
      </c>
      <c r="M43" s="19">
        <v>-1.01</v>
      </c>
    </row>
    <row r="44" spans="1:13" x14ac:dyDescent="0.2">
      <c r="A44" s="10">
        <v>45120.656944444447</v>
      </c>
      <c r="B44" s="11" t="s">
        <v>31</v>
      </c>
      <c r="C44" s="12">
        <v>41.127263999999997</v>
      </c>
      <c r="D44" s="12" t="s">
        <v>34</v>
      </c>
      <c r="E44" s="13">
        <v>0</v>
      </c>
      <c r="F44" s="14">
        <v>41.127263999999997</v>
      </c>
      <c r="G44" s="14" t="s">
        <v>34</v>
      </c>
      <c r="H44" s="15">
        <v>0</v>
      </c>
      <c r="I44" s="16"/>
      <c r="J44" s="16"/>
      <c r="K44" s="17"/>
      <c r="L44" s="18">
        <v>0</v>
      </c>
      <c r="M44" s="19"/>
    </row>
    <row r="45" spans="1:13" x14ac:dyDescent="0.2">
      <c r="A45" s="10">
        <v>45120.615624999999</v>
      </c>
      <c r="B45" s="11" t="s">
        <v>37</v>
      </c>
      <c r="C45" s="12">
        <v>41.127263999999997</v>
      </c>
      <c r="D45" s="12" t="s">
        <v>34</v>
      </c>
      <c r="E45" s="13">
        <v>373.09</v>
      </c>
      <c r="F45" s="14">
        <v>10480.330599770001</v>
      </c>
      <c r="G45" s="14" t="s">
        <v>44</v>
      </c>
      <c r="H45" s="15">
        <v>496.16</v>
      </c>
      <c r="I45" s="16">
        <v>28.193308819999999</v>
      </c>
      <c r="J45" s="16" t="s">
        <v>44</v>
      </c>
      <c r="K45" s="17">
        <v>1.33</v>
      </c>
      <c r="L45" s="18">
        <v>-124.07</v>
      </c>
      <c r="M45" s="19">
        <v>-0.33</v>
      </c>
    </row>
    <row r="46" spans="1:13" x14ac:dyDescent="0.2">
      <c r="A46" s="10">
        <v>45116.625775462962</v>
      </c>
      <c r="B46" s="11" t="s">
        <v>40</v>
      </c>
      <c r="C46" s="12"/>
      <c r="D46" s="12" t="s">
        <v>33</v>
      </c>
      <c r="E46" s="13"/>
      <c r="F46" s="14">
        <v>22.76346173</v>
      </c>
      <c r="G46" s="14" t="s">
        <v>44</v>
      </c>
      <c r="H46" s="15">
        <v>1.36</v>
      </c>
      <c r="I46" s="16">
        <v>30.233383910000001</v>
      </c>
      <c r="J46" s="16" t="s">
        <v>44</v>
      </c>
      <c r="K46" s="17">
        <v>1.43</v>
      </c>
      <c r="L46" s="18">
        <v>-1.36</v>
      </c>
      <c r="M46" s="19">
        <v>-0.28000000000000003</v>
      </c>
    </row>
    <row r="47" spans="1:13" x14ac:dyDescent="0.2">
      <c r="A47" s="10">
        <v>45116.610625000001</v>
      </c>
      <c r="B47" s="11" t="s">
        <v>31</v>
      </c>
      <c r="C47" s="12">
        <v>0.16642000000000001</v>
      </c>
      <c r="D47" s="12" t="s">
        <v>34</v>
      </c>
      <c r="E47" s="13">
        <v>0</v>
      </c>
      <c r="F47" s="14">
        <v>0.16642000000000001</v>
      </c>
      <c r="G47" s="14" t="s">
        <v>34</v>
      </c>
      <c r="H47" s="15">
        <v>0</v>
      </c>
      <c r="I47" s="16">
        <v>5.0000000000000001E-3</v>
      </c>
      <c r="J47" s="16" t="s">
        <v>34</v>
      </c>
      <c r="K47" s="17">
        <v>0.05</v>
      </c>
      <c r="L47" s="18">
        <v>0</v>
      </c>
      <c r="M47" s="19">
        <v>-0.01</v>
      </c>
    </row>
    <row r="48" spans="1:13" x14ac:dyDescent="0.2">
      <c r="A48" s="10">
        <v>45116.609988425917</v>
      </c>
      <c r="B48" s="11" t="s">
        <v>31</v>
      </c>
      <c r="C48" s="12">
        <v>34.313771000000003</v>
      </c>
      <c r="D48" s="12" t="s">
        <v>34</v>
      </c>
      <c r="E48" s="13">
        <v>0</v>
      </c>
      <c r="F48" s="14">
        <v>34.313771000000003</v>
      </c>
      <c r="G48" s="14" t="s">
        <v>34</v>
      </c>
      <c r="H48" s="15">
        <v>0</v>
      </c>
      <c r="I48" s="16">
        <v>5.0000000000000001E-3</v>
      </c>
      <c r="J48" s="16" t="s">
        <v>34</v>
      </c>
      <c r="K48" s="17">
        <v>0.05</v>
      </c>
      <c r="L48" s="18">
        <v>0</v>
      </c>
      <c r="M48" s="19">
        <v>-0.01</v>
      </c>
    </row>
    <row r="49" spans="1:13" x14ac:dyDescent="0.2">
      <c r="A49" s="10">
        <v>45097.803483796299</v>
      </c>
      <c r="B49" s="11" t="s">
        <v>31</v>
      </c>
      <c r="C49" s="12">
        <v>44.590986000000001</v>
      </c>
      <c r="D49" s="12" t="s">
        <v>16</v>
      </c>
      <c r="E49" s="13">
        <v>0</v>
      </c>
      <c r="F49" s="14">
        <v>44.590986000000001</v>
      </c>
      <c r="G49" s="14" t="s">
        <v>16</v>
      </c>
      <c r="H49" s="15">
        <v>0</v>
      </c>
      <c r="I49" s="16">
        <v>2.0316010000000002</v>
      </c>
      <c r="J49" s="16" t="s">
        <v>16</v>
      </c>
      <c r="K49" s="17">
        <v>0.87</v>
      </c>
      <c r="L49" s="18">
        <v>0</v>
      </c>
      <c r="M49" s="19">
        <v>0.13</v>
      </c>
    </row>
    <row r="50" spans="1:13" x14ac:dyDescent="0.2">
      <c r="A50" s="10">
        <v>45096.837106481478</v>
      </c>
      <c r="B50" s="11" t="s">
        <v>40</v>
      </c>
      <c r="C50" s="12"/>
      <c r="D50" s="12" t="s">
        <v>33</v>
      </c>
      <c r="E50" s="13"/>
      <c r="F50" s="14">
        <v>11.674170999999999</v>
      </c>
      <c r="G50" s="14" t="s">
        <v>34</v>
      </c>
      <c r="H50" s="15">
        <v>126.43</v>
      </c>
      <c r="I50" s="16">
        <v>5.0000000000000001E-3</v>
      </c>
      <c r="J50" s="16" t="s">
        <v>34</v>
      </c>
      <c r="K50" s="17">
        <v>0.05</v>
      </c>
      <c r="L50" s="18">
        <v>-26.54</v>
      </c>
      <c r="M50" s="19">
        <v>-0.01</v>
      </c>
    </row>
    <row r="51" spans="1:13" x14ac:dyDescent="0.2">
      <c r="A51" s="10">
        <v>45087.117835648147</v>
      </c>
      <c r="B51" s="11" t="s">
        <v>32</v>
      </c>
      <c r="C51" s="12">
        <v>130.24433859999999</v>
      </c>
      <c r="D51" s="12" t="s">
        <v>17</v>
      </c>
      <c r="E51" s="13">
        <v>6.31</v>
      </c>
      <c r="F51" s="14"/>
      <c r="G51" s="14"/>
      <c r="H51" s="15"/>
      <c r="I51" s="16">
        <v>2.1522300000000002E-3</v>
      </c>
      <c r="J51" s="16" t="s">
        <v>17</v>
      </c>
      <c r="K51" s="17">
        <v>0</v>
      </c>
      <c r="L51" s="18"/>
      <c r="M51" s="19">
        <v>0</v>
      </c>
    </row>
    <row r="52" spans="1:13" x14ac:dyDescent="0.2">
      <c r="A52" s="10">
        <v>45080.62127314815</v>
      </c>
      <c r="B52" s="11" t="s">
        <v>32</v>
      </c>
      <c r="C52" s="12">
        <v>46.169621999999997</v>
      </c>
      <c r="D52" s="12" t="s">
        <v>34</v>
      </c>
      <c r="E52" s="13">
        <v>500</v>
      </c>
      <c r="F52" s="14">
        <v>500</v>
      </c>
      <c r="G52" s="14" t="s">
        <v>33</v>
      </c>
      <c r="H52" s="15"/>
      <c r="I52" s="16"/>
      <c r="J52" s="16"/>
      <c r="K52" s="17"/>
      <c r="L52" s="18"/>
      <c r="M52" s="19"/>
    </row>
    <row r="53" spans="1:13" x14ac:dyDescent="0.2">
      <c r="A53" s="10">
        <v>45080.620810185188</v>
      </c>
      <c r="B53" s="11" t="s">
        <v>32</v>
      </c>
      <c r="C53" s="12">
        <v>10561.52075424</v>
      </c>
      <c r="D53" s="12" t="s">
        <v>44</v>
      </c>
      <c r="E53" s="13">
        <v>500</v>
      </c>
      <c r="F53" s="14">
        <v>500</v>
      </c>
      <c r="G53" s="14" t="s">
        <v>33</v>
      </c>
      <c r="H53" s="15"/>
      <c r="I53" s="16"/>
      <c r="J53" s="16"/>
      <c r="K53" s="17"/>
      <c r="L53" s="18"/>
      <c r="M53" s="19"/>
    </row>
    <row r="54" spans="1:13" x14ac:dyDescent="0.2">
      <c r="A54" s="10">
        <v>45067.315312500003</v>
      </c>
      <c r="B54" s="11" t="s">
        <v>32</v>
      </c>
      <c r="C54" s="12">
        <v>58.46972882</v>
      </c>
      <c r="D54" s="12" t="s">
        <v>17</v>
      </c>
      <c r="E54" s="13">
        <v>3.1</v>
      </c>
      <c r="F54" s="14"/>
      <c r="G54" s="14"/>
      <c r="H54" s="15"/>
      <c r="I54" s="16">
        <v>1.92783E-3</v>
      </c>
      <c r="J54" s="16" t="s">
        <v>17</v>
      </c>
      <c r="K54" s="17">
        <v>0</v>
      </c>
      <c r="L54" s="18"/>
      <c r="M54" s="19">
        <v>0</v>
      </c>
    </row>
    <row r="55" spans="1:13" x14ac:dyDescent="0.2">
      <c r="A55" s="10">
        <v>45062.631377314807</v>
      </c>
      <c r="B55" s="11" t="s">
        <v>32</v>
      </c>
      <c r="C55" s="12">
        <v>2.36</v>
      </c>
      <c r="D55" s="12" t="s">
        <v>39</v>
      </c>
      <c r="E55" s="13">
        <v>0.16</v>
      </c>
      <c r="F55" s="14"/>
      <c r="G55" s="14"/>
      <c r="H55" s="15"/>
      <c r="I55" s="16"/>
      <c r="J55" s="16"/>
      <c r="K55" s="17"/>
      <c r="L55" s="18"/>
      <c r="M55" s="19"/>
    </row>
    <row r="56" spans="1:13" x14ac:dyDescent="0.2">
      <c r="A56" s="10">
        <v>45058.339050925933</v>
      </c>
      <c r="B56" s="11" t="s">
        <v>32</v>
      </c>
      <c r="C56" s="12">
        <v>283.87965309999998</v>
      </c>
      <c r="D56" s="12" t="s">
        <v>17</v>
      </c>
      <c r="E56" s="13">
        <v>14.59</v>
      </c>
      <c r="F56" s="14"/>
      <c r="G56" s="14"/>
      <c r="H56" s="15"/>
      <c r="I56" s="16">
        <v>2.0073999999999999E-3</v>
      </c>
      <c r="J56" s="16" t="s">
        <v>17</v>
      </c>
      <c r="K56" s="17">
        <v>0</v>
      </c>
      <c r="L56" s="18"/>
      <c r="M56" s="19">
        <v>0</v>
      </c>
    </row>
    <row r="57" spans="1:13" x14ac:dyDescent="0.2">
      <c r="A57" s="10">
        <v>45058.196527777778</v>
      </c>
      <c r="B57" s="11" t="s">
        <v>32</v>
      </c>
      <c r="C57" s="12">
        <v>46.622587000000003</v>
      </c>
      <c r="D57" s="12" t="s">
        <v>16</v>
      </c>
      <c r="E57" s="13">
        <v>20</v>
      </c>
      <c r="F57" s="14">
        <v>20</v>
      </c>
      <c r="G57" s="14" t="s">
        <v>33</v>
      </c>
      <c r="H57" s="15"/>
      <c r="I57" s="16"/>
      <c r="J57" s="16"/>
      <c r="K57" s="17"/>
      <c r="L57" s="18"/>
      <c r="M57" s="19"/>
    </row>
    <row r="58" spans="1:13" x14ac:dyDescent="0.2">
      <c r="A58" s="10">
        <v>45054.774907407409</v>
      </c>
      <c r="B58" s="11" t="s">
        <v>32</v>
      </c>
      <c r="C58" s="12">
        <v>113.28700000000001</v>
      </c>
      <c r="D58" s="12" t="s">
        <v>16</v>
      </c>
      <c r="E58" s="13">
        <v>51.02</v>
      </c>
      <c r="F58" s="14"/>
      <c r="G58" s="14"/>
      <c r="H58" s="15"/>
      <c r="I58" s="16"/>
      <c r="J58" s="16"/>
      <c r="K58" s="17"/>
      <c r="L58" s="18"/>
      <c r="M58" s="19"/>
    </row>
    <row r="59" spans="1:13" x14ac:dyDescent="0.2">
      <c r="A59" s="10">
        <v>45034.605578703697</v>
      </c>
      <c r="B59" s="11" t="s">
        <v>31</v>
      </c>
      <c r="C59" s="12">
        <v>105.2927045</v>
      </c>
      <c r="D59" s="12" t="s">
        <v>43</v>
      </c>
      <c r="E59" s="13">
        <v>0</v>
      </c>
      <c r="F59" s="14">
        <v>105.2927045</v>
      </c>
      <c r="G59" s="14" t="s">
        <v>43</v>
      </c>
      <c r="H59" s="15">
        <v>0</v>
      </c>
      <c r="I59" s="16">
        <v>0.60699495999999997</v>
      </c>
      <c r="J59" s="16" t="s">
        <v>43</v>
      </c>
      <c r="K59" s="17">
        <v>5.4</v>
      </c>
      <c r="L59" s="18">
        <v>0</v>
      </c>
      <c r="M59" s="19">
        <v>-0.14000000000000001</v>
      </c>
    </row>
    <row r="60" spans="1:13" x14ac:dyDescent="0.2">
      <c r="A60" s="10">
        <v>45034.600636574083</v>
      </c>
      <c r="B60" s="11" t="s">
        <v>37</v>
      </c>
      <c r="C60" s="12">
        <v>105.89969945999999</v>
      </c>
      <c r="D60" s="12" t="s">
        <v>43</v>
      </c>
      <c r="E60" s="13">
        <v>941.34</v>
      </c>
      <c r="F60" s="14">
        <v>4215.5891810000003</v>
      </c>
      <c r="G60" s="14" t="s">
        <v>45</v>
      </c>
      <c r="H60" s="15">
        <v>941.58</v>
      </c>
      <c r="I60" s="16"/>
      <c r="J60" s="16"/>
      <c r="K60" s="17"/>
      <c r="L60" s="18">
        <v>-0.24</v>
      </c>
      <c r="M60" s="19"/>
    </row>
    <row r="61" spans="1:13" x14ac:dyDescent="0.2">
      <c r="A61" s="10">
        <v>45034.597361111111</v>
      </c>
      <c r="B61" s="11" t="s">
        <v>32</v>
      </c>
      <c r="C61" s="12">
        <v>4205.5225110000001</v>
      </c>
      <c r="D61" s="12" t="s">
        <v>45</v>
      </c>
      <c r="E61" s="13">
        <v>939.3</v>
      </c>
      <c r="F61" s="14"/>
      <c r="G61" s="14"/>
      <c r="H61" s="15"/>
      <c r="I61" s="16"/>
      <c r="J61" s="16"/>
      <c r="K61" s="17"/>
      <c r="L61" s="18"/>
      <c r="M61" s="19"/>
    </row>
    <row r="62" spans="1:13" x14ac:dyDescent="0.2">
      <c r="A62" s="10">
        <v>45021.817060185182</v>
      </c>
      <c r="B62" s="11" t="s">
        <v>40</v>
      </c>
      <c r="C62" s="12"/>
      <c r="D62" s="12" t="s">
        <v>33</v>
      </c>
      <c r="E62" s="13"/>
      <c r="F62" s="14">
        <v>452.25930699999998</v>
      </c>
      <c r="G62" s="14" t="s">
        <v>45</v>
      </c>
      <c r="H62" s="15">
        <v>100</v>
      </c>
      <c r="I62" s="16">
        <v>2E-3</v>
      </c>
      <c r="J62" s="16" t="s">
        <v>45</v>
      </c>
      <c r="K62" s="17">
        <v>0</v>
      </c>
      <c r="L62" s="18">
        <v>-1</v>
      </c>
      <c r="M62" s="19">
        <v>0</v>
      </c>
    </row>
    <row r="63" spans="1:13" x14ac:dyDescent="0.2">
      <c r="A63" s="10">
        <v>45021.816307870373</v>
      </c>
      <c r="B63" s="11" t="s">
        <v>32</v>
      </c>
      <c r="C63" s="12">
        <v>452.26130699999999</v>
      </c>
      <c r="D63" s="12" t="s">
        <v>45</v>
      </c>
      <c r="E63" s="13">
        <v>100</v>
      </c>
      <c r="F63" s="14">
        <v>100</v>
      </c>
      <c r="G63" s="14" t="s">
        <v>33</v>
      </c>
      <c r="H63" s="15"/>
      <c r="I63" s="16"/>
      <c r="J63" s="16"/>
      <c r="K63" s="17"/>
      <c r="L63" s="18"/>
      <c r="M63" s="19"/>
    </row>
    <row r="64" spans="1:13" x14ac:dyDescent="0.2">
      <c r="A64" s="10">
        <v>45021.780960648153</v>
      </c>
      <c r="B64" s="11" t="s">
        <v>40</v>
      </c>
      <c r="C64" s="12">
        <v>108.45</v>
      </c>
      <c r="D64" s="12" t="s">
        <v>33</v>
      </c>
      <c r="E64" s="13"/>
      <c r="F64" s="14">
        <v>218.05908600000001</v>
      </c>
      <c r="G64" s="14" t="s">
        <v>16</v>
      </c>
      <c r="H64" s="15">
        <v>95.33</v>
      </c>
      <c r="I64" s="16">
        <v>1.949411</v>
      </c>
      <c r="J64" s="16" t="s">
        <v>16</v>
      </c>
      <c r="K64" s="17">
        <v>0.85</v>
      </c>
      <c r="L64" s="18">
        <v>12.15</v>
      </c>
      <c r="M64" s="19">
        <v>0.12</v>
      </c>
    </row>
    <row r="65" spans="1:13" x14ac:dyDescent="0.2">
      <c r="A65" s="10">
        <v>45016.125775462962</v>
      </c>
      <c r="B65" s="11" t="s">
        <v>40</v>
      </c>
      <c r="C65" s="12"/>
      <c r="D65" s="12" t="s">
        <v>33</v>
      </c>
      <c r="E65" s="13"/>
      <c r="F65" s="14">
        <v>232</v>
      </c>
      <c r="G65" s="14" t="s">
        <v>33</v>
      </c>
      <c r="H65" s="15"/>
      <c r="I65" s="16"/>
      <c r="J65" s="16"/>
      <c r="K65" s="17"/>
      <c r="L65" s="18"/>
      <c r="M65" s="19"/>
    </row>
    <row r="66" spans="1:13" x14ac:dyDescent="0.2">
      <c r="A66" s="10">
        <v>45014.83798611111</v>
      </c>
      <c r="B66" s="11" t="s">
        <v>40</v>
      </c>
      <c r="C66" s="12"/>
      <c r="D66" s="12" t="s">
        <v>33</v>
      </c>
      <c r="E66" s="13"/>
      <c r="F66" s="14">
        <v>35.840000000000003</v>
      </c>
      <c r="G66" s="14" t="s">
        <v>33</v>
      </c>
      <c r="H66" s="15"/>
      <c r="I66" s="16"/>
      <c r="J66" s="16"/>
      <c r="K66" s="17"/>
      <c r="L66" s="18"/>
      <c r="M66" s="19"/>
    </row>
    <row r="67" spans="1:13" x14ac:dyDescent="0.2">
      <c r="A67" s="10">
        <v>45014.812800925924</v>
      </c>
      <c r="B67" s="11" t="s">
        <v>32</v>
      </c>
      <c r="C67" s="12">
        <v>6.4506019400000003</v>
      </c>
      <c r="D67" s="12" t="s">
        <v>17</v>
      </c>
      <c r="E67" s="13">
        <v>0.38</v>
      </c>
      <c r="F67" s="14"/>
      <c r="G67" s="14"/>
      <c r="H67" s="15"/>
      <c r="I67" s="16">
        <v>1.6043400000000001E-3</v>
      </c>
      <c r="J67" s="16" t="s">
        <v>17</v>
      </c>
      <c r="K67" s="17">
        <v>0</v>
      </c>
      <c r="L67" s="18"/>
      <c r="M67" s="19">
        <v>0</v>
      </c>
    </row>
    <row r="68" spans="1:13" x14ac:dyDescent="0.2">
      <c r="A68" s="10">
        <v>45014.775520833333</v>
      </c>
      <c r="B68" s="11" t="s">
        <v>40</v>
      </c>
      <c r="C68" s="12">
        <v>267.83999999999997</v>
      </c>
      <c r="D68" s="12" t="s">
        <v>33</v>
      </c>
      <c r="E68" s="13"/>
      <c r="F68" s="14">
        <v>267.84058800000003</v>
      </c>
      <c r="G68" s="14" t="s">
        <v>38</v>
      </c>
      <c r="H68" s="15">
        <v>270.66000000000003</v>
      </c>
      <c r="I68" s="16"/>
      <c r="J68" s="16"/>
      <c r="K68" s="17"/>
      <c r="L68" s="18">
        <v>-2.82</v>
      </c>
      <c r="M68" s="19"/>
    </row>
    <row r="69" spans="1:13" x14ac:dyDescent="0.2">
      <c r="A69" s="10">
        <v>45014.774351851847</v>
      </c>
      <c r="B69" s="11" t="s">
        <v>37</v>
      </c>
      <c r="C69" s="12">
        <v>267.84058800000003</v>
      </c>
      <c r="D69" s="12" t="s">
        <v>38</v>
      </c>
      <c r="E69" s="13">
        <v>270.66000000000003</v>
      </c>
      <c r="F69" s="14">
        <v>1151.259779</v>
      </c>
      <c r="G69" s="14" t="s">
        <v>45</v>
      </c>
      <c r="H69" s="15">
        <v>229.5</v>
      </c>
      <c r="I69" s="16"/>
      <c r="J69" s="16"/>
      <c r="K69" s="17"/>
      <c r="L69" s="18">
        <v>41.16</v>
      </c>
      <c r="M69" s="19"/>
    </row>
    <row r="70" spans="1:13" x14ac:dyDescent="0.2">
      <c r="A70" s="10">
        <v>45014.769108796303</v>
      </c>
      <c r="B70" s="11" t="s">
        <v>31</v>
      </c>
      <c r="C70" s="12">
        <v>2178.4989999999998</v>
      </c>
      <c r="D70" s="12" t="s">
        <v>16</v>
      </c>
      <c r="E70" s="13">
        <v>0</v>
      </c>
      <c r="F70" s="14">
        <v>2178.4989999999998</v>
      </c>
      <c r="G70" s="14" t="s">
        <v>16</v>
      </c>
      <c r="H70" s="15">
        <v>0</v>
      </c>
      <c r="I70" s="16">
        <v>1E-3</v>
      </c>
      <c r="J70" s="16" t="s">
        <v>16</v>
      </c>
      <c r="K70" s="17">
        <v>0</v>
      </c>
      <c r="L70" s="18">
        <v>0</v>
      </c>
      <c r="M70" s="19">
        <v>0</v>
      </c>
    </row>
    <row r="71" spans="1:13" x14ac:dyDescent="0.2">
      <c r="A71" s="10">
        <v>45013.163495370369</v>
      </c>
      <c r="B71" s="11" t="s">
        <v>37</v>
      </c>
      <c r="C71" s="12">
        <v>1151.259779</v>
      </c>
      <c r="D71" s="12" t="s">
        <v>45</v>
      </c>
      <c r="E71" s="13">
        <v>229.5</v>
      </c>
      <c r="F71" s="14">
        <v>231.88</v>
      </c>
      <c r="G71" s="14" t="s">
        <v>38</v>
      </c>
      <c r="H71" s="15">
        <v>231.88</v>
      </c>
      <c r="I71" s="16"/>
      <c r="J71" s="16"/>
      <c r="K71" s="17"/>
      <c r="L71" s="18">
        <v>-2.38</v>
      </c>
      <c r="M71" s="19"/>
    </row>
    <row r="72" spans="1:13" x14ac:dyDescent="0.2">
      <c r="A72" s="10">
        <v>45013.15766203704</v>
      </c>
      <c r="B72" s="11" t="s">
        <v>31</v>
      </c>
      <c r="C72" s="12">
        <v>2065.9989999999998</v>
      </c>
      <c r="D72" s="12" t="s">
        <v>16</v>
      </c>
      <c r="E72" s="13">
        <v>0</v>
      </c>
      <c r="F72" s="14">
        <v>2065.9989999999998</v>
      </c>
      <c r="G72" s="14" t="s">
        <v>16</v>
      </c>
      <c r="H72" s="15">
        <v>0</v>
      </c>
      <c r="I72" s="16">
        <v>1E-3</v>
      </c>
      <c r="J72" s="16" t="s">
        <v>16</v>
      </c>
      <c r="K72" s="17">
        <v>0</v>
      </c>
      <c r="L72" s="18">
        <v>0</v>
      </c>
      <c r="M72" s="19">
        <v>0</v>
      </c>
    </row>
    <row r="73" spans="1:13" x14ac:dyDescent="0.2">
      <c r="A73" s="10">
        <v>45013.153425925928</v>
      </c>
      <c r="B73" s="11" t="s">
        <v>37</v>
      </c>
      <c r="C73" s="12">
        <v>2066.6995160000001</v>
      </c>
      <c r="D73" s="12" t="s">
        <v>16</v>
      </c>
      <c r="E73" s="13">
        <v>992.3</v>
      </c>
      <c r="F73" s="14">
        <v>1000.12</v>
      </c>
      <c r="G73" s="14" t="s">
        <v>38</v>
      </c>
      <c r="H73" s="15">
        <v>1000.12</v>
      </c>
      <c r="I73" s="16"/>
      <c r="J73" s="16"/>
      <c r="K73" s="17"/>
      <c r="L73" s="18">
        <v>-7.95</v>
      </c>
      <c r="M73" s="19"/>
    </row>
    <row r="74" spans="1:13" x14ac:dyDescent="0.2">
      <c r="A74" s="10">
        <v>45013.012407407397</v>
      </c>
      <c r="B74" s="11" t="s">
        <v>31</v>
      </c>
      <c r="C74" s="12">
        <v>1000.12</v>
      </c>
      <c r="D74" s="12" t="s">
        <v>38</v>
      </c>
      <c r="E74" s="13">
        <v>0</v>
      </c>
      <c r="F74" s="14">
        <v>1000.12</v>
      </c>
      <c r="G74" s="14" t="s">
        <v>38</v>
      </c>
      <c r="H74" s="15">
        <v>0</v>
      </c>
      <c r="I74" s="16"/>
      <c r="J74" s="16"/>
      <c r="K74" s="17"/>
      <c r="L74" s="18">
        <v>0</v>
      </c>
      <c r="M74" s="19"/>
    </row>
    <row r="75" spans="1:13" x14ac:dyDescent="0.2">
      <c r="A75" s="10">
        <v>45013.009166666663</v>
      </c>
      <c r="B75" s="11" t="s">
        <v>32</v>
      </c>
      <c r="C75" s="12">
        <v>1232</v>
      </c>
      <c r="D75" s="12" t="s">
        <v>38</v>
      </c>
      <c r="E75" s="13">
        <v>1232</v>
      </c>
      <c r="F75" s="14">
        <v>1232</v>
      </c>
      <c r="G75" s="14" t="s">
        <v>33</v>
      </c>
      <c r="H75" s="15"/>
      <c r="I75" s="16"/>
      <c r="J75" s="16"/>
      <c r="K75" s="17"/>
      <c r="L75" s="18"/>
      <c r="M75" s="19"/>
    </row>
    <row r="76" spans="1:13" x14ac:dyDescent="0.2">
      <c r="A76" s="10">
        <v>45012.985312500001</v>
      </c>
      <c r="B76" s="11" t="s">
        <v>40</v>
      </c>
      <c r="C76" s="12"/>
      <c r="D76" s="12" t="s">
        <v>33</v>
      </c>
      <c r="E76" s="13"/>
      <c r="F76" s="14">
        <v>3510.7833270000001</v>
      </c>
      <c r="G76" s="14" t="s">
        <v>45</v>
      </c>
      <c r="H76" s="15">
        <v>795.03</v>
      </c>
      <c r="I76" s="16">
        <v>2E-3</v>
      </c>
      <c r="J76" s="16" t="s">
        <v>45</v>
      </c>
      <c r="K76" s="17">
        <v>0</v>
      </c>
      <c r="L76" s="18">
        <v>-90.77</v>
      </c>
      <c r="M76" s="19">
        <v>0</v>
      </c>
    </row>
    <row r="77" spans="1:13" x14ac:dyDescent="0.2">
      <c r="A77" s="10">
        <v>45012.983819444453</v>
      </c>
      <c r="B77" s="11" t="s">
        <v>40</v>
      </c>
      <c r="C77" s="12"/>
      <c r="D77" s="12" t="s">
        <v>33</v>
      </c>
      <c r="E77" s="13"/>
      <c r="F77" s="14">
        <v>49.862876999999997</v>
      </c>
      <c r="G77" s="14" t="s">
        <v>45</v>
      </c>
      <c r="H77" s="15">
        <v>12.49</v>
      </c>
      <c r="I77" s="16">
        <v>2E-3</v>
      </c>
      <c r="J77" s="16" t="s">
        <v>45</v>
      </c>
      <c r="K77" s="17">
        <v>0</v>
      </c>
      <c r="L77" s="18">
        <v>-2.4900000000000002</v>
      </c>
      <c r="M77" s="19">
        <v>0</v>
      </c>
    </row>
    <row r="78" spans="1:13" x14ac:dyDescent="0.2">
      <c r="A78" s="10">
        <v>45012.979745370372</v>
      </c>
      <c r="B78" s="11" t="s">
        <v>31</v>
      </c>
      <c r="C78" s="12">
        <v>2236.789213</v>
      </c>
      <c r="D78" s="12" t="s">
        <v>36</v>
      </c>
      <c r="E78" s="13">
        <v>0</v>
      </c>
      <c r="F78" s="14">
        <v>2236.789213</v>
      </c>
      <c r="G78" s="14" t="s">
        <v>36</v>
      </c>
      <c r="H78" s="15">
        <v>0</v>
      </c>
      <c r="I78" s="16">
        <v>0.18002099999999999</v>
      </c>
      <c r="J78" s="16" t="s">
        <v>36</v>
      </c>
      <c r="K78" s="17">
        <v>0.06</v>
      </c>
      <c r="L78" s="18">
        <v>0</v>
      </c>
      <c r="M78" s="19">
        <v>0</v>
      </c>
    </row>
    <row r="79" spans="1:13" x14ac:dyDescent="0.2">
      <c r="A79" s="10">
        <v>45012.976747685178</v>
      </c>
      <c r="B79" s="11" t="s">
        <v>37</v>
      </c>
      <c r="C79" s="12">
        <v>559.04847700000005</v>
      </c>
      <c r="D79" s="12" t="s">
        <v>36</v>
      </c>
      <c r="E79" s="13">
        <v>192.92</v>
      </c>
      <c r="F79" s="14">
        <v>2140.2126904000002</v>
      </c>
      <c r="G79" s="14" t="s">
        <v>46</v>
      </c>
      <c r="H79" s="15">
        <v>200</v>
      </c>
      <c r="I79" s="16"/>
      <c r="J79" s="16"/>
      <c r="K79" s="17"/>
      <c r="L79" s="18">
        <v>-7.08</v>
      </c>
      <c r="M79" s="19"/>
    </row>
    <row r="80" spans="1:13" x14ac:dyDescent="0.2">
      <c r="A80" s="10">
        <v>45012.975914351853</v>
      </c>
      <c r="B80" s="11" t="s">
        <v>37</v>
      </c>
      <c r="C80" s="12">
        <v>1770.1630250000001</v>
      </c>
      <c r="D80" s="12" t="s">
        <v>45</v>
      </c>
      <c r="E80" s="13">
        <v>363.23</v>
      </c>
      <c r="F80" s="14">
        <v>314.03690116000001</v>
      </c>
      <c r="G80" s="14" t="s">
        <v>47</v>
      </c>
      <c r="H80" s="15">
        <v>389.68</v>
      </c>
      <c r="I80" s="16"/>
      <c r="J80" s="16"/>
      <c r="K80" s="17"/>
      <c r="L80" s="18">
        <v>-26.45</v>
      </c>
      <c r="M80" s="19"/>
    </row>
    <row r="81" spans="1:13" x14ac:dyDescent="0.2">
      <c r="A81" s="10">
        <v>45012.975208333337</v>
      </c>
      <c r="B81" s="11" t="s">
        <v>37</v>
      </c>
      <c r="C81" s="12">
        <v>1677.9207570000001</v>
      </c>
      <c r="D81" s="12" t="s">
        <v>36</v>
      </c>
      <c r="E81" s="13">
        <v>593.23</v>
      </c>
      <c r="F81" s="14">
        <v>288.75017883999999</v>
      </c>
      <c r="G81" s="14" t="s">
        <v>48</v>
      </c>
      <c r="H81" s="15">
        <v>765.76</v>
      </c>
      <c r="I81" s="16"/>
      <c r="J81" s="16"/>
      <c r="K81" s="17"/>
      <c r="L81" s="18">
        <v>-172.53</v>
      </c>
      <c r="M81" s="19"/>
    </row>
    <row r="82" spans="1:13" x14ac:dyDescent="0.2">
      <c r="A82" s="10">
        <v>45012.952685185177</v>
      </c>
      <c r="B82" s="11" t="s">
        <v>31</v>
      </c>
      <c r="C82" s="12">
        <v>36189.670160000001</v>
      </c>
      <c r="D82" s="12" t="s">
        <v>17</v>
      </c>
      <c r="E82" s="13">
        <v>0</v>
      </c>
      <c r="F82" s="14">
        <v>36189.670155619999</v>
      </c>
      <c r="G82" s="14" t="s">
        <v>17</v>
      </c>
      <c r="H82" s="15">
        <v>0</v>
      </c>
      <c r="I82" s="16">
        <v>1.7383399999999999E-3</v>
      </c>
      <c r="J82" s="16" t="s">
        <v>17</v>
      </c>
      <c r="K82" s="17">
        <v>0</v>
      </c>
      <c r="L82" s="18">
        <v>0</v>
      </c>
      <c r="M82" s="19">
        <v>0</v>
      </c>
    </row>
    <row r="83" spans="1:13" x14ac:dyDescent="0.2">
      <c r="A83" s="10">
        <v>45012.952685185177</v>
      </c>
      <c r="B83" s="11" t="s">
        <v>31</v>
      </c>
      <c r="C83" s="12"/>
      <c r="D83" s="12"/>
      <c r="E83" s="13"/>
      <c r="F83" s="14"/>
      <c r="G83" s="14"/>
      <c r="H83" s="15"/>
      <c r="I83" s="16">
        <v>1</v>
      </c>
      <c r="J83" s="16" t="s">
        <v>17</v>
      </c>
      <c r="K83" s="17">
        <v>0.04</v>
      </c>
      <c r="L83" s="18"/>
      <c r="M83" s="19">
        <v>0.01</v>
      </c>
    </row>
    <row r="84" spans="1:13" x14ac:dyDescent="0.2">
      <c r="A84" s="10">
        <v>45012.951249999998</v>
      </c>
      <c r="B84" s="11" t="s">
        <v>31</v>
      </c>
      <c r="C84" s="12">
        <v>33.938571189999998</v>
      </c>
      <c r="D84" s="12" t="s">
        <v>17</v>
      </c>
      <c r="E84" s="13">
        <v>0</v>
      </c>
      <c r="F84" s="14">
        <v>33.938571189999998</v>
      </c>
      <c r="G84" s="14" t="s">
        <v>17</v>
      </c>
      <c r="H84" s="15">
        <v>0</v>
      </c>
      <c r="I84" s="16">
        <v>1.7383399999999999E-3</v>
      </c>
      <c r="J84" s="16" t="s">
        <v>17</v>
      </c>
      <c r="K84" s="17">
        <v>0</v>
      </c>
      <c r="L84" s="18">
        <v>0</v>
      </c>
      <c r="M84" s="19">
        <v>0</v>
      </c>
    </row>
    <row r="85" spans="1:13" x14ac:dyDescent="0.2">
      <c r="A85" s="10">
        <v>45012.951249999998</v>
      </c>
      <c r="B85" s="11" t="s">
        <v>31</v>
      </c>
      <c r="C85" s="12"/>
      <c r="D85" s="12"/>
      <c r="E85" s="13"/>
      <c r="F85" s="14"/>
      <c r="G85" s="14"/>
      <c r="H85" s="15"/>
      <c r="I85" s="16">
        <v>1</v>
      </c>
      <c r="J85" s="16" t="s">
        <v>17</v>
      </c>
      <c r="K85" s="17">
        <v>0.08</v>
      </c>
      <c r="L85" s="18"/>
      <c r="M85" s="19">
        <v>-0.02</v>
      </c>
    </row>
    <row r="86" spans="1:13" x14ac:dyDescent="0.2">
      <c r="A86" s="10">
        <v>45012.942002314812</v>
      </c>
      <c r="B86" s="11" t="s">
        <v>31</v>
      </c>
      <c r="C86" s="12">
        <v>1.44405183</v>
      </c>
      <c r="D86" s="12" t="s">
        <v>41</v>
      </c>
      <c r="E86" s="13">
        <v>0</v>
      </c>
      <c r="F86" s="14">
        <v>1.44405183</v>
      </c>
      <c r="G86" s="14" t="s">
        <v>41</v>
      </c>
      <c r="H86" s="15">
        <v>0</v>
      </c>
      <c r="I86" s="16">
        <v>5.2499999999999997E-4</v>
      </c>
      <c r="J86" s="16" t="s">
        <v>41</v>
      </c>
      <c r="K86" s="17">
        <v>0.62</v>
      </c>
      <c r="L86" s="18">
        <v>0</v>
      </c>
      <c r="M86" s="19">
        <v>0.28000000000000003</v>
      </c>
    </row>
    <row r="87" spans="1:13" x14ac:dyDescent="0.2">
      <c r="A87" s="10">
        <v>45012.936249999999</v>
      </c>
      <c r="B87" s="11" t="s">
        <v>31</v>
      </c>
      <c r="C87" s="12">
        <v>1.0055999999999999E-3</v>
      </c>
      <c r="D87" s="12" t="s">
        <v>41</v>
      </c>
      <c r="E87" s="13">
        <v>0</v>
      </c>
      <c r="F87" s="14">
        <v>1.0055999999999999E-3</v>
      </c>
      <c r="G87" s="14" t="s">
        <v>41</v>
      </c>
      <c r="H87" s="15">
        <v>0</v>
      </c>
      <c r="I87" s="16">
        <v>5.04E-4</v>
      </c>
      <c r="J87" s="16" t="s">
        <v>41</v>
      </c>
      <c r="K87" s="17">
        <v>0.86</v>
      </c>
      <c r="L87" s="18">
        <v>0</v>
      </c>
      <c r="M87" s="19">
        <v>0.43</v>
      </c>
    </row>
    <row r="88" spans="1:13" x14ac:dyDescent="0.2">
      <c r="A88" s="10">
        <v>45012.126516203702</v>
      </c>
      <c r="B88" s="11" t="s">
        <v>37</v>
      </c>
      <c r="C88" s="12">
        <v>805.48410699999999</v>
      </c>
      <c r="D88" s="12" t="s">
        <v>16</v>
      </c>
      <c r="E88" s="13">
        <v>361.53</v>
      </c>
      <c r="F88" s="14">
        <v>10581.61742294</v>
      </c>
      <c r="G88" s="14" t="s">
        <v>44</v>
      </c>
      <c r="H88" s="15">
        <v>400</v>
      </c>
      <c r="I88" s="16"/>
      <c r="J88" s="16"/>
      <c r="K88" s="17"/>
      <c r="L88" s="18">
        <v>-38.47</v>
      </c>
      <c r="M88" s="19"/>
    </row>
    <row r="89" spans="1:13" x14ac:dyDescent="0.2">
      <c r="A89" s="10">
        <v>45010.526365740741</v>
      </c>
      <c r="B89" s="11" t="s">
        <v>37</v>
      </c>
      <c r="C89" s="12">
        <v>314.03690116000001</v>
      </c>
      <c r="D89" s="12" t="s">
        <v>47</v>
      </c>
      <c r="E89" s="13">
        <v>389.68</v>
      </c>
      <c r="F89" s="14">
        <v>0.22934595999999999</v>
      </c>
      <c r="G89" s="14" t="s">
        <v>41</v>
      </c>
      <c r="H89" s="15">
        <v>401.05</v>
      </c>
      <c r="I89" s="16"/>
      <c r="J89" s="16"/>
      <c r="K89" s="17"/>
      <c r="L89" s="18">
        <v>-11.37</v>
      </c>
      <c r="M89" s="19"/>
    </row>
    <row r="90" spans="1:13" x14ac:dyDescent="0.2">
      <c r="A90" s="10">
        <v>45010.509675925918</v>
      </c>
      <c r="B90" s="11" t="s">
        <v>32</v>
      </c>
      <c r="C90" s="12">
        <v>219.93842599999999</v>
      </c>
      <c r="D90" s="12" t="s">
        <v>16</v>
      </c>
      <c r="E90" s="13">
        <v>100</v>
      </c>
      <c r="F90" s="14">
        <v>100</v>
      </c>
      <c r="G90" s="14" t="s">
        <v>33</v>
      </c>
      <c r="H90" s="15"/>
      <c r="I90" s="16"/>
      <c r="J90" s="16"/>
      <c r="K90" s="17"/>
      <c r="L90" s="18"/>
      <c r="M90" s="19"/>
    </row>
    <row r="91" spans="1:13" x14ac:dyDescent="0.2">
      <c r="A91" s="10">
        <v>45010.299270833333</v>
      </c>
      <c r="B91" s="11" t="s">
        <v>32</v>
      </c>
      <c r="C91" s="12">
        <v>5.6839099999999997E-2</v>
      </c>
      <c r="D91" s="12" t="s">
        <v>41</v>
      </c>
      <c r="E91" s="13">
        <v>100</v>
      </c>
      <c r="F91" s="14">
        <v>100</v>
      </c>
      <c r="G91" s="14" t="s">
        <v>33</v>
      </c>
      <c r="H91" s="15"/>
      <c r="I91" s="16"/>
      <c r="J91" s="16"/>
      <c r="K91" s="17"/>
      <c r="L91" s="18"/>
      <c r="M91" s="19"/>
    </row>
    <row r="92" spans="1:13" x14ac:dyDescent="0.2">
      <c r="A92" s="10">
        <v>45010.036354166667</v>
      </c>
      <c r="B92" s="11" t="s">
        <v>31</v>
      </c>
      <c r="C92" s="12">
        <v>3.613E-4</v>
      </c>
      <c r="D92" s="12" t="s">
        <v>35</v>
      </c>
      <c r="E92" s="13">
        <v>0</v>
      </c>
      <c r="F92" s="14">
        <v>3.613E-4</v>
      </c>
      <c r="G92" s="14" t="s">
        <v>35</v>
      </c>
      <c r="H92" s="15">
        <v>0</v>
      </c>
      <c r="I92" s="16"/>
      <c r="J92" s="16"/>
      <c r="K92" s="17"/>
      <c r="L92" s="18">
        <v>0</v>
      </c>
      <c r="M92" s="19"/>
    </row>
    <row r="93" spans="1:13" x14ac:dyDescent="0.2">
      <c r="A93" s="10">
        <v>45010.036319444444</v>
      </c>
      <c r="B93" s="11" t="s">
        <v>31</v>
      </c>
      <c r="C93" s="12">
        <v>0.19140599999999999</v>
      </c>
      <c r="D93" s="12" t="s">
        <v>36</v>
      </c>
      <c r="E93" s="13">
        <v>0</v>
      </c>
      <c r="F93" s="14">
        <v>0.19140599999999999</v>
      </c>
      <c r="G93" s="14" t="s">
        <v>36</v>
      </c>
      <c r="H93" s="15">
        <v>0</v>
      </c>
      <c r="I93" s="16"/>
      <c r="J93" s="16"/>
      <c r="K93" s="17"/>
      <c r="L93" s="18">
        <v>0</v>
      </c>
      <c r="M93" s="19"/>
    </row>
    <row r="94" spans="1:13" x14ac:dyDescent="0.2">
      <c r="A94" s="10">
        <v>45009.832152777781</v>
      </c>
      <c r="B94" s="11" t="s">
        <v>31</v>
      </c>
      <c r="C94" s="12">
        <v>4.1019999999999997E-3</v>
      </c>
      <c r="D94" s="12" t="s">
        <v>34</v>
      </c>
      <c r="E94" s="13">
        <v>0</v>
      </c>
      <c r="F94" s="14">
        <v>4.1019999999999997E-3</v>
      </c>
      <c r="G94" s="14" t="s">
        <v>34</v>
      </c>
      <c r="H94" s="15">
        <v>0</v>
      </c>
      <c r="I94" s="16"/>
      <c r="J94" s="16"/>
      <c r="K94" s="17"/>
      <c r="L94" s="18">
        <v>0</v>
      </c>
      <c r="M94" s="19"/>
    </row>
    <row r="95" spans="1:13" x14ac:dyDescent="0.2">
      <c r="A95" s="10">
        <v>45006.881168981483</v>
      </c>
      <c r="B95" s="11" t="s">
        <v>37</v>
      </c>
      <c r="C95" s="12">
        <v>215.65512081</v>
      </c>
      <c r="D95" s="12" t="s">
        <v>48</v>
      </c>
      <c r="E95" s="13">
        <v>571.37</v>
      </c>
      <c r="F95" s="14">
        <v>79.47655039</v>
      </c>
      <c r="G95" s="14" t="s">
        <v>43</v>
      </c>
      <c r="H95" s="15">
        <v>549.34</v>
      </c>
      <c r="I95" s="16"/>
      <c r="J95" s="16"/>
      <c r="K95" s="17"/>
      <c r="L95" s="18">
        <v>22.03</v>
      </c>
      <c r="M95" s="19"/>
    </row>
    <row r="96" spans="1:13" x14ac:dyDescent="0.2">
      <c r="A96" s="10">
        <v>45006.659201388888</v>
      </c>
      <c r="B96" s="11" t="s">
        <v>32</v>
      </c>
      <c r="C96" s="12">
        <v>10581.617422920001</v>
      </c>
      <c r="D96" s="12" t="s">
        <v>44</v>
      </c>
      <c r="E96" s="13">
        <v>400.28</v>
      </c>
      <c r="F96" s="14">
        <v>400</v>
      </c>
      <c r="G96" s="14" t="s">
        <v>33</v>
      </c>
      <c r="H96" s="15"/>
      <c r="I96" s="16"/>
      <c r="J96" s="16"/>
      <c r="K96" s="17"/>
      <c r="L96" s="18"/>
      <c r="M96" s="19"/>
    </row>
    <row r="97" spans="1:13" x14ac:dyDescent="0.2">
      <c r="A97" s="10">
        <v>45006.657962962963</v>
      </c>
      <c r="B97" s="11" t="s">
        <v>37</v>
      </c>
      <c r="C97" s="12">
        <v>73.095058030000004</v>
      </c>
      <c r="D97" s="12" t="s">
        <v>48</v>
      </c>
      <c r="E97" s="13">
        <v>194.39</v>
      </c>
      <c r="F97" s="14">
        <v>33.367037410000002</v>
      </c>
      <c r="G97" s="14" t="s">
        <v>49</v>
      </c>
      <c r="H97" s="15">
        <v>200</v>
      </c>
      <c r="I97" s="16"/>
      <c r="J97" s="16"/>
      <c r="K97" s="17"/>
      <c r="L97" s="18">
        <v>-5.61</v>
      </c>
      <c r="M97" s="19"/>
    </row>
    <row r="98" spans="1:13" x14ac:dyDescent="0.2">
      <c r="A98" s="10">
        <v>45006.656597222223</v>
      </c>
      <c r="B98" s="11" t="s">
        <v>32</v>
      </c>
      <c r="C98" s="12">
        <v>1372.386448</v>
      </c>
      <c r="D98" s="12" t="s">
        <v>16</v>
      </c>
      <c r="E98" s="13">
        <v>600</v>
      </c>
      <c r="F98" s="14">
        <v>600</v>
      </c>
      <c r="G98" s="14" t="s">
        <v>33</v>
      </c>
      <c r="H98" s="15"/>
      <c r="I98" s="16"/>
      <c r="J98" s="16"/>
      <c r="K98" s="17"/>
      <c r="L98" s="18"/>
      <c r="M98" s="19"/>
    </row>
    <row r="99" spans="1:13" x14ac:dyDescent="0.2">
      <c r="A99" s="10">
        <v>45006.644641203697</v>
      </c>
      <c r="B99" s="11" t="s">
        <v>32</v>
      </c>
      <c r="C99" s="12">
        <v>33.367037410000002</v>
      </c>
      <c r="D99" s="12" t="s">
        <v>49</v>
      </c>
      <c r="E99" s="13">
        <v>200</v>
      </c>
      <c r="F99" s="14">
        <v>200</v>
      </c>
      <c r="G99" s="14" t="s">
        <v>33</v>
      </c>
      <c r="H99" s="15"/>
      <c r="I99" s="16"/>
      <c r="J99" s="16"/>
      <c r="K99" s="17"/>
      <c r="L99" s="18"/>
      <c r="M99" s="19"/>
    </row>
    <row r="100" spans="1:13" x14ac:dyDescent="0.2">
      <c r="A100" s="10">
        <v>45006.643321759257</v>
      </c>
      <c r="B100" s="11" t="s">
        <v>32</v>
      </c>
      <c r="C100" s="12">
        <v>2140.2126904000002</v>
      </c>
      <c r="D100" s="12" t="s">
        <v>46</v>
      </c>
      <c r="E100" s="13">
        <v>200</v>
      </c>
      <c r="F100" s="14">
        <v>200</v>
      </c>
      <c r="G100" s="14" t="s">
        <v>33</v>
      </c>
      <c r="H100" s="15"/>
      <c r="I100" s="16"/>
      <c r="J100" s="16"/>
      <c r="K100" s="17"/>
      <c r="L100" s="18"/>
      <c r="M100" s="19"/>
    </row>
    <row r="101" spans="1:13" x14ac:dyDescent="0.2">
      <c r="A101" s="10">
        <v>45005.719236111108</v>
      </c>
      <c r="B101" s="11" t="s">
        <v>32</v>
      </c>
      <c r="C101" s="12">
        <v>317.43499760999998</v>
      </c>
      <c r="D101" s="12" t="s">
        <v>17</v>
      </c>
      <c r="E101" s="13">
        <v>20</v>
      </c>
      <c r="F101" s="14">
        <v>20</v>
      </c>
      <c r="G101" s="14" t="s">
        <v>33</v>
      </c>
      <c r="H101" s="15"/>
      <c r="I101" s="16"/>
      <c r="J101" s="16"/>
      <c r="K101" s="17"/>
      <c r="L101" s="18"/>
      <c r="M101" s="19"/>
    </row>
    <row r="102" spans="1:13" x14ac:dyDescent="0.2">
      <c r="A102" s="10">
        <v>45003.275046296287</v>
      </c>
      <c r="B102" s="11" t="s">
        <v>32</v>
      </c>
      <c r="C102" s="12">
        <v>5.483242E-2</v>
      </c>
      <c r="D102" s="12" t="s">
        <v>41</v>
      </c>
      <c r="E102" s="13">
        <v>100</v>
      </c>
      <c r="F102" s="14">
        <v>100</v>
      </c>
      <c r="G102" s="14" t="s">
        <v>33</v>
      </c>
      <c r="H102" s="15"/>
      <c r="I102" s="16"/>
      <c r="J102" s="16"/>
      <c r="K102" s="17"/>
      <c r="L102" s="18"/>
      <c r="M102" s="19"/>
    </row>
    <row r="103" spans="1:13" x14ac:dyDescent="0.2">
      <c r="A103" s="10">
        <v>44998.836458333331</v>
      </c>
      <c r="B103" s="11" t="s">
        <v>32</v>
      </c>
      <c r="C103" s="12">
        <v>309.67942733000001</v>
      </c>
      <c r="D103" s="12" t="s">
        <v>17</v>
      </c>
      <c r="E103" s="13">
        <v>20</v>
      </c>
      <c r="F103" s="14">
        <v>20</v>
      </c>
      <c r="G103" s="14" t="s">
        <v>33</v>
      </c>
      <c r="H103" s="15"/>
      <c r="I103" s="16"/>
      <c r="J103" s="16"/>
      <c r="K103" s="17"/>
      <c r="L103" s="18"/>
      <c r="M103" s="19"/>
    </row>
    <row r="104" spans="1:13" x14ac:dyDescent="0.2">
      <c r="A104" s="10">
        <v>44996.272118055553</v>
      </c>
      <c r="B104" s="11" t="s">
        <v>32</v>
      </c>
      <c r="C104" s="12">
        <v>6.8026279999999995E-2</v>
      </c>
      <c r="D104" s="12" t="s">
        <v>41</v>
      </c>
      <c r="E104" s="13">
        <v>100</v>
      </c>
      <c r="F104" s="14">
        <v>100</v>
      </c>
      <c r="G104" s="14" t="s">
        <v>33</v>
      </c>
      <c r="H104" s="15"/>
      <c r="I104" s="16"/>
      <c r="J104" s="16"/>
      <c r="K104" s="17"/>
      <c r="L104" s="18"/>
      <c r="M104" s="19"/>
    </row>
    <row r="105" spans="1:13" x14ac:dyDescent="0.2">
      <c r="A105" s="10">
        <v>44995.768275462957</v>
      </c>
      <c r="B105" s="11" t="s">
        <v>32</v>
      </c>
      <c r="C105" s="12">
        <v>10127.87723785</v>
      </c>
      <c r="D105" s="12" t="s">
        <v>17</v>
      </c>
      <c r="E105" s="13">
        <v>600</v>
      </c>
      <c r="F105" s="14">
        <v>600</v>
      </c>
      <c r="G105" s="14" t="s">
        <v>33</v>
      </c>
      <c r="H105" s="15"/>
      <c r="I105" s="16"/>
      <c r="J105" s="16"/>
      <c r="K105" s="17"/>
      <c r="L105" s="18"/>
      <c r="M105" s="19"/>
    </row>
    <row r="106" spans="1:13" x14ac:dyDescent="0.2">
      <c r="A106" s="10">
        <v>44991.707337962973</v>
      </c>
      <c r="B106" s="11" t="s">
        <v>32</v>
      </c>
      <c r="C106" s="12">
        <v>311.96112242999999</v>
      </c>
      <c r="D106" s="12" t="s">
        <v>17</v>
      </c>
      <c r="E106" s="13">
        <v>20</v>
      </c>
      <c r="F106" s="14">
        <v>20</v>
      </c>
      <c r="G106" s="14" t="s">
        <v>33</v>
      </c>
      <c r="H106" s="15"/>
      <c r="I106" s="16"/>
      <c r="J106" s="16"/>
      <c r="K106" s="17"/>
      <c r="L106" s="18"/>
      <c r="M106" s="19"/>
    </row>
    <row r="107" spans="1:13" x14ac:dyDescent="0.2">
      <c r="A107" s="10">
        <v>44989.183298611111</v>
      </c>
      <c r="B107" s="11" t="s">
        <v>32</v>
      </c>
      <c r="C107" s="12">
        <v>6.3290739999999998E-2</v>
      </c>
      <c r="D107" s="12" t="s">
        <v>41</v>
      </c>
      <c r="E107" s="13">
        <v>100</v>
      </c>
      <c r="F107" s="14">
        <v>100</v>
      </c>
      <c r="G107" s="14" t="s">
        <v>33</v>
      </c>
      <c r="H107" s="15"/>
      <c r="I107" s="16"/>
      <c r="J107" s="16"/>
      <c r="K107" s="17"/>
      <c r="L107" s="18"/>
      <c r="M107" s="19"/>
    </row>
    <row r="108" spans="1:13" x14ac:dyDescent="0.2">
      <c r="A108" s="10">
        <v>44988.631215277783</v>
      </c>
      <c r="B108" s="11" t="s">
        <v>37</v>
      </c>
      <c r="C108" s="12">
        <v>26.008521089999999</v>
      </c>
      <c r="D108" s="12" t="s">
        <v>43</v>
      </c>
      <c r="E108" s="13">
        <v>179.75</v>
      </c>
      <c r="F108" s="14">
        <v>15.414179000000001</v>
      </c>
      <c r="G108" s="14" t="s">
        <v>34</v>
      </c>
      <c r="H108" s="15">
        <v>200.34</v>
      </c>
      <c r="I108" s="16"/>
      <c r="J108" s="16"/>
      <c r="K108" s="17"/>
      <c r="L108" s="18">
        <v>-20.59</v>
      </c>
      <c r="M108" s="19"/>
    </row>
    <row r="109" spans="1:13" x14ac:dyDescent="0.2">
      <c r="A109" s="10">
        <v>44988.630995370368</v>
      </c>
      <c r="B109" s="11" t="s">
        <v>37</v>
      </c>
      <c r="C109" s="12">
        <v>53.468029299999998</v>
      </c>
      <c r="D109" s="12" t="s">
        <v>43</v>
      </c>
      <c r="E109" s="13">
        <v>369.59</v>
      </c>
      <c r="F109" s="14">
        <v>3.07045689</v>
      </c>
      <c r="G109" s="14" t="s">
        <v>50</v>
      </c>
      <c r="H109" s="15">
        <v>400.08</v>
      </c>
      <c r="I109" s="16"/>
      <c r="J109" s="16"/>
      <c r="K109" s="17"/>
      <c r="L109" s="18">
        <v>-30.49</v>
      </c>
      <c r="M109" s="19"/>
    </row>
    <row r="110" spans="1:13" x14ac:dyDescent="0.2">
      <c r="A110" s="10">
        <v>44987.098090277781</v>
      </c>
      <c r="B110" s="11" t="s">
        <v>37</v>
      </c>
      <c r="C110" s="12">
        <v>15.381562000000001</v>
      </c>
      <c r="D110" s="12" t="s">
        <v>34</v>
      </c>
      <c r="E110" s="13">
        <v>199.95</v>
      </c>
      <c r="F110" s="14">
        <v>2900.6526468500001</v>
      </c>
      <c r="G110" s="14" t="s">
        <v>17</v>
      </c>
      <c r="H110" s="15">
        <v>226.11</v>
      </c>
      <c r="I110" s="16"/>
      <c r="J110" s="16"/>
      <c r="K110" s="17"/>
      <c r="L110" s="18">
        <v>-26.16</v>
      </c>
      <c r="M110" s="19"/>
    </row>
    <row r="111" spans="1:13" x14ac:dyDescent="0.2">
      <c r="A111" s="10">
        <v>44987.096597222233</v>
      </c>
      <c r="B111" s="11" t="s">
        <v>37</v>
      </c>
      <c r="C111" s="12">
        <v>3.07045689</v>
      </c>
      <c r="D111" s="12" t="s">
        <v>50</v>
      </c>
      <c r="E111" s="13">
        <v>400.08</v>
      </c>
      <c r="F111" s="14">
        <v>1628.001628</v>
      </c>
      <c r="G111" s="14" t="s">
        <v>45</v>
      </c>
      <c r="H111" s="15">
        <v>421.22</v>
      </c>
      <c r="I111" s="16"/>
      <c r="J111" s="16"/>
      <c r="K111" s="17"/>
      <c r="L111" s="18">
        <v>-21.14</v>
      </c>
      <c r="M111" s="19"/>
    </row>
    <row r="112" spans="1:13" x14ac:dyDescent="0.2">
      <c r="A112" s="10">
        <v>44987.095312500001</v>
      </c>
      <c r="B112" s="11" t="s">
        <v>37</v>
      </c>
      <c r="C112" s="12">
        <v>12639.46303323</v>
      </c>
      <c r="D112" s="12" t="s">
        <v>17</v>
      </c>
      <c r="E112" s="13">
        <v>872.43</v>
      </c>
      <c r="F112" s="14">
        <v>120.123239</v>
      </c>
      <c r="G112" s="14" t="s">
        <v>43</v>
      </c>
      <c r="H112" s="15">
        <v>863.24</v>
      </c>
      <c r="I112" s="16"/>
      <c r="J112" s="16"/>
      <c r="K112" s="17"/>
      <c r="L112" s="18">
        <v>9.19</v>
      </c>
      <c r="M112" s="19"/>
    </row>
    <row r="113" spans="1:13" x14ac:dyDescent="0.2">
      <c r="A113" s="10">
        <v>44984.694976851853</v>
      </c>
      <c r="B113" s="11" t="s">
        <v>32</v>
      </c>
      <c r="C113" s="12">
        <v>274.33140336000002</v>
      </c>
      <c r="D113" s="12" t="s">
        <v>17</v>
      </c>
      <c r="E113" s="13">
        <v>20</v>
      </c>
      <c r="F113" s="14">
        <v>20</v>
      </c>
      <c r="G113" s="14" t="s">
        <v>33</v>
      </c>
      <c r="H113" s="15"/>
      <c r="I113" s="16"/>
      <c r="J113" s="16"/>
      <c r="K113" s="17"/>
      <c r="L113" s="18"/>
      <c r="M113" s="19"/>
    </row>
    <row r="114" spans="1:13" x14ac:dyDescent="0.2">
      <c r="A114" s="10">
        <v>44983.002835648149</v>
      </c>
      <c r="B114" s="11" t="s">
        <v>37</v>
      </c>
      <c r="C114" s="12">
        <v>9.3259999999999998E-5</v>
      </c>
      <c r="D114" s="12" t="s">
        <v>41</v>
      </c>
      <c r="E114" s="13">
        <v>0.15</v>
      </c>
      <c r="F114" s="14">
        <v>0.42198000000000002</v>
      </c>
      <c r="G114" s="14" t="s">
        <v>36</v>
      </c>
      <c r="H114" s="15">
        <v>0.14000000000000001</v>
      </c>
      <c r="I114" s="16"/>
      <c r="J114" s="16"/>
      <c r="K114" s="17"/>
      <c r="L114" s="18">
        <v>0.01</v>
      </c>
      <c r="M114" s="19"/>
    </row>
    <row r="115" spans="1:13" x14ac:dyDescent="0.2">
      <c r="A115" s="10">
        <v>44983.002500000002</v>
      </c>
      <c r="B115" s="11" t="s">
        <v>37</v>
      </c>
      <c r="C115" s="12">
        <v>985.44249100000002</v>
      </c>
      <c r="D115" s="12" t="s">
        <v>45</v>
      </c>
      <c r="E115" s="13">
        <v>246.75</v>
      </c>
      <c r="F115" s="14">
        <v>1.9211087099999999</v>
      </c>
      <c r="G115" s="14" t="s">
        <v>50</v>
      </c>
      <c r="H115" s="15">
        <v>242.27</v>
      </c>
      <c r="I115" s="16"/>
      <c r="J115" s="16"/>
      <c r="K115" s="17"/>
      <c r="L115" s="18">
        <v>4.4800000000000004</v>
      </c>
      <c r="M115" s="19"/>
    </row>
    <row r="116" spans="1:13" x14ac:dyDescent="0.2">
      <c r="A116" s="10">
        <v>44982.996921296297</v>
      </c>
      <c r="B116" s="11" t="s">
        <v>37</v>
      </c>
      <c r="C116" s="12">
        <v>838.19814699999995</v>
      </c>
      <c r="D116" s="12" t="s">
        <v>45</v>
      </c>
      <c r="E116" s="13">
        <v>209.96</v>
      </c>
      <c r="F116" s="14">
        <v>16.782613999999999</v>
      </c>
      <c r="G116" s="14" t="s">
        <v>34</v>
      </c>
      <c r="H116" s="15">
        <v>225.21</v>
      </c>
      <c r="I116" s="16"/>
      <c r="J116" s="16"/>
      <c r="K116" s="17"/>
      <c r="L116" s="18">
        <v>-15.25</v>
      </c>
      <c r="M116" s="19"/>
    </row>
    <row r="117" spans="1:13" x14ac:dyDescent="0.2">
      <c r="A117" s="10">
        <v>44982.6640625</v>
      </c>
      <c r="B117" s="11" t="s">
        <v>32</v>
      </c>
      <c r="C117" s="12">
        <v>1.5312399999999999</v>
      </c>
      <c r="D117" s="12" t="s">
        <v>34</v>
      </c>
      <c r="E117" s="13">
        <v>20</v>
      </c>
      <c r="F117" s="14">
        <v>20</v>
      </c>
      <c r="G117" s="14" t="s">
        <v>33</v>
      </c>
      <c r="H117" s="15"/>
      <c r="I117" s="16"/>
      <c r="J117" s="16"/>
      <c r="K117" s="17"/>
      <c r="L117" s="18"/>
      <c r="M117" s="19"/>
    </row>
    <row r="118" spans="1:13" x14ac:dyDescent="0.2">
      <c r="A118" s="10">
        <v>44982.663055555553</v>
      </c>
      <c r="B118" s="11" t="s">
        <v>32</v>
      </c>
      <c r="C118" s="12">
        <v>0.15222214000000001</v>
      </c>
      <c r="D118" s="12" t="s">
        <v>50</v>
      </c>
      <c r="E118" s="13">
        <v>20</v>
      </c>
      <c r="F118" s="14">
        <v>20</v>
      </c>
      <c r="G118" s="14" t="s">
        <v>33</v>
      </c>
      <c r="H118" s="15"/>
      <c r="I118" s="16"/>
      <c r="J118" s="16"/>
      <c r="K118" s="17"/>
      <c r="L118" s="18"/>
      <c r="M118" s="19"/>
    </row>
    <row r="119" spans="1:13" x14ac:dyDescent="0.2">
      <c r="A119" s="10">
        <v>44982.243877314817</v>
      </c>
      <c r="B119" s="11" t="s">
        <v>32</v>
      </c>
      <c r="C119" s="12">
        <v>6.234141E-2</v>
      </c>
      <c r="D119" s="12" t="s">
        <v>41</v>
      </c>
      <c r="E119" s="13">
        <v>100</v>
      </c>
      <c r="F119" s="14">
        <v>100</v>
      </c>
      <c r="G119" s="14" t="s">
        <v>33</v>
      </c>
      <c r="H119" s="15"/>
      <c r="I119" s="16"/>
      <c r="J119" s="16"/>
      <c r="K119" s="17"/>
      <c r="L119" s="18"/>
      <c r="M119" s="19"/>
    </row>
    <row r="120" spans="1:13" x14ac:dyDescent="0.2">
      <c r="A120" s="10">
        <v>44981.204039351847</v>
      </c>
      <c r="B120" s="11" t="s">
        <v>32</v>
      </c>
      <c r="C120" s="12">
        <v>12.42352354</v>
      </c>
      <c r="D120" s="12" t="s">
        <v>43</v>
      </c>
      <c r="E120" s="13">
        <v>100</v>
      </c>
      <c r="F120" s="14">
        <v>100</v>
      </c>
      <c r="G120" s="14" t="s">
        <v>33</v>
      </c>
      <c r="H120" s="15"/>
      <c r="I120" s="16"/>
      <c r="J120" s="16"/>
      <c r="K120" s="17"/>
      <c r="L120" s="18"/>
      <c r="M120" s="19"/>
    </row>
    <row r="121" spans="1:13" x14ac:dyDescent="0.2">
      <c r="A121" s="10">
        <v>44977.752233796287</v>
      </c>
      <c r="B121" s="11" t="s">
        <v>32</v>
      </c>
      <c r="C121" s="12">
        <v>227.92349100999999</v>
      </c>
      <c r="D121" s="12" t="s">
        <v>17</v>
      </c>
      <c r="E121" s="13">
        <v>20</v>
      </c>
      <c r="F121" s="14">
        <v>20</v>
      </c>
      <c r="G121" s="14" t="s">
        <v>33</v>
      </c>
      <c r="H121" s="15"/>
      <c r="I121" s="16"/>
      <c r="J121" s="16"/>
      <c r="K121" s="17"/>
      <c r="L121" s="18"/>
      <c r="M121" s="19"/>
    </row>
    <row r="122" spans="1:13" x14ac:dyDescent="0.2">
      <c r="A122" s="10">
        <v>44976.512546296297</v>
      </c>
      <c r="B122" s="11" t="s">
        <v>32</v>
      </c>
      <c r="C122" s="12">
        <v>0.11851100000000001</v>
      </c>
      <c r="D122" s="12" t="s">
        <v>41</v>
      </c>
      <c r="E122" s="13">
        <v>200.98</v>
      </c>
      <c r="F122" s="14"/>
      <c r="G122" s="14"/>
      <c r="H122" s="15"/>
      <c r="I122" s="16"/>
      <c r="J122" s="16"/>
      <c r="K122" s="17"/>
      <c r="L122" s="18"/>
      <c r="M122" s="19"/>
    </row>
    <row r="123" spans="1:13" x14ac:dyDescent="0.2">
      <c r="A123" s="10">
        <v>44975.981064814812</v>
      </c>
      <c r="B123" s="11" t="s">
        <v>40</v>
      </c>
      <c r="C123" s="12"/>
      <c r="D123" s="12" t="s">
        <v>33</v>
      </c>
      <c r="E123" s="13"/>
      <c r="F123" s="14">
        <v>2.9593999999999999E-2</v>
      </c>
      <c r="G123" s="14" t="s">
        <v>41</v>
      </c>
      <c r="H123" s="15">
        <v>52.49</v>
      </c>
      <c r="I123" s="16">
        <v>8.8209999999999997E-5</v>
      </c>
      <c r="J123" s="16" t="s">
        <v>41</v>
      </c>
      <c r="K123" s="17">
        <v>0.16</v>
      </c>
      <c r="L123" s="18">
        <v>-2.48</v>
      </c>
      <c r="M123" s="19">
        <v>-0.01</v>
      </c>
    </row>
    <row r="124" spans="1:13" x14ac:dyDescent="0.2">
      <c r="A124" s="10">
        <v>44975.27003472222</v>
      </c>
      <c r="B124" s="11" t="s">
        <v>32</v>
      </c>
      <c r="C124" s="12">
        <v>5.859031E-2</v>
      </c>
      <c r="D124" s="12" t="s">
        <v>41</v>
      </c>
      <c r="E124" s="13">
        <v>100</v>
      </c>
      <c r="F124" s="14">
        <v>100</v>
      </c>
      <c r="G124" s="14" t="s">
        <v>33</v>
      </c>
      <c r="H124" s="15"/>
      <c r="I124" s="16"/>
      <c r="J124" s="16"/>
      <c r="K124" s="17"/>
      <c r="L124" s="18"/>
      <c r="M124" s="19"/>
    </row>
    <row r="125" spans="1:13" x14ac:dyDescent="0.2">
      <c r="A125" s="10">
        <v>44974.826979166668</v>
      </c>
      <c r="B125" s="11" t="s">
        <v>32</v>
      </c>
      <c r="C125" s="12">
        <v>0.12271883</v>
      </c>
      <c r="D125" s="12" t="s">
        <v>41</v>
      </c>
      <c r="E125" s="13">
        <v>209.37</v>
      </c>
      <c r="F125" s="14"/>
      <c r="G125" s="14"/>
      <c r="H125" s="15"/>
      <c r="I125" s="16"/>
      <c r="J125" s="16"/>
      <c r="K125" s="17"/>
      <c r="L125" s="18"/>
      <c r="M125" s="19"/>
    </row>
    <row r="126" spans="1:13" x14ac:dyDescent="0.2">
      <c r="A126" s="10">
        <v>44974.197002314817</v>
      </c>
      <c r="B126" s="11" t="s">
        <v>32</v>
      </c>
      <c r="C126" s="12">
        <v>13.840589789999999</v>
      </c>
      <c r="D126" s="12" t="s">
        <v>43</v>
      </c>
      <c r="E126" s="13">
        <v>100</v>
      </c>
      <c r="F126" s="14">
        <v>100</v>
      </c>
      <c r="G126" s="14" t="s">
        <v>33</v>
      </c>
      <c r="H126" s="15"/>
      <c r="I126" s="16"/>
      <c r="J126" s="16"/>
      <c r="K126" s="17"/>
      <c r="L126" s="18"/>
      <c r="M126" s="19"/>
    </row>
    <row r="127" spans="1:13" x14ac:dyDescent="0.2">
      <c r="A127" s="10">
        <v>44970.813946759263</v>
      </c>
      <c r="B127" s="11" t="s">
        <v>32</v>
      </c>
      <c r="C127" s="12">
        <v>226.59986336</v>
      </c>
      <c r="D127" s="12" t="s">
        <v>17</v>
      </c>
      <c r="E127" s="13">
        <v>20</v>
      </c>
      <c r="F127" s="14">
        <v>20</v>
      </c>
      <c r="G127" s="14" t="s">
        <v>33</v>
      </c>
      <c r="H127" s="15"/>
      <c r="I127" s="16"/>
      <c r="J127" s="16"/>
      <c r="K127" s="17"/>
      <c r="L127" s="18"/>
      <c r="M127" s="19"/>
    </row>
    <row r="128" spans="1:13" x14ac:dyDescent="0.2">
      <c r="A128" s="10">
        <v>44968.093576388892</v>
      </c>
      <c r="B128" s="11" t="s">
        <v>37</v>
      </c>
      <c r="C128" s="12">
        <v>5.7539899999999999</v>
      </c>
      <c r="D128" s="12" t="s">
        <v>34</v>
      </c>
      <c r="E128" s="13">
        <v>80.53</v>
      </c>
      <c r="F128" s="14">
        <v>4.5437105100000004</v>
      </c>
      <c r="G128" s="14" t="s">
        <v>51</v>
      </c>
      <c r="H128" s="15">
        <v>60</v>
      </c>
      <c r="I128" s="16"/>
      <c r="J128" s="16"/>
      <c r="K128" s="17"/>
      <c r="L128" s="18">
        <v>20.53</v>
      </c>
      <c r="M128" s="19"/>
    </row>
    <row r="129" spans="1:13" x14ac:dyDescent="0.2">
      <c r="A129" s="10">
        <v>44968.091805555552</v>
      </c>
      <c r="B129" s="11" t="s">
        <v>37</v>
      </c>
      <c r="C129" s="12">
        <v>353.71018700000002</v>
      </c>
      <c r="D129" s="12" t="s">
        <v>45</v>
      </c>
      <c r="E129" s="13">
        <v>88.26</v>
      </c>
      <c r="F129" s="14">
        <v>4.4627800799999999</v>
      </c>
      <c r="G129" s="14" t="s">
        <v>35</v>
      </c>
      <c r="H129" s="15">
        <v>100.01</v>
      </c>
      <c r="I129" s="16"/>
      <c r="J129" s="16"/>
      <c r="K129" s="17"/>
      <c r="L129" s="18">
        <v>-11.75</v>
      </c>
      <c r="M129" s="19"/>
    </row>
    <row r="130" spans="1:13" x14ac:dyDescent="0.2">
      <c r="A130" s="10">
        <v>44968.091365740736</v>
      </c>
      <c r="B130" s="11" t="s">
        <v>37</v>
      </c>
      <c r="C130" s="12">
        <v>570.41654500000004</v>
      </c>
      <c r="D130" s="12" t="s">
        <v>45</v>
      </c>
      <c r="E130" s="13">
        <v>142.43</v>
      </c>
      <c r="F130" s="14">
        <v>119.36914477000001</v>
      </c>
      <c r="G130" s="14" t="s">
        <v>52</v>
      </c>
      <c r="H130" s="15">
        <v>150</v>
      </c>
      <c r="I130" s="16"/>
      <c r="J130" s="16"/>
      <c r="K130" s="17"/>
      <c r="L130" s="18">
        <v>-7.57</v>
      </c>
      <c r="M130" s="19"/>
    </row>
    <row r="131" spans="1:13" x14ac:dyDescent="0.2">
      <c r="A131" s="10">
        <v>44968.090486111112</v>
      </c>
      <c r="B131" s="11" t="s">
        <v>37</v>
      </c>
      <c r="C131" s="12">
        <v>23.956347149999999</v>
      </c>
      <c r="D131" s="12" t="s">
        <v>43</v>
      </c>
      <c r="E131" s="13">
        <v>165.21</v>
      </c>
      <c r="F131" s="14">
        <v>472.56975499999999</v>
      </c>
      <c r="G131" s="14" t="s">
        <v>36</v>
      </c>
      <c r="H131" s="15">
        <v>178.89</v>
      </c>
      <c r="I131" s="16"/>
      <c r="J131" s="16"/>
      <c r="K131" s="17"/>
      <c r="L131" s="18">
        <v>-13.68</v>
      </c>
      <c r="M131" s="19"/>
    </row>
    <row r="132" spans="1:13" x14ac:dyDescent="0.2">
      <c r="A132" s="10">
        <v>44968.089733796303</v>
      </c>
      <c r="B132" s="11" t="s">
        <v>37</v>
      </c>
      <c r="C132" s="12">
        <v>28.723336209999999</v>
      </c>
      <c r="D132" s="12" t="s">
        <v>43</v>
      </c>
      <c r="E132" s="13">
        <v>198.03</v>
      </c>
      <c r="F132" s="14">
        <v>2353.6324543000001</v>
      </c>
      <c r="G132" s="14" t="s">
        <v>46</v>
      </c>
      <c r="H132" s="15">
        <v>213.33</v>
      </c>
      <c r="I132" s="16"/>
      <c r="J132" s="16"/>
      <c r="K132" s="17"/>
      <c r="L132" s="18">
        <v>-15.3</v>
      </c>
      <c r="M132" s="19"/>
    </row>
    <row r="133" spans="1:13" x14ac:dyDescent="0.2">
      <c r="A133" s="10">
        <v>44968.077048611107</v>
      </c>
      <c r="B133" s="11" t="s">
        <v>32</v>
      </c>
      <c r="C133" s="12">
        <v>6.5716040000000003E-2</v>
      </c>
      <c r="D133" s="12" t="s">
        <v>41</v>
      </c>
      <c r="E133" s="13">
        <v>100</v>
      </c>
      <c r="F133" s="14">
        <v>100</v>
      </c>
      <c r="G133" s="14" t="s">
        <v>33</v>
      </c>
      <c r="H133" s="15"/>
      <c r="I133" s="16"/>
      <c r="J133" s="16"/>
      <c r="K133" s="17"/>
      <c r="L133" s="18"/>
      <c r="M133" s="19"/>
    </row>
    <row r="134" spans="1:13" x14ac:dyDescent="0.2">
      <c r="A134" s="10">
        <v>44967.088020833333</v>
      </c>
      <c r="B134" s="11" t="s">
        <v>32</v>
      </c>
      <c r="C134" s="12">
        <v>13.799135100000001</v>
      </c>
      <c r="D134" s="12" t="s">
        <v>43</v>
      </c>
      <c r="E134" s="13">
        <v>97.01</v>
      </c>
      <c r="F134" s="14">
        <v>97.01</v>
      </c>
      <c r="G134" s="14" t="s">
        <v>33</v>
      </c>
      <c r="H134" s="15"/>
      <c r="I134" s="16">
        <v>2.99</v>
      </c>
      <c r="J134" s="16" t="s">
        <v>33</v>
      </c>
      <c r="K134" s="17">
        <v>2.99</v>
      </c>
      <c r="L134" s="18"/>
      <c r="M134" s="19"/>
    </row>
    <row r="135" spans="1:13" x14ac:dyDescent="0.2">
      <c r="A135" s="10">
        <v>44966.559907407413</v>
      </c>
      <c r="B135" s="11" t="s">
        <v>32</v>
      </c>
      <c r="C135" s="12">
        <v>345.467266</v>
      </c>
      <c r="D135" s="12" t="s">
        <v>45</v>
      </c>
      <c r="E135" s="13">
        <v>97.01</v>
      </c>
      <c r="F135" s="14">
        <v>97.01</v>
      </c>
      <c r="G135" s="14" t="s">
        <v>33</v>
      </c>
      <c r="H135" s="15"/>
      <c r="I135" s="16">
        <v>2.99</v>
      </c>
      <c r="J135" s="16" t="s">
        <v>33</v>
      </c>
      <c r="K135" s="17">
        <v>2.99</v>
      </c>
      <c r="L135" s="18"/>
      <c r="M135" s="19"/>
    </row>
    <row r="136" spans="1:13" x14ac:dyDescent="0.2">
      <c r="A136" s="10">
        <v>44966.1406712963</v>
      </c>
      <c r="B136" s="11" t="s">
        <v>32</v>
      </c>
      <c r="C136" s="12">
        <v>2.63709192</v>
      </c>
      <c r="D136" s="12" t="s">
        <v>43</v>
      </c>
      <c r="E136" s="13">
        <v>18.510000000000002</v>
      </c>
      <c r="F136" s="14">
        <v>18.510000000000002</v>
      </c>
      <c r="G136" s="14" t="s">
        <v>33</v>
      </c>
      <c r="H136" s="15"/>
      <c r="I136" s="16">
        <v>1.49</v>
      </c>
      <c r="J136" s="16" t="s">
        <v>33</v>
      </c>
      <c r="K136" s="17">
        <v>1.49</v>
      </c>
      <c r="L136" s="18"/>
      <c r="M136" s="19"/>
    </row>
    <row r="137" spans="1:13" x14ac:dyDescent="0.2">
      <c r="A137" s="10">
        <v>44966.117291666669</v>
      </c>
      <c r="B137" s="11" t="s">
        <v>32</v>
      </c>
      <c r="C137" s="12">
        <v>13.39468619</v>
      </c>
      <c r="D137" s="12" t="s">
        <v>43</v>
      </c>
      <c r="E137" s="13">
        <v>97.01</v>
      </c>
      <c r="F137" s="14">
        <v>97.01</v>
      </c>
      <c r="G137" s="14" t="s">
        <v>33</v>
      </c>
      <c r="H137" s="15"/>
      <c r="I137" s="16">
        <v>2.99</v>
      </c>
      <c r="J137" s="16" t="s">
        <v>33</v>
      </c>
      <c r="K137" s="17">
        <v>2.99</v>
      </c>
      <c r="L137" s="18"/>
      <c r="M137" s="19"/>
    </row>
    <row r="138" spans="1:13" x14ac:dyDescent="0.2">
      <c r="A138" s="10">
        <v>44966.116851851853</v>
      </c>
      <c r="B138" s="11" t="s">
        <v>32</v>
      </c>
      <c r="C138" s="12">
        <v>1062.7997565000001</v>
      </c>
      <c r="D138" s="12" t="s">
        <v>46</v>
      </c>
      <c r="E138" s="13">
        <v>97.01</v>
      </c>
      <c r="F138" s="14">
        <v>97.01</v>
      </c>
      <c r="G138" s="14" t="s">
        <v>33</v>
      </c>
      <c r="H138" s="15"/>
      <c r="I138" s="16">
        <v>2.99</v>
      </c>
      <c r="J138" s="16" t="s">
        <v>33</v>
      </c>
      <c r="K138" s="17">
        <v>2.99</v>
      </c>
      <c r="L138" s="18"/>
      <c r="M138" s="19"/>
    </row>
    <row r="139" spans="1:13" x14ac:dyDescent="0.2">
      <c r="A139" s="10">
        <v>44963.714803240742</v>
      </c>
      <c r="B139" s="11" t="s">
        <v>32</v>
      </c>
      <c r="C139" s="12">
        <v>264.01674599</v>
      </c>
      <c r="D139" s="12" t="s">
        <v>17</v>
      </c>
      <c r="E139" s="13">
        <v>18.510000000000002</v>
      </c>
      <c r="F139" s="14">
        <v>18.510000000000002</v>
      </c>
      <c r="G139" s="14" t="s">
        <v>33</v>
      </c>
      <c r="H139" s="15"/>
      <c r="I139" s="16">
        <v>1.49</v>
      </c>
      <c r="J139" s="16" t="s">
        <v>33</v>
      </c>
      <c r="K139" s="17">
        <v>1.49</v>
      </c>
      <c r="L139" s="18"/>
      <c r="M139" s="19"/>
    </row>
    <row r="140" spans="1:13" x14ac:dyDescent="0.2">
      <c r="A140" s="10">
        <v>44963.270439814813</v>
      </c>
      <c r="B140" s="11" t="s">
        <v>32</v>
      </c>
      <c r="C140" s="12">
        <v>1.132712E-2</v>
      </c>
      <c r="D140" s="12" t="s">
        <v>41</v>
      </c>
      <c r="E140" s="13">
        <v>18.510000000000002</v>
      </c>
      <c r="F140" s="14">
        <v>18.510000000000002</v>
      </c>
      <c r="G140" s="14" t="s">
        <v>33</v>
      </c>
      <c r="H140" s="15"/>
      <c r="I140" s="16">
        <v>1.49</v>
      </c>
      <c r="J140" s="16" t="s">
        <v>33</v>
      </c>
      <c r="K140" s="17">
        <v>1.49</v>
      </c>
      <c r="L140" s="18"/>
      <c r="M140" s="19"/>
    </row>
    <row r="141" spans="1:13" x14ac:dyDescent="0.2">
      <c r="A141" s="10">
        <v>44958.88108796296</v>
      </c>
      <c r="B141" s="11" t="s">
        <v>32</v>
      </c>
      <c r="C141" s="12">
        <v>2.5693987200000001</v>
      </c>
      <c r="D141" s="12" t="s">
        <v>43</v>
      </c>
      <c r="E141" s="13">
        <v>18.510000000000002</v>
      </c>
      <c r="F141" s="14">
        <v>18.510000000000002</v>
      </c>
      <c r="G141" s="14" t="s">
        <v>33</v>
      </c>
      <c r="H141" s="15"/>
      <c r="I141" s="16">
        <v>1.49</v>
      </c>
      <c r="J141" s="16" t="s">
        <v>33</v>
      </c>
      <c r="K141" s="17">
        <v>1.49</v>
      </c>
      <c r="L141" s="18"/>
      <c r="M141" s="19"/>
    </row>
    <row r="142" spans="1:13" x14ac:dyDescent="0.2">
      <c r="A142" s="10">
        <v>44956.843090277784</v>
      </c>
      <c r="B142" s="11" t="s">
        <v>32</v>
      </c>
      <c r="C142" s="12">
        <v>288.44870791</v>
      </c>
      <c r="D142" s="12" t="s">
        <v>17</v>
      </c>
      <c r="E142" s="13">
        <v>18.510000000000002</v>
      </c>
      <c r="F142" s="14">
        <v>18.510000000000002</v>
      </c>
      <c r="G142" s="14" t="s">
        <v>33</v>
      </c>
      <c r="H142" s="15"/>
      <c r="I142" s="16">
        <v>1.49</v>
      </c>
      <c r="J142" s="16" t="s">
        <v>33</v>
      </c>
      <c r="K142" s="17">
        <v>1.49</v>
      </c>
      <c r="L142" s="18"/>
      <c r="M142" s="19"/>
    </row>
    <row r="143" spans="1:13" x14ac:dyDescent="0.2">
      <c r="A143" s="10">
        <v>44956.273356481477</v>
      </c>
      <c r="B143" s="11" t="s">
        <v>32</v>
      </c>
      <c r="C143" s="12">
        <v>1.127567E-2</v>
      </c>
      <c r="D143" s="12" t="s">
        <v>41</v>
      </c>
      <c r="E143" s="13">
        <v>18.510000000000002</v>
      </c>
      <c r="F143" s="14">
        <v>18.510000000000002</v>
      </c>
      <c r="G143" s="14" t="s">
        <v>33</v>
      </c>
      <c r="H143" s="15"/>
      <c r="I143" s="16">
        <v>1.49</v>
      </c>
      <c r="J143" s="16" t="s">
        <v>33</v>
      </c>
      <c r="K143" s="17">
        <v>1.49</v>
      </c>
      <c r="L143" s="18"/>
      <c r="M143" s="19"/>
    </row>
    <row r="144" spans="1:13" x14ac:dyDescent="0.2">
      <c r="A144" s="10">
        <v>44949.780578703707</v>
      </c>
      <c r="B144" s="11" t="s">
        <v>32</v>
      </c>
      <c r="C144" s="12">
        <v>265.38112391999999</v>
      </c>
      <c r="D144" s="12" t="s">
        <v>17</v>
      </c>
      <c r="E144" s="13">
        <v>18.510000000000002</v>
      </c>
      <c r="F144" s="14">
        <v>18.510000000000002</v>
      </c>
      <c r="G144" s="14" t="s">
        <v>33</v>
      </c>
      <c r="H144" s="15"/>
      <c r="I144" s="16">
        <v>1.49</v>
      </c>
      <c r="J144" s="16" t="s">
        <v>33</v>
      </c>
      <c r="K144" s="17">
        <v>1.49</v>
      </c>
      <c r="L144" s="18"/>
      <c r="M144" s="19"/>
    </row>
    <row r="145" spans="1:13" x14ac:dyDescent="0.2">
      <c r="A145" s="10">
        <v>44949.285208333327</v>
      </c>
      <c r="B145" s="11" t="s">
        <v>32</v>
      </c>
      <c r="C145" s="12">
        <v>1.1246539999999999E-2</v>
      </c>
      <c r="D145" s="12" t="s">
        <v>41</v>
      </c>
      <c r="E145" s="13">
        <v>18.510000000000002</v>
      </c>
      <c r="F145" s="14">
        <v>18.510000000000002</v>
      </c>
      <c r="G145" s="14" t="s">
        <v>33</v>
      </c>
      <c r="H145" s="15"/>
      <c r="I145" s="16">
        <v>1.49</v>
      </c>
      <c r="J145" s="16" t="s">
        <v>33</v>
      </c>
      <c r="K145" s="17">
        <v>1.49</v>
      </c>
      <c r="L145" s="18"/>
      <c r="M145" s="19"/>
    </row>
    <row r="146" spans="1:13" x14ac:dyDescent="0.2">
      <c r="A146" s="10">
        <v>44946.915717592587</v>
      </c>
      <c r="B146" s="11" t="s">
        <v>37</v>
      </c>
      <c r="C146" s="12">
        <v>3.5688500000000001E-3</v>
      </c>
      <c r="D146" s="12" t="s">
        <v>41</v>
      </c>
      <c r="E146" s="13">
        <v>5.99</v>
      </c>
      <c r="F146" s="14">
        <v>16.625104</v>
      </c>
      <c r="G146" s="14" t="s">
        <v>36</v>
      </c>
      <c r="H146" s="15">
        <v>7.23</v>
      </c>
      <c r="I146" s="16"/>
      <c r="J146" s="16"/>
      <c r="K146" s="17"/>
      <c r="L146" s="18">
        <v>-1.24</v>
      </c>
      <c r="M146" s="19"/>
    </row>
    <row r="147" spans="1:13" x14ac:dyDescent="0.2">
      <c r="A147" s="10">
        <v>44946.915196759262</v>
      </c>
      <c r="B147" s="11" t="s">
        <v>37</v>
      </c>
      <c r="C147" s="12">
        <v>7.1284349999999996E-2</v>
      </c>
      <c r="D147" s="12" t="s">
        <v>41</v>
      </c>
      <c r="E147" s="13">
        <v>119.94</v>
      </c>
      <c r="F147" s="14">
        <v>0.83455038999999998</v>
      </c>
      <c r="G147" s="14" t="s">
        <v>50</v>
      </c>
      <c r="H147" s="15">
        <v>137.72999999999999</v>
      </c>
      <c r="I147" s="16"/>
      <c r="J147" s="16"/>
      <c r="K147" s="17"/>
      <c r="L147" s="18">
        <v>-17.79</v>
      </c>
      <c r="M147" s="19"/>
    </row>
    <row r="148" spans="1:13" x14ac:dyDescent="0.2">
      <c r="A148" s="10">
        <v>44946.914641203701</v>
      </c>
      <c r="B148" s="11" t="s">
        <v>37</v>
      </c>
      <c r="C148" s="12">
        <v>0.17811527999999999</v>
      </c>
      <c r="D148" s="12" t="s">
        <v>41</v>
      </c>
      <c r="E148" s="13">
        <v>299.82</v>
      </c>
      <c r="F148" s="14">
        <v>3950.2304147499999</v>
      </c>
      <c r="G148" s="14" t="s">
        <v>17</v>
      </c>
      <c r="H148" s="15">
        <v>300.55</v>
      </c>
      <c r="I148" s="16"/>
      <c r="J148" s="16"/>
      <c r="K148" s="17"/>
      <c r="L148" s="18">
        <v>-0.73</v>
      </c>
      <c r="M148" s="19"/>
    </row>
    <row r="149" spans="1:13" x14ac:dyDescent="0.2">
      <c r="A149" s="10">
        <v>44946.913668981477</v>
      </c>
      <c r="B149" s="11" t="s">
        <v>32</v>
      </c>
      <c r="C149" s="12">
        <v>13143.4273417</v>
      </c>
      <c r="D149" s="12" t="s">
        <v>17</v>
      </c>
      <c r="E149" s="13">
        <v>1000</v>
      </c>
      <c r="F149" s="14">
        <v>1000</v>
      </c>
      <c r="G149" s="14" t="s">
        <v>33</v>
      </c>
      <c r="H149" s="15"/>
      <c r="I149" s="16"/>
      <c r="J149" s="16"/>
      <c r="K149" s="17"/>
      <c r="L149" s="18"/>
      <c r="M149" s="19"/>
    </row>
    <row r="150" spans="1:13" x14ac:dyDescent="0.2">
      <c r="A150" s="10">
        <v>44946.740925925929</v>
      </c>
      <c r="B150" s="11" t="s">
        <v>32</v>
      </c>
      <c r="C150" s="12">
        <v>4.4574515999999997</v>
      </c>
      <c r="D150" s="12" t="s">
        <v>35</v>
      </c>
      <c r="E150" s="13">
        <v>100</v>
      </c>
      <c r="F150" s="14">
        <v>100</v>
      </c>
      <c r="G150" s="14" t="s">
        <v>33</v>
      </c>
      <c r="H150" s="15"/>
      <c r="I150" s="16"/>
      <c r="J150" s="16"/>
      <c r="K150" s="17"/>
      <c r="L150" s="18"/>
      <c r="M150" s="19"/>
    </row>
    <row r="151" spans="1:13" x14ac:dyDescent="0.2">
      <c r="A151" s="10">
        <v>44942.810347222221</v>
      </c>
      <c r="B151" s="11" t="s">
        <v>32</v>
      </c>
      <c r="C151" s="12">
        <v>372.58940273000002</v>
      </c>
      <c r="D151" s="12" t="s">
        <v>17</v>
      </c>
      <c r="E151" s="13">
        <v>20</v>
      </c>
      <c r="F151" s="14">
        <v>20</v>
      </c>
      <c r="G151" s="14" t="s">
        <v>33</v>
      </c>
      <c r="H151" s="15"/>
      <c r="I151" s="16"/>
      <c r="J151" s="16"/>
      <c r="K151" s="17"/>
      <c r="L151" s="18"/>
      <c r="M151" s="19"/>
    </row>
    <row r="152" spans="1:13" x14ac:dyDescent="0.2">
      <c r="A152" s="10">
        <v>44942.33761574074</v>
      </c>
      <c r="B152" s="11" t="s">
        <v>32</v>
      </c>
      <c r="C152" s="12">
        <v>1.27051E-2</v>
      </c>
      <c r="D152" s="12" t="s">
        <v>41</v>
      </c>
      <c r="E152" s="13">
        <v>20</v>
      </c>
      <c r="F152" s="14">
        <v>20</v>
      </c>
      <c r="G152" s="14" t="s">
        <v>33</v>
      </c>
      <c r="H152" s="15"/>
      <c r="I152" s="16"/>
      <c r="J152" s="16"/>
      <c r="K152" s="17"/>
      <c r="L152" s="18"/>
      <c r="M152" s="19"/>
    </row>
    <row r="153" spans="1:13" x14ac:dyDescent="0.2">
      <c r="A153" s="10">
        <v>44938.640636574077</v>
      </c>
      <c r="B153" s="11" t="s">
        <v>32</v>
      </c>
      <c r="C153" s="12">
        <v>3.00987E-3</v>
      </c>
      <c r="D153" s="12" t="s">
        <v>41</v>
      </c>
      <c r="E153" s="13">
        <v>4.16</v>
      </c>
      <c r="F153" s="14"/>
      <c r="G153" s="14"/>
      <c r="H153" s="15"/>
      <c r="I153" s="16"/>
      <c r="J153" s="16"/>
      <c r="K153" s="17"/>
      <c r="L153" s="18"/>
      <c r="M153" s="19"/>
    </row>
    <row r="154" spans="1:13" x14ac:dyDescent="0.2">
      <c r="A154" s="10">
        <v>44938.639490740738</v>
      </c>
      <c r="B154" s="11" t="s">
        <v>40</v>
      </c>
      <c r="C154" s="12"/>
      <c r="D154" s="12" t="s">
        <v>33</v>
      </c>
      <c r="E154" s="13"/>
      <c r="F154" s="14">
        <v>1.44287E-3</v>
      </c>
      <c r="G154" s="14" t="s">
        <v>41</v>
      </c>
      <c r="H154" s="15">
        <v>1.9</v>
      </c>
      <c r="I154" s="16">
        <v>3.7800000000000003E-4</v>
      </c>
      <c r="J154" s="16" t="s">
        <v>41</v>
      </c>
      <c r="K154" s="17">
        <v>0.5</v>
      </c>
      <c r="L154" s="18">
        <v>-0.04</v>
      </c>
      <c r="M154" s="19">
        <v>0.16</v>
      </c>
    </row>
    <row r="155" spans="1:13" x14ac:dyDescent="0.2">
      <c r="A155" s="10">
        <v>44938.635694444441</v>
      </c>
      <c r="B155" s="11" t="s">
        <v>40</v>
      </c>
      <c r="C155" s="12"/>
      <c r="D155" s="12" t="s">
        <v>33</v>
      </c>
      <c r="E155" s="13"/>
      <c r="F155" s="14">
        <v>3.6103799999999998E-3</v>
      </c>
      <c r="G155" s="14" t="s">
        <v>41</v>
      </c>
      <c r="H155" s="15">
        <v>4.76</v>
      </c>
      <c r="I155" s="16">
        <v>4.6200000000000001E-4</v>
      </c>
      <c r="J155" s="16" t="s">
        <v>41</v>
      </c>
      <c r="K155" s="17">
        <v>0.61</v>
      </c>
      <c r="L155" s="18">
        <v>0.16</v>
      </c>
      <c r="M155" s="19">
        <v>0.11</v>
      </c>
    </row>
    <row r="156" spans="1:13" x14ac:dyDescent="0.2">
      <c r="A156" s="10">
        <v>44937.765243055554</v>
      </c>
      <c r="B156" s="11" t="s">
        <v>37</v>
      </c>
      <c r="C156" s="12">
        <v>873.76772683000002</v>
      </c>
      <c r="D156" s="12" t="s">
        <v>17</v>
      </c>
      <c r="E156" s="13">
        <v>38.97</v>
      </c>
      <c r="F156" s="14">
        <v>128.04097300000001</v>
      </c>
      <c r="G156" s="14" t="s">
        <v>36</v>
      </c>
      <c r="H156" s="15">
        <v>55.65</v>
      </c>
      <c r="I156" s="16"/>
      <c r="J156" s="16"/>
      <c r="K156" s="17"/>
      <c r="L156" s="18">
        <v>-16.68</v>
      </c>
      <c r="M156" s="19"/>
    </row>
    <row r="157" spans="1:13" x14ac:dyDescent="0.2">
      <c r="A157" s="10">
        <v>44937.765011574083</v>
      </c>
      <c r="B157" s="11" t="s">
        <v>37</v>
      </c>
      <c r="C157" s="12">
        <v>655.50684043000001</v>
      </c>
      <c r="D157" s="12" t="s">
        <v>17</v>
      </c>
      <c r="E157" s="13">
        <v>29.23</v>
      </c>
      <c r="F157" s="14">
        <v>2.6812049999999998</v>
      </c>
      <c r="G157" s="14" t="s">
        <v>34</v>
      </c>
      <c r="H157" s="15">
        <v>35.47</v>
      </c>
      <c r="I157" s="16"/>
      <c r="J157" s="16"/>
      <c r="K157" s="17"/>
      <c r="L157" s="18">
        <v>-6.24</v>
      </c>
      <c r="M157" s="19"/>
    </row>
    <row r="158" spans="1:13" x14ac:dyDescent="0.2">
      <c r="A158" s="10">
        <v>44937.764467592591</v>
      </c>
      <c r="B158" s="11" t="s">
        <v>37</v>
      </c>
      <c r="C158" s="12">
        <v>656.21331996000004</v>
      </c>
      <c r="D158" s="12" t="s">
        <v>17</v>
      </c>
      <c r="E158" s="13">
        <v>29.24</v>
      </c>
      <c r="F158" s="14">
        <v>374.7470457</v>
      </c>
      <c r="G158" s="14" t="s">
        <v>46</v>
      </c>
      <c r="H158" s="15">
        <v>32.9</v>
      </c>
      <c r="I158" s="16"/>
      <c r="J158" s="16"/>
      <c r="K158" s="17"/>
      <c r="L158" s="18">
        <v>-3.66</v>
      </c>
      <c r="M158" s="19"/>
    </row>
    <row r="159" spans="1:13" x14ac:dyDescent="0.2">
      <c r="A159" s="10">
        <v>44935.668703703697</v>
      </c>
      <c r="B159" s="11" t="s">
        <v>32</v>
      </c>
      <c r="C159" s="12">
        <v>443.1084391</v>
      </c>
      <c r="D159" s="12" t="s">
        <v>17</v>
      </c>
      <c r="E159" s="13">
        <v>20</v>
      </c>
      <c r="F159" s="14">
        <v>20</v>
      </c>
      <c r="G159" s="14" t="s">
        <v>33</v>
      </c>
      <c r="H159" s="15"/>
      <c r="I159" s="16"/>
      <c r="J159" s="16"/>
      <c r="K159" s="17"/>
      <c r="L159" s="18"/>
      <c r="M159" s="19"/>
    </row>
    <row r="160" spans="1:13" x14ac:dyDescent="0.2">
      <c r="A160" s="10">
        <v>44935.279189814813</v>
      </c>
      <c r="B160" s="11" t="s">
        <v>32</v>
      </c>
      <c r="C160" s="12">
        <v>1.5181109999999999E-2</v>
      </c>
      <c r="D160" s="12" t="s">
        <v>41</v>
      </c>
      <c r="E160" s="13">
        <v>20</v>
      </c>
      <c r="F160" s="14">
        <v>20</v>
      </c>
      <c r="G160" s="14" t="s">
        <v>33</v>
      </c>
      <c r="H160" s="15"/>
      <c r="I160" s="16"/>
      <c r="J160" s="16"/>
      <c r="K160" s="17"/>
      <c r="L160" s="18"/>
      <c r="M160" s="19"/>
    </row>
    <row r="161" spans="1:13" x14ac:dyDescent="0.2">
      <c r="A161" s="10">
        <v>44935.196388888893</v>
      </c>
      <c r="B161" s="11" t="s">
        <v>32</v>
      </c>
      <c r="C161" s="12">
        <v>0.16864407000000001</v>
      </c>
      <c r="D161" s="12" t="s">
        <v>50</v>
      </c>
      <c r="E161" s="13">
        <v>20</v>
      </c>
      <c r="F161" s="14">
        <v>20</v>
      </c>
      <c r="G161" s="14" t="s">
        <v>33</v>
      </c>
      <c r="H161" s="15"/>
      <c r="I161" s="16"/>
      <c r="J161" s="16"/>
      <c r="K161" s="17"/>
      <c r="L161" s="18"/>
      <c r="M161" s="19"/>
    </row>
    <row r="162" spans="1:13" x14ac:dyDescent="0.2">
      <c r="A162" s="10">
        <v>44928.243923611109</v>
      </c>
      <c r="B162" s="11" t="s">
        <v>32</v>
      </c>
      <c r="C162" s="12">
        <v>5.8256000000000002E-2</v>
      </c>
      <c r="D162" s="12" t="s">
        <v>41</v>
      </c>
      <c r="E162" s="13">
        <v>70.03</v>
      </c>
      <c r="F162" s="14"/>
      <c r="G162" s="14"/>
      <c r="H162" s="15"/>
      <c r="I162" s="16"/>
      <c r="J162" s="16"/>
      <c r="K162" s="17"/>
      <c r="L162" s="18"/>
      <c r="M162" s="19"/>
    </row>
    <row r="163" spans="1:13" x14ac:dyDescent="0.2">
      <c r="A163" s="10">
        <v>44928.23741898148</v>
      </c>
      <c r="B163" s="11" t="s">
        <v>32</v>
      </c>
      <c r="C163" s="12">
        <v>0.18579030999999999</v>
      </c>
      <c r="D163" s="12" t="s">
        <v>50</v>
      </c>
      <c r="E163" s="13">
        <v>20</v>
      </c>
      <c r="F163" s="14">
        <v>20</v>
      </c>
      <c r="G163" s="14" t="s">
        <v>33</v>
      </c>
      <c r="H163" s="15"/>
      <c r="I163" s="16"/>
      <c r="J163" s="16"/>
      <c r="K163" s="17"/>
      <c r="L163" s="18"/>
      <c r="M163" s="19"/>
    </row>
    <row r="164" spans="1:13" x14ac:dyDescent="0.2">
      <c r="A164" s="10">
        <v>44928.206944444442</v>
      </c>
      <c r="B164" s="11" t="s">
        <v>32</v>
      </c>
      <c r="C164" s="12">
        <v>1.6572420000000001E-2</v>
      </c>
      <c r="D164" s="12" t="s">
        <v>41</v>
      </c>
      <c r="E164" s="13">
        <v>20</v>
      </c>
      <c r="F164" s="14">
        <v>20</v>
      </c>
      <c r="G164" s="14" t="s">
        <v>33</v>
      </c>
      <c r="H164" s="15"/>
      <c r="I164" s="16"/>
      <c r="J164" s="16"/>
      <c r="K164" s="17"/>
      <c r="L164" s="18"/>
      <c r="M164" s="19"/>
    </row>
    <row r="165" spans="1:13" x14ac:dyDescent="0.2">
      <c r="A165" s="10">
        <v>44926.193657407413</v>
      </c>
      <c r="B165" s="11" t="s">
        <v>32</v>
      </c>
      <c r="C165" s="12">
        <v>8.3765999999999993E-2</v>
      </c>
      <c r="D165" s="12" t="s">
        <v>41</v>
      </c>
      <c r="E165" s="13">
        <v>100.03</v>
      </c>
      <c r="F165" s="14"/>
      <c r="G165" s="14"/>
      <c r="H165" s="15"/>
      <c r="I165" s="16"/>
      <c r="J165" s="16"/>
      <c r="K165" s="17"/>
      <c r="L165" s="18"/>
      <c r="M165" s="19"/>
    </row>
    <row r="166" spans="1:13" x14ac:dyDescent="0.2">
      <c r="A166" s="10">
        <v>44925.771817129629</v>
      </c>
      <c r="B166" s="11" t="s">
        <v>40</v>
      </c>
      <c r="C166" s="12"/>
      <c r="D166" s="12" t="s">
        <v>33</v>
      </c>
      <c r="E166" s="13"/>
      <c r="F166" s="14">
        <v>8.3696000000000007E-2</v>
      </c>
      <c r="G166" s="14" t="s">
        <v>41</v>
      </c>
      <c r="H166" s="15">
        <v>103.37</v>
      </c>
      <c r="I166" s="16">
        <v>6.3239999999999998E-5</v>
      </c>
      <c r="J166" s="16" t="s">
        <v>41</v>
      </c>
      <c r="K166" s="17">
        <v>0.08</v>
      </c>
      <c r="L166" s="18">
        <v>-3.37</v>
      </c>
      <c r="M166" s="19">
        <v>0</v>
      </c>
    </row>
    <row r="167" spans="1:13" x14ac:dyDescent="0.2">
      <c r="A167" s="10">
        <v>44925.218368055554</v>
      </c>
      <c r="B167" s="11" t="s">
        <v>40</v>
      </c>
      <c r="C167" s="12"/>
      <c r="D167" s="12" t="s">
        <v>33</v>
      </c>
      <c r="E167" s="13"/>
      <c r="F167" s="14">
        <v>4.1825000000000001E-2</v>
      </c>
      <c r="G167" s="14" t="s">
        <v>41</v>
      </c>
      <c r="H167" s="15">
        <v>51.66</v>
      </c>
      <c r="I167" s="16">
        <v>6.3810000000000001E-5</v>
      </c>
      <c r="J167" s="16" t="s">
        <v>41</v>
      </c>
      <c r="K167" s="17">
        <v>0.08</v>
      </c>
      <c r="L167" s="18">
        <v>-1.68</v>
      </c>
      <c r="M167" s="19">
        <v>0</v>
      </c>
    </row>
    <row r="168" spans="1:13" x14ac:dyDescent="0.2">
      <c r="A168" s="10">
        <v>44922.081736111111</v>
      </c>
      <c r="B168" s="11" t="s">
        <v>32</v>
      </c>
      <c r="C168" s="12">
        <v>0.16192743000000001</v>
      </c>
      <c r="D168" s="12" t="s">
        <v>41</v>
      </c>
      <c r="E168" s="13">
        <v>200</v>
      </c>
      <c r="F168" s="14">
        <v>200</v>
      </c>
      <c r="G168" s="14" t="s">
        <v>33</v>
      </c>
      <c r="H168" s="15"/>
      <c r="I168" s="16"/>
      <c r="J168" s="16"/>
      <c r="K168" s="17"/>
      <c r="L168" s="18"/>
      <c r="M168" s="19"/>
    </row>
    <row r="169" spans="1:13" x14ac:dyDescent="0.2">
      <c r="A169" s="10">
        <v>44922.032222222217</v>
      </c>
      <c r="B169" s="11" t="s">
        <v>40</v>
      </c>
      <c r="C169" s="12"/>
      <c r="D169" s="12" t="s">
        <v>33</v>
      </c>
      <c r="E169" s="13"/>
      <c r="F169" s="14">
        <v>8.1725000000000006E-2</v>
      </c>
      <c r="G169" s="14" t="s">
        <v>41</v>
      </c>
      <c r="H169" s="15">
        <v>100.74</v>
      </c>
      <c r="I169" s="16">
        <v>6.622E-5</v>
      </c>
      <c r="J169" s="16" t="s">
        <v>41</v>
      </c>
      <c r="K169" s="17">
        <v>0.08</v>
      </c>
      <c r="L169" s="18">
        <v>-0.81</v>
      </c>
      <c r="M169" s="19">
        <v>0</v>
      </c>
    </row>
    <row r="170" spans="1:13" x14ac:dyDescent="0.2">
      <c r="A170" s="10">
        <v>44922.010659722233</v>
      </c>
      <c r="B170" s="11" t="s">
        <v>40</v>
      </c>
      <c r="C170" s="12"/>
      <c r="D170" s="12" t="s">
        <v>33</v>
      </c>
      <c r="E170" s="13"/>
      <c r="F170" s="14">
        <v>4.0683999999999998E-2</v>
      </c>
      <c r="G170" s="14" t="s">
        <v>41</v>
      </c>
      <c r="H170" s="15">
        <v>50.15</v>
      </c>
      <c r="I170" s="16">
        <v>6.6379999999999998E-5</v>
      </c>
      <c r="J170" s="16" t="s">
        <v>41</v>
      </c>
      <c r="K170" s="17">
        <v>0.08</v>
      </c>
      <c r="L170" s="18">
        <v>-0.16</v>
      </c>
      <c r="M170" s="19">
        <v>0</v>
      </c>
    </row>
    <row r="171" spans="1:13" x14ac:dyDescent="0.2">
      <c r="A171" s="10">
        <v>44921.241469907407</v>
      </c>
      <c r="B171" s="11" t="s">
        <v>32</v>
      </c>
      <c r="C171" s="12">
        <v>0.18544404</v>
      </c>
      <c r="D171" s="12" t="s">
        <v>50</v>
      </c>
      <c r="E171" s="13">
        <v>20</v>
      </c>
      <c r="F171" s="14">
        <v>20</v>
      </c>
      <c r="G171" s="14" t="s">
        <v>33</v>
      </c>
      <c r="H171" s="15"/>
      <c r="I171" s="16"/>
      <c r="J171" s="16"/>
      <c r="K171" s="17"/>
      <c r="L171" s="18"/>
      <c r="M171" s="19"/>
    </row>
    <row r="172" spans="1:13" x14ac:dyDescent="0.2">
      <c r="A172" s="10">
        <v>44921.197256944448</v>
      </c>
      <c r="B172" s="11" t="s">
        <v>32</v>
      </c>
      <c r="C172" s="12">
        <v>1.631107E-2</v>
      </c>
      <c r="D172" s="12" t="s">
        <v>41</v>
      </c>
      <c r="E172" s="13">
        <v>20</v>
      </c>
      <c r="F172" s="14">
        <v>20</v>
      </c>
      <c r="G172" s="14" t="s">
        <v>33</v>
      </c>
      <c r="H172" s="15"/>
      <c r="I172" s="16"/>
      <c r="J172" s="16"/>
      <c r="K172" s="17"/>
      <c r="L172" s="18"/>
      <c r="M172" s="19"/>
    </row>
    <row r="173" spans="1:13" x14ac:dyDescent="0.2">
      <c r="A173" s="10">
        <v>44917.569907407407</v>
      </c>
      <c r="B173" s="11" t="s">
        <v>32</v>
      </c>
      <c r="C173" s="12">
        <v>0.12354800000000001</v>
      </c>
      <c r="D173" s="12" t="s">
        <v>41</v>
      </c>
      <c r="E173" s="13">
        <v>150.02000000000001</v>
      </c>
      <c r="F173" s="14"/>
      <c r="G173" s="14"/>
      <c r="H173" s="15"/>
      <c r="I173" s="16"/>
      <c r="J173" s="16"/>
      <c r="K173" s="17"/>
      <c r="L173" s="18"/>
      <c r="M173" s="19"/>
    </row>
    <row r="174" spans="1:13" x14ac:dyDescent="0.2">
      <c r="A174" s="10">
        <v>44916.661793981482</v>
      </c>
      <c r="B174" s="11" t="s">
        <v>40</v>
      </c>
      <c r="C174" s="12"/>
      <c r="D174" s="12" t="s">
        <v>33</v>
      </c>
      <c r="E174" s="13"/>
      <c r="F174" s="14">
        <v>8.2324999999999995E-2</v>
      </c>
      <c r="G174" s="14" t="s">
        <v>41</v>
      </c>
      <c r="H174" s="15">
        <v>101.48</v>
      </c>
      <c r="I174" s="16">
        <v>6.5539999999999999E-5</v>
      </c>
      <c r="J174" s="16" t="s">
        <v>41</v>
      </c>
      <c r="K174" s="17">
        <v>0.08</v>
      </c>
      <c r="L174" s="18">
        <v>-1.48</v>
      </c>
      <c r="M174" s="19">
        <v>0</v>
      </c>
    </row>
    <row r="175" spans="1:13" x14ac:dyDescent="0.2">
      <c r="A175" s="10">
        <v>44916.62090277778</v>
      </c>
      <c r="B175" s="11" t="s">
        <v>40</v>
      </c>
      <c r="C175" s="12"/>
      <c r="D175" s="12" t="s">
        <v>33</v>
      </c>
      <c r="E175" s="13"/>
      <c r="F175" s="14">
        <v>4.1085000000000003E-2</v>
      </c>
      <c r="G175" s="14" t="s">
        <v>41</v>
      </c>
      <c r="H175" s="15">
        <v>50.96</v>
      </c>
      <c r="I175" s="16">
        <v>6.546E-5</v>
      </c>
      <c r="J175" s="16" t="s">
        <v>41</v>
      </c>
      <c r="K175" s="17">
        <v>0.08</v>
      </c>
      <c r="L175" s="18">
        <v>-0.99</v>
      </c>
      <c r="M175" s="19">
        <v>0</v>
      </c>
    </row>
    <row r="176" spans="1:13" x14ac:dyDescent="0.2">
      <c r="A176" s="10">
        <v>44914.284791666672</v>
      </c>
      <c r="B176" s="11" t="s">
        <v>32</v>
      </c>
      <c r="C176" s="12">
        <v>0.18022097000000001</v>
      </c>
      <c r="D176" s="12" t="s">
        <v>50</v>
      </c>
      <c r="E176" s="13">
        <v>20</v>
      </c>
      <c r="F176" s="14">
        <v>20</v>
      </c>
      <c r="G176" s="14" t="s">
        <v>33</v>
      </c>
      <c r="H176" s="15"/>
      <c r="I176" s="16"/>
      <c r="J176" s="16"/>
      <c r="K176" s="17"/>
      <c r="L176" s="18"/>
      <c r="M176" s="19"/>
    </row>
    <row r="177" spans="1:13" x14ac:dyDescent="0.2">
      <c r="A177" s="10">
        <v>44914.218194444453</v>
      </c>
      <c r="B177" s="11" t="s">
        <v>32</v>
      </c>
      <c r="C177" s="12">
        <v>1.6844990000000001E-2</v>
      </c>
      <c r="D177" s="12" t="s">
        <v>41</v>
      </c>
      <c r="E177" s="13">
        <v>20</v>
      </c>
      <c r="F177" s="14">
        <v>20</v>
      </c>
      <c r="G177" s="14" t="s">
        <v>33</v>
      </c>
      <c r="H177" s="15"/>
      <c r="I177" s="16"/>
      <c r="J177" s="16"/>
      <c r="K177" s="17"/>
      <c r="L177" s="18"/>
      <c r="M177" s="19"/>
    </row>
    <row r="178" spans="1:13" x14ac:dyDescent="0.2">
      <c r="A178" s="10">
        <v>44907.206875000003</v>
      </c>
      <c r="B178" s="11" t="s">
        <v>32</v>
      </c>
      <c r="C178" s="12">
        <v>0.17153694</v>
      </c>
      <c r="D178" s="12" t="s">
        <v>50</v>
      </c>
      <c r="E178" s="13">
        <v>20</v>
      </c>
      <c r="F178" s="14">
        <v>20</v>
      </c>
      <c r="G178" s="14" t="s">
        <v>33</v>
      </c>
      <c r="H178" s="15"/>
      <c r="I178" s="16"/>
      <c r="J178" s="16"/>
      <c r="K178" s="17"/>
      <c r="L178" s="18"/>
      <c r="M178" s="19"/>
    </row>
    <row r="179" spans="1:13" x14ac:dyDescent="0.2">
      <c r="A179" s="10">
        <v>44907.203414351847</v>
      </c>
      <c r="B179" s="11" t="s">
        <v>32</v>
      </c>
      <c r="C179" s="12">
        <v>1.5972259999999999E-2</v>
      </c>
      <c r="D179" s="12" t="s">
        <v>41</v>
      </c>
      <c r="E179" s="13">
        <v>20</v>
      </c>
      <c r="F179" s="14">
        <v>20</v>
      </c>
      <c r="G179" s="14" t="s">
        <v>33</v>
      </c>
      <c r="H179" s="15"/>
      <c r="I179" s="16"/>
      <c r="J179" s="16"/>
      <c r="K179" s="17"/>
      <c r="L179" s="18"/>
      <c r="M179" s="19"/>
    </row>
    <row r="180" spans="1:13" x14ac:dyDescent="0.2">
      <c r="A180" s="10">
        <v>44902.821516203701</v>
      </c>
      <c r="B180" s="11" t="s">
        <v>32</v>
      </c>
      <c r="C180" s="12">
        <v>0.54</v>
      </c>
      <c r="D180" s="12" t="s">
        <v>41</v>
      </c>
      <c r="E180" s="13">
        <v>665.63</v>
      </c>
      <c r="F180" s="14"/>
      <c r="G180" s="14"/>
      <c r="H180" s="15"/>
      <c r="I180" s="16"/>
      <c r="J180" s="16"/>
      <c r="K180" s="17"/>
      <c r="L180" s="18"/>
      <c r="M180" s="19"/>
    </row>
    <row r="181" spans="1:13" x14ac:dyDescent="0.2">
      <c r="A181" s="10">
        <v>44901.087407407409</v>
      </c>
      <c r="B181" s="11" t="s">
        <v>40</v>
      </c>
      <c r="C181" s="12"/>
      <c r="D181" s="12" t="s">
        <v>33</v>
      </c>
      <c r="E181" s="13"/>
      <c r="F181" s="14">
        <v>0.31627699999999997</v>
      </c>
      <c r="G181" s="14" t="s">
        <v>41</v>
      </c>
      <c r="H181" s="15">
        <v>381.94</v>
      </c>
      <c r="I181" s="16">
        <v>3.1500000000000001E-4</v>
      </c>
      <c r="J181" s="16" t="s">
        <v>41</v>
      </c>
      <c r="K181" s="17">
        <v>0.38</v>
      </c>
      <c r="L181" s="18">
        <v>18.190000000000001</v>
      </c>
      <c r="M181" s="19">
        <v>0.02</v>
      </c>
    </row>
    <row r="182" spans="1:13" x14ac:dyDescent="0.2">
      <c r="A182" s="10">
        <v>44901.058159722219</v>
      </c>
      <c r="B182" s="11" t="s">
        <v>40</v>
      </c>
      <c r="C182" s="12"/>
      <c r="D182" s="12" t="s">
        <v>33</v>
      </c>
      <c r="E182" s="13"/>
      <c r="F182" s="14">
        <v>7.8914999999999999E-2</v>
      </c>
      <c r="G182" s="14" t="s">
        <v>41</v>
      </c>
      <c r="H182" s="15">
        <v>95.63</v>
      </c>
      <c r="I182" s="16">
        <v>2.52E-4</v>
      </c>
      <c r="J182" s="16" t="s">
        <v>41</v>
      </c>
      <c r="K182" s="17">
        <v>0.3</v>
      </c>
      <c r="L182" s="18">
        <v>4.46</v>
      </c>
      <c r="M182" s="19">
        <v>0.02</v>
      </c>
    </row>
    <row r="183" spans="1:13" x14ac:dyDescent="0.2">
      <c r="A183" s="10">
        <v>44901.023090277777</v>
      </c>
      <c r="B183" s="11" t="s">
        <v>40</v>
      </c>
      <c r="C183" s="12"/>
      <c r="D183" s="12" t="s">
        <v>33</v>
      </c>
      <c r="E183" s="13"/>
      <c r="F183" s="14">
        <v>3.9595999999999999E-2</v>
      </c>
      <c r="G183" s="14" t="s">
        <v>41</v>
      </c>
      <c r="H183" s="15">
        <v>49.67</v>
      </c>
      <c r="I183" s="16">
        <v>3.1500000000000001E-4</v>
      </c>
      <c r="J183" s="16" t="s">
        <v>41</v>
      </c>
      <c r="K183" s="17">
        <v>0.39</v>
      </c>
      <c r="L183" s="18">
        <v>0.34</v>
      </c>
      <c r="M183" s="19">
        <v>0.02</v>
      </c>
    </row>
    <row r="184" spans="1:13" x14ac:dyDescent="0.2">
      <c r="A184" s="10">
        <v>44900.337013888893</v>
      </c>
      <c r="B184" s="11" t="s">
        <v>32</v>
      </c>
      <c r="C184" s="12">
        <v>0.15407246999999999</v>
      </c>
      <c r="D184" s="12" t="s">
        <v>50</v>
      </c>
      <c r="E184" s="13">
        <v>20</v>
      </c>
      <c r="F184" s="14">
        <v>20</v>
      </c>
      <c r="G184" s="14" t="s">
        <v>33</v>
      </c>
      <c r="H184" s="15"/>
      <c r="I184" s="16"/>
      <c r="J184" s="16"/>
      <c r="K184" s="17"/>
      <c r="L184" s="18"/>
      <c r="M184" s="19"/>
    </row>
    <row r="185" spans="1:13" x14ac:dyDescent="0.2">
      <c r="A185" s="10">
        <v>44900.319224537037</v>
      </c>
      <c r="B185" s="11" t="s">
        <v>32</v>
      </c>
      <c r="C185" s="12">
        <v>2.64100863</v>
      </c>
      <c r="D185" s="12" t="s">
        <v>43</v>
      </c>
      <c r="E185" s="13">
        <v>20</v>
      </c>
      <c r="F185" s="14">
        <v>20</v>
      </c>
      <c r="G185" s="14" t="s">
        <v>33</v>
      </c>
      <c r="H185" s="15"/>
      <c r="I185" s="16"/>
      <c r="J185" s="16"/>
      <c r="K185" s="17"/>
      <c r="L185" s="18"/>
      <c r="M185" s="19"/>
    </row>
    <row r="186" spans="1:13" x14ac:dyDescent="0.2">
      <c r="A186" s="10">
        <v>44900.274699074071</v>
      </c>
      <c r="B186" s="11" t="s">
        <v>32</v>
      </c>
      <c r="C186" s="12">
        <v>1.5361929999999999E-2</v>
      </c>
      <c r="D186" s="12" t="s">
        <v>41</v>
      </c>
      <c r="E186" s="13">
        <v>20</v>
      </c>
      <c r="F186" s="14">
        <v>20</v>
      </c>
      <c r="G186" s="14" t="s">
        <v>33</v>
      </c>
      <c r="H186" s="15"/>
      <c r="I186" s="16"/>
      <c r="J186" s="16"/>
      <c r="K186" s="17"/>
      <c r="L186" s="18"/>
      <c r="M186" s="19"/>
    </row>
    <row r="187" spans="1:13" x14ac:dyDescent="0.2">
      <c r="A187" s="10">
        <v>44900.257893518523</v>
      </c>
      <c r="B187" s="11" t="s">
        <v>32</v>
      </c>
      <c r="C187" s="12">
        <v>61.061675000000001</v>
      </c>
      <c r="D187" s="12" t="s">
        <v>36</v>
      </c>
      <c r="E187" s="13">
        <v>20</v>
      </c>
      <c r="F187" s="14">
        <v>20</v>
      </c>
      <c r="G187" s="14" t="s">
        <v>33</v>
      </c>
      <c r="H187" s="15"/>
      <c r="I187" s="16"/>
      <c r="J187" s="16"/>
      <c r="K187" s="17"/>
      <c r="L187" s="18"/>
      <c r="M187" s="19"/>
    </row>
    <row r="188" spans="1:13" x14ac:dyDescent="0.2">
      <c r="A188" s="10">
        <v>44900.193402777782</v>
      </c>
      <c r="B188" s="11" t="s">
        <v>32</v>
      </c>
      <c r="C188" s="12">
        <v>1.4063604199999999</v>
      </c>
      <c r="D188" s="12" t="s">
        <v>51</v>
      </c>
      <c r="E188" s="13">
        <v>20</v>
      </c>
      <c r="F188" s="14">
        <v>20</v>
      </c>
      <c r="G188" s="14" t="s">
        <v>33</v>
      </c>
      <c r="H188" s="15"/>
      <c r="I188" s="16"/>
      <c r="J188" s="16"/>
      <c r="K188" s="17"/>
      <c r="L188" s="18"/>
      <c r="M188" s="19"/>
    </row>
    <row r="189" spans="1:13" x14ac:dyDescent="0.2">
      <c r="A189" s="10">
        <v>44896.803310185183</v>
      </c>
      <c r="B189" s="11" t="s">
        <v>37</v>
      </c>
      <c r="C189" s="12">
        <v>1665.5797434999999</v>
      </c>
      <c r="D189" s="12" t="s">
        <v>46</v>
      </c>
      <c r="E189" s="13">
        <v>146.22999999999999</v>
      </c>
      <c r="F189" s="14">
        <v>0.1176406</v>
      </c>
      <c r="G189" s="14" t="s">
        <v>41</v>
      </c>
      <c r="H189" s="15">
        <v>147.31</v>
      </c>
      <c r="I189" s="16"/>
      <c r="J189" s="16"/>
      <c r="K189" s="17"/>
      <c r="L189" s="18">
        <v>-1.08</v>
      </c>
      <c r="M189" s="19"/>
    </row>
    <row r="190" spans="1:13" x14ac:dyDescent="0.2">
      <c r="A190" s="10">
        <v>44896.80196759259</v>
      </c>
      <c r="B190" s="11" t="s">
        <v>37</v>
      </c>
      <c r="C190" s="12">
        <v>324.38193999999999</v>
      </c>
      <c r="D190" s="12" t="s">
        <v>45</v>
      </c>
      <c r="E190" s="13">
        <v>80.39</v>
      </c>
      <c r="F190" s="14">
        <v>5.9178994100000004</v>
      </c>
      <c r="G190" s="14" t="s">
        <v>35</v>
      </c>
      <c r="H190" s="15">
        <v>200.62</v>
      </c>
      <c r="I190" s="16"/>
      <c r="J190" s="16"/>
      <c r="K190" s="17"/>
      <c r="L190" s="18">
        <v>-122.69</v>
      </c>
      <c r="M190" s="19"/>
    </row>
    <row r="191" spans="1:13" x14ac:dyDescent="0.2">
      <c r="A191" s="10">
        <v>44894.636759259258</v>
      </c>
      <c r="B191" s="11" t="s">
        <v>32</v>
      </c>
      <c r="C191" s="12">
        <v>0.41966714999999999</v>
      </c>
      <c r="D191" s="12" t="s">
        <v>41</v>
      </c>
      <c r="E191" s="13">
        <v>506.8</v>
      </c>
      <c r="F191" s="14"/>
      <c r="G191" s="14"/>
      <c r="H191" s="15"/>
      <c r="I191" s="16"/>
      <c r="J191" s="16"/>
      <c r="K191" s="17"/>
      <c r="L191" s="18"/>
      <c r="M191" s="19"/>
    </row>
    <row r="192" spans="1:13" x14ac:dyDescent="0.2">
      <c r="A192" s="10">
        <v>44893.740567129629</v>
      </c>
      <c r="B192" s="11" t="s">
        <v>40</v>
      </c>
      <c r="C192" s="12"/>
      <c r="D192" s="12" t="s">
        <v>33</v>
      </c>
      <c r="E192" s="13"/>
      <c r="F192" s="14">
        <v>0.25511800000000001</v>
      </c>
      <c r="G192" s="14" t="s">
        <v>41</v>
      </c>
      <c r="H192" s="15">
        <v>343.87</v>
      </c>
      <c r="I192" s="16">
        <v>5.2499999999999997E-4</v>
      </c>
      <c r="J192" s="16" t="s">
        <v>41</v>
      </c>
      <c r="K192" s="17">
        <v>0.67</v>
      </c>
      <c r="L192" s="18">
        <v>-43.85</v>
      </c>
      <c r="M192" s="19">
        <v>-0.05</v>
      </c>
    </row>
    <row r="193" spans="1:13" x14ac:dyDescent="0.2">
      <c r="A193" s="10">
        <v>44893.655752314808</v>
      </c>
      <c r="B193" s="11" t="s">
        <v>40</v>
      </c>
      <c r="C193" s="12"/>
      <c r="D193" s="12" t="s">
        <v>33</v>
      </c>
      <c r="E193" s="13"/>
      <c r="F193" s="14">
        <v>8.6155999999999996E-2</v>
      </c>
      <c r="G193" s="14" t="s">
        <v>41</v>
      </c>
      <c r="H193" s="15">
        <v>127.16</v>
      </c>
      <c r="I193" s="16">
        <v>6.5099999999999999E-4</v>
      </c>
      <c r="J193" s="16" t="s">
        <v>41</v>
      </c>
      <c r="K193" s="17">
        <v>0.89</v>
      </c>
      <c r="L193" s="18">
        <v>-27.16</v>
      </c>
      <c r="M193" s="19">
        <v>-0.13</v>
      </c>
    </row>
    <row r="194" spans="1:13" x14ac:dyDescent="0.2">
      <c r="A194" s="10">
        <v>44893.632743055547</v>
      </c>
      <c r="B194" s="11" t="s">
        <v>40</v>
      </c>
      <c r="C194" s="12"/>
      <c r="D194" s="12" t="s">
        <v>33</v>
      </c>
      <c r="E194" s="13"/>
      <c r="F194" s="14">
        <v>4.2960999999999999E-2</v>
      </c>
      <c r="G194" s="14" t="s">
        <v>41</v>
      </c>
      <c r="H194" s="15">
        <v>70.959999999999994</v>
      </c>
      <c r="I194" s="16">
        <v>8.1899999999999996E-4</v>
      </c>
      <c r="J194" s="16" t="s">
        <v>41</v>
      </c>
      <c r="K194" s="17">
        <v>1.34</v>
      </c>
      <c r="L194" s="18">
        <v>-20.99</v>
      </c>
      <c r="M194" s="19">
        <v>-0.37</v>
      </c>
    </row>
    <row r="195" spans="1:13" x14ac:dyDescent="0.2">
      <c r="A195" s="10">
        <v>44893.604050925933</v>
      </c>
      <c r="B195" s="11" t="s">
        <v>40</v>
      </c>
      <c r="C195" s="12"/>
      <c r="D195" s="12" t="s">
        <v>33</v>
      </c>
      <c r="E195" s="13"/>
      <c r="F195" s="14">
        <v>4.2763000000000002E-2</v>
      </c>
      <c r="G195" s="14" t="s">
        <v>41</v>
      </c>
      <c r="H195" s="15">
        <v>71.400000000000006</v>
      </c>
      <c r="I195" s="16">
        <v>1.1130000000000001E-3</v>
      </c>
      <c r="J195" s="16" t="s">
        <v>41</v>
      </c>
      <c r="K195" s="17">
        <v>1.86</v>
      </c>
      <c r="L195" s="18">
        <v>-21.37</v>
      </c>
      <c r="M195" s="19">
        <v>-0.52</v>
      </c>
    </row>
    <row r="196" spans="1:13" x14ac:dyDescent="0.2">
      <c r="A196" s="10">
        <v>44893.319803240738</v>
      </c>
      <c r="B196" s="11" t="s">
        <v>32</v>
      </c>
      <c r="C196" s="12">
        <v>1.6139497199999999</v>
      </c>
      <c r="D196" s="12" t="s">
        <v>51</v>
      </c>
      <c r="E196" s="13">
        <v>20</v>
      </c>
      <c r="F196" s="14">
        <v>20</v>
      </c>
      <c r="G196" s="14" t="s">
        <v>33</v>
      </c>
      <c r="H196" s="15"/>
      <c r="I196" s="16"/>
      <c r="J196" s="16"/>
      <c r="K196" s="17"/>
      <c r="L196" s="18"/>
      <c r="M196" s="19"/>
    </row>
    <row r="197" spans="1:13" x14ac:dyDescent="0.2">
      <c r="A197" s="10">
        <v>44893.297442129631</v>
      </c>
      <c r="B197" s="11" t="s">
        <v>32</v>
      </c>
      <c r="C197" s="12">
        <v>1.697156E-2</v>
      </c>
      <c r="D197" s="12" t="s">
        <v>41</v>
      </c>
      <c r="E197" s="13">
        <v>20</v>
      </c>
      <c r="F197" s="14">
        <v>20</v>
      </c>
      <c r="G197" s="14" t="s">
        <v>33</v>
      </c>
      <c r="H197" s="15"/>
      <c r="I197" s="16"/>
      <c r="J197" s="16"/>
      <c r="K197" s="17"/>
      <c r="L197" s="18"/>
      <c r="M197" s="19"/>
    </row>
    <row r="198" spans="1:13" x14ac:dyDescent="0.2">
      <c r="A198" s="10">
        <v>44893.288344907407</v>
      </c>
      <c r="B198" s="11" t="s">
        <v>32</v>
      </c>
      <c r="C198" s="12">
        <v>0.17671609999999999</v>
      </c>
      <c r="D198" s="12" t="s">
        <v>50</v>
      </c>
      <c r="E198" s="13">
        <v>20</v>
      </c>
      <c r="F198" s="14">
        <v>20</v>
      </c>
      <c r="G198" s="14" t="s">
        <v>33</v>
      </c>
      <c r="H198" s="15"/>
      <c r="I198" s="16"/>
      <c r="J198" s="16"/>
      <c r="K198" s="17"/>
      <c r="L198" s="18"/>
      <c r="M198" s="19"/>
    </row>
    <row r="199" spans="1:13" x14ac:dyDescent="0.2">
      <c r="A199" s="10">
        <v>44893.207361111112</v>
      </c>
      <c r="B199" s="11" t="s">
        <v>32</v>
      </c>
      <c r="C199" s="12">
        <v>64.990201999999996</v>
      </c>
      <c r="D199" s="12" t="s">
        <v>36</v>
      </c>
      <c r="E199" s="13">
        <v>20</v>
      </c>
      <c r="F199" s="14">
        <v>20</v>
      </c>
      <c r="G199" s="14" t="s">
        <v>33</v>
      </c>
      <c r="H199" s="15"/>
      <c r="I199" s="16"/>
      <c r="J199" s="16"/>
      <c r="K199" s="17"/>
      <c r="L199" s="18"/>
      <c r="M199" s="19"/>
    </row>
    <row r="200" spans="1:13" x14ac:dyDescent="0.2">
      <c r="A200" s="10">
        <v>44893.199074074073</v>
      </c>
      <c r="B200" s="11" t="s">
        <v>32</v>
      </c>
      <c r="C200" s="12">
        <v>2.9604284399999998</v>
      </c>
      <c r="D200" s="12" t="s">
        <v>43</v>
      </c>
      <c r="E200" s="13">
        <v>20</v>
      </c>
      <c r="F200" s="14">
        <v>20</v>
      </c>
      <c r="G200" s="14" t="s">
        <v>33</v>
      </c>
      <c r="H200" s="15"/>
      <c r="I200" s="16"/>
      <c r="J200" s="16"/>
      <c r="K200" s="17"/>
      <c r="L200" s="18"/>
      <c r="M200" s="19"/>
    </row>
    <row r="201" spans="1:13" x14ac:dyDescent="0.2">
      <c r="A201" s="10">
        <v>44886.044756944437</v>
      </c>
      <c r="B201" s="11" t="s">
        <v>32</v>
      </c>
      <c r="C201" s="12">
        <v>0.16911129</v>
      </c>
      <c r="D201" s="12" t="s">
        <v>50</v>
      </c>
      <c r="E201" s="13">
        <v>18.510000000000002</v>
      </c>
      <c r="F201" s="14">
        <v>18.510000000000002</v>
      </c>
      <c r="G201" s="14" t="s">
        <v>33</v>
      </c>
      <c r="H201" s="15"/>
      <c r="I201" s="16">
        <v>1.49</v>
      </c>
      <c r="J201" s="16" t="s">
        <v>33</v>
      </c>
      <c r="K201" s="17">
        <v>1.49</v>
      </c>
      <c r="L201" s="18"/>
      <c r="M201" s="19"/>
    </row>
    <row r="202" spans="1:13" x14ac:dyDescent="0.2">
      <c r="A202" s="10">
        <v>44886.040706018517</v>
      </c>
      <c r="B202" s="11" t="s">
        <v>32</v>
      </c>
      <c r="C202" s="12">
        <v>3.17769331</v>
      </c>
      <c r="D202" s="12" t="s">
        <v>43</v>
      </c>
      <c r="E202" s="13">
        <v>18.510000000000002</v>
      </c>
      <c r="F202" s="14">
        <v>18.510000000000002</v>
      </c>
      <c r="G202" s="14" t="s">
        <v>33</v>
      </c>
      <c r="H202" s="15"/>
      <c r="I202" s="16">
        <v>1.49</v>
      </c>
      <c r="J202" s="16" t="s">
        <v>33</v>
      </c>
      <c r="K202" s="17">
        <v>1.49</v>
      </c>
      <c r="L202" s="18"/>
      <c r="M202" s="19"/>
    </row>
    <row r="203" spans="1:13" x14ac:dyDescent="0.2">
      <c r="A203" s="10">
        <v>44886.040069444447</v>
      </c>
      <c r="B203" s="11" t="s">
        <v>32</v>
      </c>
      <c r="C203" s="12">
        <v>1.5234003700000001</v>
      </c>
      <c r="D203" s="12" t="s">
        <v>51</v>
      </c>
      <c r="E203" s="13">
        <v>18.510000000000002</v>
      </c>
      <c r="F203" s="14">
        <v>18.510000000000002</v>
      </c>
      <c r="G203" s="14" t="s">
        <v>33</v>
      </c>
      <c r="H203" s="15"/>
      <c r="I203" s="16">
        <v>1.49</v>
      </c>
      <c r="J203" s="16" t="s">
        <v>33</v>
      </c>
      <c r="K203" s="17">
        <v>1.49</v>
      </c>
      <c r="L203" s="18"/>
      <c r="M203" s="19"/>
    </row>
    <row r="204" spans="1:13" x14ac:dyDescent="0.2">
      <c r="A204" s="10">
        <v>44886.038263888891</v>
      </c>
      <c r="B204" s="11" t="s">
        <v>32</v>
      </c>
      <c r="C204" s="12">
        <v>58.918460000000003</v>
      </c>
      <c r="D204" s="12" t="s">
        <v>36</v>
      </c>
      <c r="E204" s="13">
        <v>18.510000000000002</v>
      </c>
      <c r="F204" s="14">
        <v>18.510000000000002</v>
      </c>
      <c r="G204" s="14" t="s">
        <v>33</v>
      </c>
      <c r="H204" s="15"/>
      <c r="I204" s="16">
        <v>1.49</v>
      </c>
      <c r="J204" s="16" t="s">
        <v>33</v>
      </c>
      <c r="K204" s="17">
        <v>1.49</v>
      </c>
      <c r="L204" s="18"/>
      <c r="M204" s="19"/>
    </row>
    <row r="205" spans="1:13" x14ac:dyDescent="0.2">
      <c r="A205" s="10">
        <v>44886.036979166667</v>
      </c>
      <c r="B205" s="11" t="s">
        <v>32</v>
      </c>
      <c r="C205" s="12">
        <v>1.6193989999999998E-2</v>
      </c>
      <c r="D205" s="12" t="s">
        <v>41</v>
      </c>
      <c r="E205" s="13">
        <v>18.510000000000002</v>
      </c>
      <c r="F205" s="14">
        <v>18.510000000000002</v>
      </c>
      <c r="G205" s="14" t="s">
        <v>33</v>
      </c>
      <c r="H205" s="15"/>
      <c r="I205" s="16">
        <v>1.49</v>
      </c>
      <c r="J205" s="16" t="s">
        <v>33</v>
      </c>
      <c r="K205" s="17">
        <v>1.49</v>
      </c>
      <c r="L205" s="18"/>
      <c r="M205" s="19"/>
    </row>
    <row r="206" spans="1:13" x14ac:dyDescent="0.2">
      <c r="A206" s="10">
        <v>44885.840277777781</v>
      </c>
      <c r="B206" s="11" t="s">
        <v>32</v>
      </c>
      <c r="C206" s="12">
        <v>8.1690860000000004E-2</v>
      </c>
      <c r="D206" s="12" t="s">
        <v>41</v>
      </c>
      <c r="E206" s="13">
        <v>97.01</v>
      </c>
      <c r="F206" s="14">
        <v>97.01</v>
      </c>
      <c r="G206" s="14" t="s">
        <v>33</v>
      </c>
      <c r="H206" s="15"/>
      <c r="I206" s="16">
        <v>2.99</v>
      </c>
      <c r="J206" s="16" t="s">
        <v>33</v>
      </c>
      <c r="K206" s="17">
        <v>2.99</v>
      </c>
      <c r="L206" s="18"/>
      <c r="M206" s="19"/>
    </row>
    <row r="207" spans="1:13" x14ac:dyDescent="0.2">
      <c r="A207" s="10">
        <v>44878.840787037043</v>
      </c>
      <c r="B207" s="11" t="s">
        <v>32</v>
      </c>
      <c r="C207" s="12">
        <v>7.8565270000000006E-2</v>
      </c>
      <c r="D207" s="12" t="s">
        <v>41</v>
      </c>
      <c r="E207" s="13">
        <v>97.01</v>
      </c>
      <c r="F207" s="14">
        <v>97.01</v>
      </c>
      <c r="G207" s="14" t="s">
        <v>33</v>
      </c>
      <c r="H207" s="15"/>
      <c r="I207" s="16">
        <v>2.99</v>
      </c>
      <c r="J207" s="16" t="s">
        <v>33</v>
      </c>
      <c r="K207" s="17">
        <v>2.99</v>
      </c>
      <c r="L207" s="18"/>
      <c r="M207" s="19"/>
    </row>
    <row r="208" spans="1:13" x14ac:dyDescent="0.2">
      <c r="A208" s="10">
        <v>44873.69902777778</v>
      </c>
      <c r="B208" s="11" t="s">
        <v>32</v>
      </c>
      <c r="C208" s="12">
        <v>119.36914477000001</v>
      </c>
      <c r="D208" s="12" t="s">
        <v>52</v>
      </c>
      <c r="E208" s="13">
        <v>147.01</v>
      </c>
      <c r="F208" s="14">
        <v>147.01</v>
      </c>
      <c r="G208" s="14" t="s">
        <v>33</v>
      </c>
      <c r="H208" s="15"/>
      <c r="I208" s="16">
        <v>2.99</v>
      </c>
      <c r="J208" s="16" t="s">
        <v>33</v>
      </c>
      <c r="K208" s="17">
        <v>2.99</v>
      </c>
      <c r="L208" s="18"/>
      <c r="M208" s="19"/>
    </row>
    <row r="209" spans="1:13" x14ac:dyDescent="0.2">
      <c r="A209" s="10">
        <v>44871.809120370373</v>
      </c>
      <c r="B209" s="11" t="s">
        <v>32</v>
      </c>
      <c r="C209" s="12">
        <v>5.9890310000000002E-2</v>
      </c>
      <c r="D209" s="12" t="s">
        <v>41</v>
      </c>
      <c r="E209" s="13">
        <v>97.01</v>
      </c>
      <c r="F209" s="14">
        <v>97.01</v>
      </c>
      <c r="G209" s="14" t="s">
        <v>33</v>
      </c>
      <c r="H209" s="15"/>
      <c r="I209" s="16">
        <v>2.99</v>
      </c>
      <c r="J209" s="16" t="s">
        <v>33</v>
      </c>
      <c r="K209" s="17">
        <v>2.99</v>
      </c>
      <c r="L209" s="18"/>
      <c r="M209" s="19"/>
    </row>
    <row r="210" spans="1:13" x14ac:dyDescent="0.2">
      <c r="A210" s="10">
        <v>44868.1330787037</v>
      </c>
      <c r="B210" s="11" t="s">
        <v>32</v>
      </c>
      <c r="C210" s="12">
        <v>1.21190077</v>
      </c>
      <c r="D210" s="12" t="s">
        <v>50</v>
      </c>
      <c r="E210" s="13">
        <v>197.01</v>
      </c>
      <c r="F210" s="14">
        <v>197.01</v>
      </c>
      <c r="G210" s="14" t="s">
        <v>33</v>
      </c>
      <c r="H210" s="15"/>
      <c r="I210" s="16">
        <v>2.99</v>
      </c>
      <c r="J210" s="16" t="s">
        <v>33</v>
      </c>
      <c r="K210" s="17">
        <v>2.99</v>
      </c>
      <c r="L210" s="18"/>
      <c r="M210" s="19"/>
    </row>
    <row r="211" spans="1:13" x14ac:dyDescent="0.2">
      <c r="A211" s="10">
        <v>44867.116736111107</v>
      </c>
      <c r="B211" s="11" t="s">
        <v>37</v>
      </c>
      <c r="C211" s="12">
        <v>839.14913694999996</v>
      </c>
      <c r="D211" s="12" t="s">
        <v>17</v>
      </c>
      <c r="E211" s="13">
        <v>48.73</v>
      </c>
      <c r="F211" s="14">
        <v>125.313283</v>
      </c>
      <c r="G211" s="14" t="s">
        <v>36</v>
      </c>
      <c r="H211" s="15">
        <v>54.46</v>
      </c>
      <c r="I211" s="16"/>
      <c r="J211" s="16"/>
      <c r="K211" s="17"/>
      <c r="L211" s="18">
        <v>-5.73</v>
      </c>
      <c r="M211" s="19"/>
    </row>
    <row r="212" spans="1:13" x14ac:dyDescent="0.2">
      <c r="A212" s="10">
        <v>44867.116469907407</v>
      </c>
      <c r="B212" s="11" t="s">
        <v>37</v>
      </c>
      <c r="C212" s="12">
        <v>839.61242671000002</v>
      </c>
      <c r="D212" s="12" t="s">
        <v>17</v>
      </c>
      <c r="E212" s="13">
        <v>48.74</v>
      </c>
      <c r="F212" s="14">
        <v>3.5898910000000002</v>
      </c>
      <c r="G212" s="14" t="s">
        <v>34</v>
      </c>
      <c r="H212" s="15">
        <v>47.39</v>
      </c>
      <c r="I212" s="16"/>
      <c r="J212" s="16"/>
      <c r="K212" s="17"/>
      <c r="L212" s="18">
        <v>1.35</v>
      </c>
      <c r="M212" s="19"/>
    </row>
    <row r="213" spans="1:13" x14ac:dyDescent="0.2">
      <c r="A213" s="10">
        <v>44864.759837962964</v>
      </c>
      <c r="B213" s="11" t="s">
        <v>32</v>
      </c>
      <c r="C213" s="12">
        <v>6.0941040000000002E-2</v>
      </c>
      <c r="D213" s="12" t="s">
        <v>41</v>
      </c>
      <c r="E213" s="13">
        <v>97.01</v>
      </c>
      <c r="F213" s="14">
        <v>97.01</v>
      </c>
      <c r="G213" s="14" t="s">
        <v>33</v>
      </c>
      <c r="H213" s="15"/>
      <c r="I213" s="16">
        <v>2.99</v>
      </c>
      <c r="J213" s="16" t="s">
        <v>33</v>
      </c>
      <c r="K213" s="17">
        <v>2.99</v>
      </c>
      <c r="L213" s="18"/>
      <c r="M213" s="19"/>
    </row>
    <row r="214" spans="1:13" x14ac:dyDescent="0.2">
      <c r="A214" s="10">
        <v>44857.699826388889</v>
      </c>
      <c r="B214" s="11" t="s">
        <v>32</v>
      </c>
      <c r="C214" s="12">
        <v>7.3430300000000004E-2</v>
      </c>
      <c r="D214" s="12" t="s">
        <v>41</v>
      </c>
      <c r="E214" s="13">
        <v>97.01</v>
      </c>
      <c r="F214" s="14">
        <v>97.01</v>
      </c>
      <c r="G214" s="14" t="s">
        <v>33</v>
      </c>
      <c r="H214" s="15"/>
      <c r="I214" s="16">
        <v>2.99</v>
      </c>
      <c r="J214" s="16" t="s">
        <v>33</v>
      </c>
      <c r="K214" s="17">
        <v>2.99</v>
      </c>
      <c r="L214" s="18"/>
      <c r="M214" s="19"/>
    </row>
    <row r="215" spans="1:13" x14ac:dyDescent="0.2">
      <c r="A215" s="10">
        <v>44854.677546296298</v>
      </c>
      <c r="B215" s="11" t="s">
        <v>32</v>
      </c>
      <c r="C215" s="12">
        <v>93.468839000000003</v>
      </c>
      <c r="D215" s="12" t="s">
        <v>36</v>
      </c>
      <c r="E215" s="13">
        <v>33.01</v>
      </c>
      <c r="F215" s="14">
        <v>33.01</v>
      </c>
      <c r="G215" s="14" t="s">
        <v>33</v>
      </c>
      <c r="H215" s="15"/>
      <c r="I215" s="16">
        <v>1.99</v>
      </c>
      <c r="J215" s="16" t="s">
        <v>33</v>
      </c>
      <c r="K215" s="17">
        <v>1.99</v>
      </c>
      <c r="L215" s="18"/>
      <c r="M215" s="19"/>
    </row>
    <row r="216" spans="1:13" x14ac:dyDescent="0.2">
      <c r="A216" s="10">
        <v>44850.796435185177</v>
      </c>
      <c r="B216" s="11" t="s">
        <v>32</v>
      </c>
      <c r="C216" s="12">
        <v>7.5120039999999999E-2</v>
      </c>
      <c r="D216" s="12" t="s">
        <v>41</v>
      </c>
      <c r="E216" s="13">
        <v>97.01</v>
      </c>
      <c r="F216" s="14">
        <v>97.01</v>
      </c>
      <c r="G216" s="14" t="s">
        <v>33</v>
      </c>
      <c r="H216" s="15"/>
      <c r="I216" s="16">
        <v>2.99</v>
      </c>
      <c r="J216" s="16" t="s">
        <v>33</v>
      </c>
      <c r="K216" s="17">
        <v>2.99</v>
      </c>
      <c r="L216" s="18"/>
      <c r="M216" s="19"/>
    </row>
    <row r="217" spans="1:13" x14ac:dyDescent="0.2">
      <c r="A217" s="10">
        <v>44843.656585648147</v>
      </c>
      <c r="B217" s="11" t="s">
        <v>37</v>
      </c>
      <c r="C217" s="12">
        <v>460.09175800000003</v>
      </c>
      <c r="D217" s="12" t="s">
        <v>36</v>
      </c>
      <c r="E217" s="13">
        <v>190.21</v>
      </c>
      <c r="F217" s="14">
        <v>15.158405</v>
      </c>
      <c r="G217" s="14" t="s">
        <v>34</v>
      </c>
      <c r="H217" s="15">
        <v>200.09</v>
      </c>
      <c r="I217" s="16"/>
      <c r="J217" s="16"/>
      <c r="K217" s="17"/>
      <c r="L217" s="18">
        <v>-0.13</v>
      </c>
      <c r="M217" s="19"/>
    </row>
    <row r="218" spans="1:13" x14ac:dyDescent="0.2">
      <c r="A218" s="10">
        <v>44843.656053240738</v>
      </c>
      <c r="B218" s="11" t="s">
        <v>37</v>
      </c>
      <c r="C218" s="12">
        <v>7.3598159999999996E-2</v>
      </c>
      <c r="D218" s="12" t="s">
        <v>41</v>
      </c>
      <c r="E218" s="13">
        <v>99.99</v>
      </c>
      <c r="F218" s="14">
        <v>7.5809259999999998</v>
      </c>
      <c r="G218" s="14" t="s">
        <v>34</v>
      </c>
      <c r="H218" s="15">
        <v>100.07</v>
      </c>
      <c r="I218" s="16"/>
      <c r="J218" s="16"/>
      <c r="K218" s="17"/>
      <c r="L218" s="18">
        <v>-0.08</v>
      </c>
      <c r="M218" s="19"/>
    </row>
    <row r="219" spans="1:13" x14ac:dyDescent="0.2">
      <c r="A219" s="10">
        <v>44843.653310185182</v>
      </c>
      <c r="B219" s="11" t="s">
        <v>37</v>
      </c>
      <c r="C219" s="12">
        <v>5.8921217700000001</v>
      </c>
      <c r="D219" s="12" t="s">
        <v>35</v>
      </c>
      <c r="E219" s="13">
        <v>199.96</v>
      </c>
      <c r="F219" s="14">
        <v>15.146925</v>
      </c>
      <c r="G219" s="14" t="s">
        <v>34</v>
      </c>
      <c r="H219" s="15">
        <v>200</v>
      </c>
      <c r="I219" s="16"/>
      <c r="J219" s="16"/>
      <c r="K219" s="17"/>
      <c r="L219" s="18">
        <v>-0.04</v>
      </c>
      <c r="M219" s="19"/>
    </row>
    <row r="220" spans="1:13" x14ac:dyDescent="0.2">
      <c r="A220" s="10">
        <v>44843.65152777778</v>
      </c>
      <c r="B220" s="11" t="s">
        <v>32</v>
      </c>
      <c r="C220" s="12">
        <v>7.2853029999999999E-2</v>
      </c>
      <c r="D220" s="12" t="s">
        <v>41</v>
      </c>
      <c r="E220" s="13">
        <v>97.01</v>
      </c>
      <c r="F220" s="14">
        <v>97.01</v>
      </c>
      <c r="G220" s="14" t="s">
        <v>33</v>
      </c>
      <c r="H220" s="15"/>
      <c r="I220" s="16">
        <v>2.99</v>
      </c>
      <c r="J220" s="16" t="s">
        <v>33</v>
      </c>
      <c r="K220" s="17">
        <v>2.99</v>
      </c>
      <c r="L220" s="18"/>
      <c r="M220" s="19"/>
    </row>
    <row r="221" spans="1:13" x14ac:dyDescent="0.2">
      <c r="A221" s="10">
        <v>44843.645138888889</v>
      </c>
      <c r="B221" s="11" t="s">
        <v>37</v>
      </c>
      <c r="C221" s="12">
        <v>42.219026999999997</v>
      </c>
      <c r="D221" s="12" t="s">
        <v>34</v>
      </c>
      <c r="E221" s="13">
        <v>557.29</v>
      </c>
      <c r="F221" s="14">
        <v>0.43150338999999999</v>
      </c>
      <c r="G221" s="14" t="s">
        <v>41</v>
      </c>
      <c r="H221" s="15">
        <v>644.63</v>
      </c>
      <c r="I221" s="16"/>
      <c r="J221" s="16"/>
      <c r="K221" s="17"/>
      <c r="L221" s="18">
        <v>-87.34</v>
      </c>
      <c r="M221" s="19"/>
    </row>
    <row r="222" spans="1:13" x14ac:dyDescent="0.2">
      <c r="A222" s="10">
        <v>44843.644467592603</v>
      </c>
      <c r="B222" s="11" t="s">
        <v>37</v>
      </c>
      <c r="C222" s="12">
        <v>11.074009999999999</v>
      </c>
      <c r="D222" s="12" t="s">
        <v>34</v>
      </c>
      <c r="E222" s="13">
        <v>149.49</v>
      </c>
      <c r="F222" s="14">
        <v>0.11320669</v>
      </c>
      <c r="G222" s="14" t="s">
        <v>41</v>
      </c>
      <c r="H222" s="15">
        <v>193.81</v>
      </c>
      <c r="I222" s="16"/>
      <c r="J222" s="16"/>
      <c r="K222" s="17"/>
      <c r="L222" s="18">
        <v>-47.57</v>
      </c>
      <c r="M222" s="19"/>
    </row>
    <row r="223" spans="1:13" x14ac:dyDescent="0.2">
      <c r="A223" s="10">
        <v>44837.7578125</v>
      </c>
      <c r="B223" s="11" t="s">
        <v>32</v>
      </c>
      <c r="C223" s="12">
        <v>3.5982489999999999E-2</v>
      </c>
      <c r="D223" s="12" t="s">
        <v>41</v>
      </c>
      <c r="E223" s="13">
        <v>48.01</v>
      </c>
      <c r="F223" s="14">
        <v>48.01</v>
      </c>
      <c r="G223" s="14" t="s">
        <v>33</v>
      </c>
      <c r="H223" s="15"/>
      <c r="I223" s="16">
        <v>1.99</v>
      </c>
      <c r="J223" s="16" t="s">
        <v>33</v>
      </c>
      <c r="K223" s="17">
        <v>1.99</v>
      </c>
      <c r="L223" s="18"/>
      <c r="M223" s="19"/>
    </row>
    <row r="224" spans="1:13" x14ac:dyDescent="0.2">
      <c r="A224" s="10">
        <v>44830.693518518521</v>
      </c>
      <c r="B224" s="11" t="s">
        <v>32</v>
      </c>
      <c r="C224" s="12">
        <v>3.6367650000000001E-2</v>
      </c>
      <c r="D224" s="12" t="s">
        <v>41</v>
      </c>
      <c r="E224" s="13">
        <v>48.01</v>
      </c>
      <c r="F224" s="14">
        <v>48.01</v>
      </c>
      <c r="G224" s="14" t="s">
        <v>33</v>
      </c>
      <c r="H224" s="15"/>
      <c r="I224" s="16">
        <v>1.99</v>
      </c>
      <c r="J224" s="16" t="s">
        <v>33</v>
      </c>
      <c r="K224" s="17">
        <v>1.99</v>
      </c>
      <c r="L224" s="18"/>
      <c r="M224" s="19"/>
    </row>
    <row r="225" spans="1:13" x14ac:dyDescent="0.2">
      <c r="A225" s="10">
        <v>44823.808437500003</v>
      </c>
      <c r="B225" s="11" t="s">
        <v>32</v>
      </c>
      <c r="C225" s="12">
        <v>3.524733E-2</v>
      </c>
      <c r="D225" s="12" t="s">
        <v>41</v>
      </c>
      <c r="E225" s="13">
        <v>48.01</v>
      </c>
      <c r="F225" s="14">
        <v>48.01</v>
      </c>
      <c r="G225" s="14" t="s">
        <v>33</v>
      </c>
      <c r="H225" s="15"/>
      <c r="I225" s="16">
        <v>1.99</v>
      </c>
      <c r="J225" s="16" t="s">
        <v>33</v>
      </c>
      <c r="K225" s="17">
        <v>1.99</v>
      </c>
      <c r="L225" s="18"/>
      <c r="M225" s="19"/>
    </row>
    <row r="226" spans="1:13" x14ac:dyDescent="0.2">
      <c r="A226" s="10">
        <v>44816.688368055547</v>
      </c>
      <c r="B226" s="11" t="s">
        <v>32</v>
      </c>
      <c r="C226" s="12">
        <v>2.7867079999999999E-2</v>
      </c>
      <c r="D226" s="12" t="s">
        <v>41</v>
      </c>
      <c r="E226" s="13">
        <v>48.01</v>
      </c>
      <c r="F226" s="14">
        <v>48.01</v>
      </c>
      <c r="G226" s="14" t="s">
        <v>33</v>
      </c>
      <c r="H226" s="15"/>
      <c r="I226" s="16">
        <v>1.99</v>
      </c>
      <c r="J226" s="16" t="s">
        <v>33</v>
      </c>
      <c r="K226" s="17">
        <v>1.99</v>
      </c>
      <c r="L226" s="18"/>
      <c r="M226" s="19"/>
    </row>
    <row r="227" spans="1:13" x14ac:dyDescent="0.2">
      <c r="A227" s="10">
        <v>44811.86582175926</v>
      </c>
      <c r="B227" s="11" t="s">
        <v>37</v>
      </c>
      <c r="C227" s="12">
        <v>8.8742890000000005E-2</v>
      </c>
      <c r="D227" s="12" t="s">
        <v>41</v>
      </c>
      <c r="E227" s="13">
        <v>149.44999999999999</v>
      </c>
      <c r="F227" s="14">
        <v>176.07568337000001</v>
      </c>
      <c r="G227" s="14" t="s">
        <v>52</v>
      </c>
      <c r="H227" s="15">
        <v>146.22</v>
      </c>
      <c r="I227" s="16"/>
      <c r="J227" s="16"/>
      <c r="K227" s="17"/>
      <c r="L227" s="18">
        <v>3.23</v>
      </c>
      <c r="M227" s="19"/>
    </row>
    <row r="228" spans="1:13" x14ac:dyDescent="0.2">
      <c r="A228" s="10">
        <v>44811.864942129629</v>
      </c>
      <c r="B228" s="11" t="s">
        <v>37</v>
      </c>
      <c r="C228" s="12">
        <v>8.3335389999999995E-2</v>
      </c>
      <c r="D228" s="12" t="s">
        <v>41</v>
      </c>
      <c r="E228" s="13">
        <v>140.43</v>
      </c>
      <c r="F228" s="14">
        <v>293.00591600000001</v>
      </c>
      <c r="G228" s="14" t="s">
        <v>36</v>
      </c>
      <c r="H228" s="15">
        <v>147.03</v>
      </c>
      <c r="I228" s="16"/>
      <c r="J228" s="16"/>
      <c r="K228" s="17"/>
      <c r="L228" s="18">
        <v>-6.6</v>
      </c>
      <c r="M228" s="19"/>
    </row>
    <row r="229" spans="1:13" x14ac:dyDescent="0.2">
      <c r="A229" s="10">
        <v>44811.864641203712</v>
      </c>
      <c r="B229" s="11" t="s">
        <v>37</v>
      </c>
      <c r="C229" s="12">
        <v>7.8843269999999993E-2</v>
      </c>
      <c r="D229" s="12" t="s">
        <v>41</v>
      </c>
      <c r="E229" s="13">
        <v>132.53</v>
      </c>
      <c r="F229" s="14">
        <v>4.0617816199999996</v>
      </c>
      <c r="G229" s="14" t="s">
        <v>35</v>
      </c>
      <c r="H229" s="15">
        <v>157.16</v>
      </c>
      <c r="I229" s="16"/>
      <c r="J229" s="16"/>
      <c r="K229" s="17"/>
      <c r="L229" s="18">
        <v>-24.63</v>
      </c>
      <c r="M229" s="19"/>
    </row>
    <row r="230" spans="1:13" x14ac:dyDescent="0.2">
      <c r="A230" s="10">
        <v>44809.751307870371</v>
      </c>
      <c r="B230" s="11" t="s">
        <v>32</v>
      </c>
      <c r="C230" s="12">
        <v>2.99414E-2</v>
      </c>
      <c r="D230" s="12" t="s">
        <v>41</v>
      </c>
      <c r="E230" s="13">
        <v>48.01</v>
      </c>
      <c r="F230" s="14">
        <v>48.01</v>
      </c>
      <c r="G230" s="14" t="s">
        <v>33</v>
      </c>
      <c r="H230" s="15"/>
      <c r="I230" s="16">
        <v>1.99</v>
      </c>
      <c r="J230" s="16" t="s">
        <v>33</v>
      </c>
      <c r="K230" s="17">
        <v>1.99</v>
      </c>
      <c r="L230" s="18"/>
      <c r="M230" s="19"/>
    </row>
    <row r="231" spans="1:13" x14ac:dyDescent="0.2">
      <c r="A231" s="10">
        <v>44802.734803240739</v>
      </c>
      <c r="B231" s="11" t="s">
        <v>32</v>
      </c>
      <c r="C231" s="12">
        <v>3.1119709999999998E-2</v>
      </c>
      <c r="D231" s="12" t="s">
        <v>41</v>
      </c>
      <c r="E231" s="13">
        <v>48.01</v>
      </c>
      <c r="F231" s="14">
        <v>48.01</v>
      </c>
      <c r="G231" s="14" t="s">
        <v>33</v>
      </c>
      <c r="H231" s="15"/>
      <c r="I231" s="16">
        <v>1.99</v>
      </c>
      <c r="J231" s="16" t="s">
        <v>33</v>
      </c>
      <c r="K231" s="17">
        <v>1.99</v>
      </c>
      <c r="L231" s="18"/>
      <c r="M231" s="19"/>
    </row>
    <row r="232" spans="1:13" x14ac:dyDescent="0.2">
      <c r="A232" s="10">
        <v>44799.562615740739</v>
      </c>
      <c r="B232" s="11" t="s">
        <v>37</v>
      </c>
      <c r="C232" s="12">
        <v>176.07568337000001</v>
      </c>
      <c r="D232" s="12" t="s">
        <v>52</v>
      </c>
      <c r="E232" s="13">
        <v>146.22</v>
      </c>
      <c r="F232" s="14">
        <v>8.8820460000000004E-2</v>
      </c>
      <c r="G232" s="14" t="s">
        <v>41</v>
      </c>
      <c r="H232" s="15">
        <v>158.13999999999999</v>
      </c>
      <c r="I232" s="16"/>
      <c r="J232" s="16"/>
      <c r="K232" s="17"/>
      <c r="L232" s="18">
        <v>-11.92</v>
      </c>
      <c r="M232" s="19"/>
    </row>
    <row r="233" spans="1:13" x14ac:dyDescent="0.2">
      <c r="A233" s="10">
        <v>44795.837719907409</v>
      </c>
      <c r="B233" s="11" t="s">
        <v>32</v>
      </c>
      <c r="C233" s="12">
        <v>3.028424E-2</v>
      </c>
      <c r="D233" s="12" t="s">
        <v>41</v>
      </c>
      <c r="E233" s="13">
        <v>48.01</v>
      </c>
      <c r="F233" s="14">
        <v>48.01</v>
      </c>
      <c r="G233" s="14" t="s">
        <v>33</v>
      </c>
      <c r="H233" s="15"/>
      <c r="I233" s="16">
        <v>1.99</v>
      </c>
      <c r="J233" s="16" t="s">
        <v>33</v>
      </c>
      <c r="K233" s="17">
        <v>1.99</v>
      </c>
      <c r="L233" s="18"/>
      <c r="M233" s="19"/>
    </row>
    <row r="234" spans="1:13" x14ac:dyDescent="0.2">
      <c r="A234" s="10">
        <v>44788.808819444443</v>
      </c>
      <c r="B234" s="11" t="s">
        <v>32</v>
      </c>
      <c r="C234" s="12">
        <v>2.5103E-2</v>
      </c>
      <c r="D234" s="12" t="s">
        <v>41</v>
      </c>
      <c r="E234" s="13">
        <v>48.01</v>
      </c>
      <c r="F234" s="14">
        <v>48.01</v>
      </c>
      <c r="G234" s="14" t="s">
        <v>33</v>
      </c>
      <c r="H234" s="15"/>
      <c r="I234" s="16">
        <v>1.99</v>
      </c>
      <c r="J234" s="16" t="s">
        <v>33</v>
      </c>
      <c r="K234" s="17">
        <v>1.99</v>
      </c>
      <c r="L234" s="18"/>
      <c r="M234" s="19"/>
    </row>
    <row r="235" spans="1:13" x14ac:dyDescent="0.2">
      <c r="A235" s="10">
        <v>44781.755995370368</v>
      </c>
      <c r="B235" s="11" t="s">
        <v>32</v>
      </c>
      <c r="C235" s="12">
        <v>2.7035590000000002E-2</v>
      </c>
      <c r="D235" s="12" t="s">
        <v>41</v>
      </c>
      <c r="E235" s="13">
        <v>48.01</v>
      </c>
      <c r="F235" s="14">
        <v>48.01</v>
      </c>
      <c r="G235" s="14" t="s">
        <v>33</v>
      </c>
      <c r="H235" s="15"/>
      <c r="I235" s="16">
        <v>1.99</v>
      </c>
      <c r="J235" s="16" t="s">
        <v>33</v>
      </c>
      <c r="K235" s="17">
        <v>1.99</v>
      </c>
      <c r="L235" s="18"/>
      <c r="M235" s="19"/>
    </row>
    <row r="236" spans="1:13" x14ac:dyDescent="0.2">
      <c r="A236" s="10">
        <v>44777.476840277777</v>
      </c>
      <c r="B236" s="11" t="s">
        <v>37</v>
      </c>
      <c r="C236" s="12">
        <v>292.78099800000001</v>
      </c>
      <c r="D236" s="12" t="s">
        <v>36</v>
      </c>
      <c r="E236" s="13">
        <v>146.94</v>
      </c>
      <c r="F236" s="14">
        <v>9.2709340000000001E-2</v>
      </c>
      <c r="G236" s="14" t="s">
        <v>41</v>
      </c>
      <c r="H236" s="15">
        <v>129.83000000000001</v>
      </c>
      <c r="I236" s="16"/>
      <c r="J236" s="16"/>
      <c r="K236" s="17"/>
      <c r="L236" s="18">
        <v>17.11</v>
      </c>
      <c r="M236" s="19"/>
    </row>
    <row r="237" spans="1:13" x14ac:dyDescent="0.2">
      <c r="A237" s="10">
        <v>44777.473796296297</v>
      </c>
      <c r="B237" s="11" t="s">
        <v>37</v>
      </c>
      <c r="C237" s="12">
        <v>4.0490642799999996</v>
      </c>
      <c r="D237" s="12" t="s">
        <v>35</v>
      </c>
      <c r="E237" s="13">
        <v>156.75</v>
      </c>
      <c r="F237" s="14">
        <v>9.9463670000000004E-2</v>
      </c>
      <c r="G237" s="14" t="s">
        <v>41</v>
      </c>
      <c r="H237" s="15">
        <v>214.86</v>
      </c>
      <c r="I237" s="16"/>
      <c r="J237" s="16"/>
      <c r="K237" s="17"/>
      <c r="L237" s="18">
        <v>-58.11</v>
      </c>
      <c r="M237" s="19"/>
    </row>
    <row r="238" spans="1:13" x14ac:dyDescent="0.2">
      <c r="A238" s="10">
        <v>44774.767731481479</v>
      </c>
      <c r="B238" s="11" t="s">
        <v>32</v>
      </c>
      <c r="C238" s="12">
        <v>2.9329959999999999E-2</v>
      </c>
      <c r="D238" s="12" t="s">
        <v>41</v>
      </c>
      <c r="E238" s="13">
        <v>48.01</v>
      </c>
      <c r="F238" s="14">
        <v>48.01</v>
      </c>
      <c r="G238" s="14" t="s">
        <v>33</v>
      </c>
      <c r="H238" s="15"/>
      <c r="I238" s="16">
        <v>1.99</v>
      </c>
      <c r="J238" s="16" t="s">
        <v>33</v>
      </c>
      <c r="K238" s="17">
        <v>1.99</v>
      </c>
      <c r="L238" s="18"/>
      <c r="M238" s="19"/>
    </row>
    <row r="239" spans="1:13" x14ac:dyDescent="0.2">
      <c r="A239" s="10">
        <v>44767.740405092591</v>
      </c>
      <c r="B239" s="11" t="s">
        <v>32</v>
      </c>
      <c r="C239" s="12">
        <v>3.1398089999999997E-2</v>
      </c>
      <c r="D239" s="12" t="s">
        <v>41</v>
      </c>
      <c r="E239" s="13">
        <v>48.01</v>
      </c>
      <c r="F239" s="14">
        <v>48.01</v>
      </c>
      <c r="G239" s="14" t="s">
        <v>33</v>
      </c>
      <c r="H239" s="15"/>
      <c r="I239" s="16">
        <v>1.99</v>
      </c>
      <c r="J239" s="16" t="s">
        <v>33</v>
      </c>
      <c r="K239" s="17">
        <v>1.99</v>
      </c>
      <c r="L239" s="18"/>
      <c r="M239" s="19"/>
    </row>
    <row r="240" spans="1:13" x14ac:dyDescent="0.2">
      <c r="A240" s="10">
        <v>44760.710046296299</v>
      </c>
      <c r="B240" s="11" t="s">
        <v>32</v>
      </c>
      <c r="C240" s="12">
        <v>3.1947830000000003E-2</v>
      </c>
      <c r="D240" s="12" t="s">
        <v>41</v>
      </c>
      <c r="E240" s="13">
        <v>48.01</v>
      </c>
      <c r="F240" s="14">
        <v>48.01</v>
      </c>
      <c r="G240" s="14" t="s">
        <v>33</v>
      </c>
      <c r="H240" s="15"/>
      <c r="I240" s="16">
        <v>1.99</v>
      </c>
      <c r="J240" s="16" t="s">
        <v>33</v>
      </c>
      <c r="K240" s="17">
        <v>1.99</v>
      </c>
      <c r="L240" s="18"/>
      <c r="M240" s="19"/>
    </row>
    <row r="241" spans="1:13" x14ac:dyDescent="0.2">
      <c r="A241" s="10">
        <v>44753.735995370371</v>
      </c>
      <c r="B241" s="11" t="s">
        <v>32</v>
      </c>
      <c r="C241" s="12">
        <v>4.1425660000000003E-2</v>
      </c>
      <c r="D241" s="12" t="s">
        <v>41</v>
      </c>
      <c r="E241" s="13">
        <v>48.01</v>
      </c>
      <c r="F241" s="14">
        <v>48.01</v>
      </c>
      <c r="G241" s="14" t="s">
        <v>33</v>
      </c>
      <c r="H241" s="15"/>
      <c r="I241" s="16">
        <v>1.99</v>
      </c>
      <c r="J241" s="16" t="s">
        <v>33</v>
      </c>
      <c r="K241" s="17">
        <v>1.99</v>
      </c>
      <c r="L241" s="18"/>
      <c r="M241" s="19"/>
    </row>
    <row r="242" spans="1:13" x14ac:dyDescent="0.2">
      <c r="A242" s="10">
        <v>44746.529317129629</v>
      </c>
      <c r="B242" s="11" t="s">
        <v>32</v>
      </c>
      <c r="C242" s="12">
        <v>4.3246680000000003E-2</v>
      </c>
      <c r="D242" s="12" t="s">
        <v>41</v>
      </c>
      <c r="E242" s="13">
        <v>48.01</v>
      </c>
      <c r="F242" s="14">
        <v>48.01</v>
      </c>
      <c r="G242" s="14" t="s">
        <v>33</v>
      </c>
      <c r="H242" s="15"/>
      <c r="I242" s="16">
        <v>1.99</v>
      </c>
      <c r="J242" s="16" t="s">
        <v>33</v>
      </c>
      <c r="K242" s="17">
        <v>1.99</v>
      </c>
      <c r="L242" s="18"/>
      <c r="M242" s="19"/>
    </row>
    <row r="243" spans="1:13" x14ac:dyDescent="0.2">
      <c r="A243" s="10">
        <v>44737.498414351852</v>
      </c>
      <c r="B243" s="11" t="s">
        <v>32</v>
      </c>
      <c r="C243" s="12">
        <v>3.9286450000000001E-2</v>
      </c>
      <c r="D243" s="12" t="s">
        <v>41</v>
      </c>
      <c r="E243" s="13">
        <v>48.01</v>
      </c>
      <c r="F243" s="14">
        <v>48.01</v>
      </c>
      <c r="G243" s="14" t="s">
        <v>33</v>
      </c>
      <c r="H243" s="15"/>
      <c r="I243" s="16">
        <v>1.99</v>
      </c>
      <c r="J243" s="16" t="s">
        <v>33</v>
      </c>
      <c r="K243" s="17">
        <v>1.99</v>
      </c>
      <c r="L243" s="18"/>
      <c r="M243" s="19"/>
    </row>
    <row r="244" spans="1:13" x14ac:dyDescent="0.2">
      <c r="A244" s="10">
        <v>44737.494398148148</v>
      </c>
      <c r="B244" s="11" t="s">
        <v>32</v>
      </c>
      <c r="C244" s="12">
        <v>3.356058E-2</v>
      </c>
      <c r="D244" s="12" t="s">
        <v>41</v>
      </c>
      <c r="E244" s="13">
        <v>41.01</v>
      </c>
      <c r="F244" s="14">
        <v>41.01</v>
      </c>
      <c r="G244" s="14" t="s">
        <v>33</v>
      </c>
      <c r="H244" s="15"/>
      <c r="I244" s="16">
        <v>1.99</v>
      </c>
      <c r="J244" s="16" t="s">
        <v>33</v>
      </c>
      <c r="K244" s="17">
        <v>1.99</v>
      </c>
      <c r="L244" s="18"/>
      <c r="M244" s="19"/>
    </row>
    <row r="245" spans="1:13" x14ac:dyDescent="0.2">
      <c r="A245" s="10">
        <v>44645.753136574072</v>
      </c>
      <c r="B245" s="11" t="s">
        <v>37</v>
      </c>
      <c r="C245" s="12">
        <v>1.4940470000000001E-2</v>
      </c>
      <c r="D245" s="12" t="s">
        <v>41</v>
      </c>
      <c r="E245" s="13">
        <v>47.37</v>
      </c>
      <c r="F245" s="14">
        <v>29.952253760000001</v>
      </c>
      <c r="G245" s="14" t="s">
        <v>52</v>
      </c>
      <c r="H245" s="15">
        <v>50.81</v>
      </c>
      <c r="I245" s="16"/>
      <c r="J245" s="16"/>
      <c r="K245" s="17"/>
      <c r="L245" s="18">
        <v>-3.44</v>
      </c>
      <c r="M245" s="19"/>
    </row>
    <row r="246" spans="1:13" x14ac:dyDescent="0.2">
      <c r="A246" s="10">
        <v>44636.643750000003</v>
      </c>
      <c r="B246" s="11" t="s">
        <v>37</v>
      </c>
      <c r="C246" s="12">
        <v>1.3743E-2</v>
      </c>
      <c r="D246" s="12" t="s">
        <v>41</v>
      </c>
      <c r="E246" s="13">
        <v>37.33</v>
      </c>
      <c r="F246" s="14">
        <v>9.3386999999999995E-4</v>
      </c>
      <c r="G246" s="14" t="s">
        <v>42</v>
      </c>
      <c r="H246" s="15">
        <v>40</v>
      </c>
      <c r="I246" s="16"/>
      <c r="J246" s="16"/>
      <c r="K246" s="17"/>
      <c r="L246" s="18">
        <v>-2.67</v>
      </c>
      <c r="M246" s="19"/>
    </row>
    <row r="247" spans="1:13" x14ac:dyDescent="0.2">
      <c r="A247" s="10">
        <v>44635.890625</v>
      </c>
      <c r="B247" s="11" t="s">
        <v>37</v>
      </c>
      <c r="C247" s="12">
        <v>7.0839999999999998E-4</v>
      </c>
      <c r="D247" s="12" t="s">
        <v>41</v>
      </c>
      <c r="E247" s="13">
        <v>1.9</v>
      </c>
      <c r="F247" s="14">
        <v>0.80862630999999996</v>
      </c>
      <c r="G247" s="14" t="s">
        <v>53</v>
      </c>
      <c r="H247" s="15">
        <v>2.98</v>
      </c>
      <c r="I247" s="16"/>
      <c r="J247" s="16"/>
      <c r="K247" s="17"/>
      <c r="L247" s="18">
        <v>-1.08</v>
      </c>
      <c r="M247" s="19"/>
    </row>
    <row r="248" spans="1:13" x14ac:dyDescent="0.2">
      <c r="A248" s="10">
        <v>44609.712650462963</v>
      </c>
      <c r="B248" s="11" t="s">
        <v>37</v>
      </c>
      <c r="C248" s="12">
        <v>4.6669000000000002E-4</v>
      </c>
      <c r="D248" s="12" t="s">
        <v>42</v>
      </c>
      <c r="E248" s="13">
        <v>20</v>
      </c>
      <c r="F248" s="14">
        <v>6.7120299999999999E-3</v>
      </c>
      <c r="G248" s="14" t="s">
        <v>41</v>
      </c>
      <c r="H248" s="15">
        <v>17.170000000000002</v>
      </c>
      <c r="I248" s="16"/>
      <c r="J248" s="16"/>
      <c r="K248" s="17"/>
      <c r="L248" s="18">
        <v>2.83</v>
      </c>
      <c r="M248" s="19"/>
    </row>
    <row r="249" spans="1:13" x14ac:dyDescent="0.2">
      <c r="A249" s="10">
        <v>44609.711273148147</v>
      </c>
      <c r="B249" s="11" t="s">
        <v>37</v>
      </c>
      <c r="C249" s="12">
        <v>4.6717999999999998E-4</v>
      </c>
      <c r="D249" s="12" t="s">
        <v>42</v>
      </c>
      <c r="E249" s="13">
        <v>20</v>
      </c>
      <c r="F249" s="14">
        <v>11.465917559999999</v>
      </c>
      <c r="G249" s="14" t="s">
        <v>52</v>
      </c>
      <c r="H249" s="15">
        <v>21.9</v>
      </c>
      <c r="I249" s="16"/>
      <c r="J249" s="16"/>
      <c r="K249" s="17"/>
      <c r="L249" s="18">
        <v>-1.9</v>
      </c>
      <c r="M249" s="19"/>
    </row>
    <row r="250" spans="1:13" x14ac:dyDescent="0.2">
      <c r="A250" s="10">
        <v>44608.834918981483</v>
      </c>
      <c r="B250" s="11" t="s">
        <v>37</v>
      </c>
      <c r="C250" s="12">
        <v>10.069164199999999</v>
      </c>
      <c r="D250" s="12" t="s">
        <v>52</v>
      </c>
      <c r="E250" s="13">
        <v>18.88</v>
      </c>
      <c r="F250" s="14">
        <v>56.116802880000002</v>
      </c>
      <c r="G250" s="14" t="s">
        <v>54</v>
      </c>
      <c r="H250" s="15">
        <v>19.37</v>
      </c>
      <c r="I250" s="16"/>
      <c r="J250" s="16"/>
      <c r="K250" s="17"/>
      <c r="L250" s="18">
        <v>-0.49</v>
      </c>
      <c r="M250" s="19"/>
    </row>
    <row r="251" spans="1:13" x14ac:dyDescent="0.2">
      <c r="A251" s="10">
        <v>44602.873993055553</v>
      </c>
      <c r="B251" s="11" t="s">
        <v>37</v>
      </c>
      <c r="C251" s="12">
        <v>56.116802880000002</v>
      </c>
      <c r="D251" s="12" t="s">
        <v>54</v>
      </c>
      <c r="E251" s="13">
        <v>19.37</v>
      </c>
      <c r="F251" s="14">
        <v>1.0893102800000001</v>
      </c>
      <c r="G251" s="14" t="s">
        <v>43</v>
      </c>
      <c r="H251" s="15">
        <v>19.09</v>
      </c>
      <c r="I251" s="16"/>
      <c r="J251" s="16"/>
      <c r="K251" s="17"/>
      <c r="L251" s="18">
        <v>0.28000000000000003</v>
      </c>
      <c r="M251" s="19"/>
    </row>
    <row r="252" spans="1:13" x14ac:dyDescent="0.2">
      <c r="A252" s="10">
        <v>44602.595902777779</v>
      </c>
      <c r="B252" s="11" t="s">
        <v>37</v>
      </c>
      <c r="C252" s="12">
        <v>4.9322087999999997</v>
      </c>
      <c r="D252" s="12" t="s">
        <v>52</v>
      </c>
      <c r="E252" s="13">
        <v>9.32</v>
      </c>
      <c r="F252" s="14">
        <v>36.42306705</v>
      </c>
      <c r="G252" s="14" t="s">
        <v>55</v>
      </c>
      <c r="H252" s="15">
        <v>9.8699999999999992</v>
      </c>
      <c r="I252" s="16"/>
      <c r="J252" s="16"/>
      <c r="K252" s="17"/>
      <c r="L252" s="18">
        <v>-0.55000000000000004</v>
      </c>
      <c r="M252" s="19"/>
    </row>
    <row r="253" spans="1:13" x14ac:dyDescent="0.2">
      <c r="A253" s="10">
        <v>44602.594340277778</v>
      </c>
      <c r="B253" s="11" t="s">
        <v>37</v>
      </c>
      <c r="C253" s="12">
        <v>6.29638235</v>
      </c>
      <c r="D253" s="12" t="s">
        <v>52</v>
      </c>
      <c r="E253" s="13">
        <v>12.14</v>
      </c>
      <c r="F253" s="14">
        <v>3.853386</v>
      </c>
      <c r="G253" s="14" t="s">
        <v>56</v>
      </c>
      <c r="H253" s="15">
        <v>13.74</v>
      </c>
      <c r="I253" s="16"/>
      <c r="J253" s="16"/>
      <c r="K253" s="17"/>
      <c r="L253" s="18">
        <v>-1.6</v>
      </c>
      <c r="M253" s="19"/>
    </row>
    <row r="254" spans="1:13" x14ac:dyDescent="0.2">
      <c r="A254" s="10">
        <v>44602.026458333326</v>
      </c>
      <c r="B254" s="11" t="s">
        <v>37</v>
      </c>
      <c r="C254" s="12">
        <v>3.853386</v>
      </c>
      <c r="D254" s="12" t="s">
        <v>56</v>
      </c>
      <c r="E254" s="13">
        <v>13.74</v>
      </c>
      <c r="F254" s="14">
        <v>0.75839652999999996</v>
      </c>
      <c r="G254" s="14" t="s">
        <v>43</v>
      </c>
      <c r="H254" s="15">
        <v>13.29</v>
      </c>
      <c r="I254" s="16"/>
      <c r="J254" s="16"/>
      <c r="K254" s="17"/>
      <c r="L254" s="18">
        <v>0.45</v>
      </c>
      <c r="M254" s="19"/>
    </row>
    <row r="255" spans="1:13" x14ac:dyDescent="0.2">
      <c r="A255" s="10">
        <v>44597.994050925918</v>
      </c>
      <c r="B255" s="11" t="s">
        <v>32</v>
      </c>
      <c r="C255" s="12">
        <v>0.26990553</v>
      </c>
      <c r="D255" s="12" t="s">
        <v>53</v>
      </c>
      <c r="E255" s="13">
        <v>0.99</v>
      </c>
      <c r="F255" s="14"/>
      <c r="G255" s="14"/>
      <c r="H255" s="15"/>
      <c r="I255" s="16"/>
      <c r="J255" s="16"/>
      <c r="K255" s="17"/>
      <c r="L255" s="18"/>
      <c r="M255" s="19"/>
    </row>
    <row r="256" spans="1:13" x14ac:dyDescent="0.2">
      <c r="A256" s="10">
        <v>44597.993275462963</v>
      </c>
      <c r="B256" s="11" t="s">
        <v>32</v>
      </c>
      <c r="C256" s="12">
        <v>0.26954177000000001</v>
      </c>
      <c r="D256" s="12" t="s">
        <v>53</v>
      </c>
      <c r="E256" s="13">
        <v>1</v>
      </c>
      <c r="F256" s="14"/>
      <c r="G256" s="14"/>
      <c r="H256" s="15"/>
      <c r="I256" s="16"/>
      <c r="J256" s="16"/>
      <c r="K256" s="17"/>
      <c r="L256" s="18"/>
      <c r="M256" s="19"/>
    </row>
    <row r="257" spans="1:13" x14ac:dyDescent="0.2">
      <c r="A257" s="10">
        <v>44597.992534722223</v>
      </c>
      <c r="B257" s="11" t="s">
        <v>32</v>
      </c>
      <c r="C257" s="12">
        <v>0.269179</v>
      </c>
      <c r="D257" s="12" t="s">
        <v>53</v>
      </c>
      <c r="E257" s="13">
        <v>0.99</v>
      </c>
      <c r="F257" s="14"/>
      <c r="G257" s="14"/>
      <c r="H257" s="15"/>
      <c r="I257" s="16"/>
      <c r="J257" s="16"/>
      <c r="K257" s="17"/>
      <c r="L257" s="18"/>
      <c r="M257" s="19"/>
    </row>
    <row r="258" spans="1:13" x14ac:dyDescent="0.2">
      <c r="A258" s="10">
        <v>44597.97625</v>
      </c>
      <c r="B258" s="11" t="s">
        <v>37</v>
      </c>
      <c r="C258" s="12">
        <v>36.42306705</v>
      </c>
      <c r="D258" s="12" t="s">
        <v>55</v>
      </c>
      <c r="E258" s="13">
        <v>9.8699999999999992</v>
      </c>
      <c r="F258" s="14">
        <v>3.3121499999999998E-3</v>
      </c>
      <c r="G258" s="14" t="s">
        <v>41</v>
      </c>
      <c r="H258" s="15">
        <v>8.5</v>
      </c>
      <c r="I258" s="16"/>
      <c r="J258" s="16"/>
      <c r="K258" s="17"/>
      <c r="L258" s="18">
        <v>1.37</v>
      </c>
      <c r="M258" s="19"/>
    </row>
    <row r="259" spans="1:13" x14ac:dyDescent="0.2">
      <c r="A259" s="10">
        <v>44591.962141203701</v>
      </c>
      <c r="B259" s="11" t="s">
        <v>37</v>
      </c>
      <c r="C259" s="12">
        <v>20.12041597</v>
      </c>
      <c r="D259" s="12" t="s">
        <v>52</v>
      </c>
      <c r="E259" s="13">
        <v>32.369999999999997</v>
      </c>
      <c r="F259" s="14">
        <v>1.2713240000000001E-2</v>
      </c>
      <c r="G259" s="14" t="s">
        <v>41</v>
      </c>
      <c r="H259" s="15">
        <v>32.619999999999997</v>
      </c>
      <c r="I259" s="16"/>
      <c r="J259" s="16"/>
      <c r="K259" s="17"/>
      <c r="L259" s="18">
        <v>-0.25</v>
      </c>
      <c r="M259" s="19"/>
    </row>
    <row r="260" spans="1:13" x14ac:dyDescent="0.2">
      <c r="A260" s="10">
        <v>44591.959328703713</v>
      </c>
      <c r="B260" s="11" t="s">
        <v>37</v>
      </c>
      <c r="C260" s="12">
        <v>1.84770681</v>
      </c>
      <c r="D260" s="12" t="s">
        <v>43</v>
      </c>
      <c r="E260" s="13">
        <v>32.380000000000003</v>
      </c>
      <c r="F260" s="14">
        <v>1.280531E-2</v>
      </c>
      <c r="G260" s="14" t="s">
        <v>41</v>
      </c>
      <c r="H260" s="15">
        <v>38.6</v>
      </c>
      <c r="I260" s="16"/>
      <c r="J260" s="16"/>
      <c r="K260" s="17"/>
      <c r="L260" s="18">
        <v>-6.22</v>
      </c>
      <c r="M260" s="19"/>
    </row>
    <row r="261" spans="1:13" x14ac:dyDescent="0.2">
      <c r="A261" s="10">
        <v>44585.755312499998</v>
      </c>
      <c r="B261" s="11" t="s">
        <v>37</v>
      </c>
      <c r="C261" s="12">
        <v>1.0627559999999999E-2</v>
      </c>
      <c r="D261" s="12" t="s">
        <v>41</v>
      </c>
      <c r="E261" s="13">
        <v>24.93</v>
      </c>
      <c r="F261" s="14">
        <v>7.2000000000000005E-4</v>
      </c>
      <c r="G261" s="14" t="s">
        <v>42</v>
      </c>
      <c r="H261" s="15">
        <v>29.97</v>
      </c>
      <c r="I261" s="16"/>
      <c r="J261" s="16"/>
      <c r="K261" s="17"/>
      <c r="L261" s="18">
        <v>-5.04</v>
      </c>
      <c r="M261" s="19"/>
    </row>
    <row r="262" spans="1:13" x14ac:dyDescent="0.2">
      <c r="A262" s="10">
        <v>44585.058182870373</v>
      </c>
      <c r="B262" s="11" t="s">
        <v>37</v>
      </c>
      <c r="C262" s="12">
        <v>2.7235999999999997E-4</v>
      </c>
      <c r="D262" s="12" t="s">
        <v>41</v>
      </c>
      <c r="E262" s="13">
        <v>0.69</v>
      </c>
      <c r="F262" s="14">
        <v>1.6941973699999999</v>
      </c>
      <c r="G262" s="14" t="s">
        <v>57</v>
      </c>
      <c r="H262" s="15">
        <v>1</v>
      </c>
      <c r="I262" s="16"/>
      <c r="J262" s="16"/>
      <c r="K262" s="17"/>
      <c r="L262" s="18">
        <v>-0.31</v>
      </c>
      <c r="M262" s="19"/>
    </row>
    <row r="263" spans="1:13" x14ac:dyDescent="0.2">
      <c r="A263" s="10">
        <v>44585.054837962962</v>
      </c>
      <c r="B263" s="11" t="s">
        <v>37</v>
      </c>
      <c r="C263" s="12">
        <v>8.6221300000000004E-3</v>
      </c>
      <c r="D263" s="12" t="s">
        <v>41</v>
      </c>
      <c r="E263" s="13">
        <v>21.98</v>
      </c>
      <c r="F263" s="14">
        <v>37.85224736</v>
      </c>
      <c r="G263" s="14" t="s">
        <v>58</v>
      </c>
      <c r="H263" s="15">
        <v>24.45</v>
      </c>
      <c r="I263" s="16"/>
      <c r="J263" s="16"/>
      <c r="K263" s="17"/>
      <c r="L263" s="18">
        <v>-2.4700000000000002</v>
      </c>
      <c r="M263" s="19"/>
    </row>
    <row r="264" spans="1:13" x14ac:dyDescent="0.2">
      <c r="A264" s="10">
        <v>44585.053900462961</v>
      </c>
      <c r="B264" s="11" t="s">
        <v>37</v>
      </c>
      <c r="C264" s="12">
        <v>1.9945190000000002E-2</v>
      </c>
      <c r="D264" s="12" t="s">
        <v>41</v>
      </c>
      <c r="E264" s="13">
        <v>51.17</v>
      </c>
      <c r="F264" s="14">
        <v>1442.9762798199999</v>
      </c>
      <c r="G264" s="14" t="s">
        <v>59</v>
      </c>
      <c r="H264" s="15">
        <v>52.39</v>
      </c>
      <c r="I264" s="16"/>
      <c r="J264" s="16"/>
      <c r="K264" s="17"/>
      <c r="L264" s="18">
        <v>-1.22</v>
      </c>
      <c r="M264" s="19"/>
    </row>
    <row r="265" spans="1:13" x14ac:dyDescent="0.2">
      <c r="A265" s="10">
        <v>44583.91443287037</v>
      </c>
      <c r="B265" s="11" t="s">
        <v>37</v>
      </c>
      <c r="C265" s="12">
        <v>602.30154056000003</v>
      </c>
      <c r="D265" s="12" t="s">
        <v>59</v>
      </c>
      <c r="E265" s="13">
        <v>23.52</v>
      </c>
      <c r="F265" s="14">
        <v>52.526181739999998</v>
      </c>
      <c r="G265" s="14" t="s">
        <v>60</v>
      </c>
      <c r="H265" s="15">
        <v>40.04</v>
      </c>
      <c r="I265" s="16"/>
      <c r="J265" s="16"/>
      <c r="K265" s="17"/>
      <c r="L265" s="18">
        <v>-16.52</v>
      </c>
      <c r="M265" s="19"/>
    </row>
    <row r="266" spans="1:13" x14ac:dyDescent="0.2">
      <c r="A266" s="10">
        <v>44582.91778935185</v>
      </c>
      <c r="B266" s="11" t="s">
        <v>37</v>
      </c>
      <c r="C266" s="12">
        <v>37.85224736</v>
      </c>
      <c r="D266" s="12" t="s">
        <v>58</v>
      </c>
      <c r="E266" s="13">
        <v>24.45</v>
      </c>
      <c r="F266" s="14">
        <v>9.5189300000000001E-3</v>
      </c>
      <c r="G266" s="14" t="s">
        <v>41</v>
      </c>
      <c r="H266" s="15">
        <v>29.09</v>
      </c>
      <c r="I266" s="16"/>
      <c r="J266" s="16"/>
      <c r="K266" s="17"/>
      <c r="L266" s="18">
        <v>-4.6399999999999997</v>
      </c>
      <c r="M266" s="19"/>
    </row>
    <row r="267" spans="1:13" x14ac:dyDescent="0.2">
      <c r="A267" s="10">
        <v>44582.91547453704</v>
      </c>
      <c r="B267" s="11" t="s">
        <v>37</v>
      </c>
      <c r="C267" s="12">
        <v>840.67473926000002</v>
      </c>
      <c r="D267" s="12" t="s">
        <v>59</v>
      </c>
      <c r="E267" s="13">
        <v>28.87</v>
      </c>
      <c r="F267" s="14">
        <v>8.1800000000000004E-4</v>
      </c>
      <c r="G267" s="14" t="s">
        <v>42</v>
      </c>
      <c r="H267" s="15">
        <v>34.049999999999997</v>
      </c>
      <c r="I267" s="16"/>
      <c r="J267" s="16"/>
      <c r="K267" s="17"/>
      <c r="L267" s="18">
        <v>-5.18</v>
      </c>
      <c r="M267" s="19"/>
    </row>
    <row r="268" spans="1:13" x14ac:dyDescent="0.2">
      <c r="A268" s="10">
        <v>44582.912916666668</v>
      </c>
      <c r="B268" s="11" t="s">
        <v>37</v>
      </c>
      <c r="C268" s="12">
        <v>52.526181739999998</v>
      </c>
      <c r="D268" s="12" t="s">
        <v>60</v>
      </c>
      <c r="E268" s="13">
        <v>40.04</v>
      </c>
      <c r="F268" s="14">
        <v>0.39812682999999999</v>
      </c>
      <c r="G268" s="14" t="s">
        <v>61</v>
      </c>
      <c r="H268" s="15">
        <v>58.91</v>
      </c>
      <c r="I268" s="16"/>
      <c r="J268" s="16"/>
      <c r="K268" s="17"/>
      <c r="L268" s="18">
        <v>-18.87</v>
      </c>
      <c r="M268" s="19"/>
    </row>
    <row r="269" spans="1:13" x14ac:dyDescent="0.2">
      <c r="A269" s="10">
        <v>44577.081932870373</v>
      </c>
      <c r="B269" s="11" t="s">
        <v>37</v>
      </c>
      <c r="C269" s="12">
        <v>0.19831138000000001</v>
      </c>
      <c r="D269" s="12" t="s">
        <v>61</v>
      </c>
      <c r="E269" s="13">
        <v>29.54</v>
      </c>
      <c r="F269" s="14">
        <v>6.9700000000000003E-4</v>
      </c>
      <c r="G269" s="14" t="s">
        <v>42</v>
      </c>
      <c r="H269" s="15">
        <v>29.01</v>
      </c>
      <c r="I269" s="16"/>
      <c r="J269" s="16"/>
      <c r="K269" s="17"/>
      <c r="L269" s="18">
        <v>0.53</v>
      </c>
      <c r="M269" s="19"/>
    </row>
    <row r="270" spans="1:13" x14ac:dyDescent="0.2">
      <c r="A270" s="10">
        <v>44577.077152777783</v>
      </c>
      <c r="B270" s="11" t="s">
        <v>37</v>
      </c>
      <c r="C270" s="12">
        <v>0.19981544900000001</v>
      </c>
      <c r="D270" s="12" t="s">
        <v>61</v>
      </c>
      <c r="E270" s="13">
        <v>29.37</v>
      </c>
      <c r="F270" s="14">
        <v>9.0148999999999993E-3</v>
      </c>
      <c r="G270" s="14" t="s">
        <v>41</v>
      </c>
      <c r="H270" s="15">
        <v>27.63</v>
      </c>
      <c r="I270" s="16"/>
      <c r="J270" s="16"/>
      <c r="K270" s="17"/>
      <c r="L270" s="18">
        <v>1.74</v>
      </c>
      <c r="M270" s="19"/>
    </row>
    <row r="271" spans="1:13" x14ac:dyDescent="0.2">
      <c r="A271" s="10">
        <v>44573.794212962966</v>
      </c>
      <c r="B271" s="11" t="s">
        <v>32</v>
      </c>
      <c r="C271" s="12">
        <v>1.6941973699999999</v>
      </c>
      <c r="D271" s="12" t="s">
        <v>57</v>
      </c>
      <c r="E271" s="13">
        <v>1</v>
      </c>
      <c r="F271" s="14"/>
      <c r="G271" s="14"/>
      <c r="H271" s="15"/>
      <c r="I271" s="16"/>
      <c r="J271" s="16"/>
      <c r="K271" s="17"/>
      <c r="L271" s="18"/>
      <c r="M271" s="19"/>
    </row>
    <row r="272" spans="1:13" x14ac:dyDescent="0.2">
      <c r="A272" s="10">
        <v>44571.594560185193</v>
      </c>
      <c r="B272" s="11" t="s">
        <v>37</v>
      </c>
      <c r="C272" s="12">
        <v>2.235E-3</v>
      </c>
      <c r="D272" s="12" t="s">
        <v>42</v>
      </c>
      <c r="E272" s="13">
        <v>93.03</v>
      </c>
      <c r="F272" s="14">
        <v>3.085682E-2</v>
      </c>
      <c r="G272" s="14" t="s">
        <v>41</v>
      </c>
      <c r="H272" s="15">
        <v>95.66</v>
      </c>
      <c r="I272" s="16"/>
      <c r="J272" s="16"/>
      <c r="K272" s="17"/>
      <c r="L272" s="18">
        <v>-2.63</v>
      </c>
      <c r="M272" s="19"/>
    </row>
    <row r="273" spans="1:13" x14ac:dyDescent="0.2">
      <c r="A273" s="10">
        <v>44571.5937962963</v>
      </c>
      <c r="B273" s="11" t="s">
        <v>37</v>
      </c>
      <c r="C273" s="12">
        <v>1.368777E-2</v>
      </c>
      <c r="D273" s="12" t="s">
        <v>41</v>
      </c>
      <c r="E273" s="13">
        <v>41.5</v>
      </c>
      <c r="F273" s="14">
        <v>13.196624590000001</v>
      </c>
      <c r="G273" s="14" t="s">
        <v>62</v>
      </c>
      <c r="H273" s="15">
        <v>49.03</v>
      </c>
      <c r="I273" s="16"/>
      <c r="J273" s="16"/>
      <c r="K273" s="17"/>
      <c r="L273" s="18">
        <v>-7.53</v>
      </c>
      <c r="M273" s="19"/>
    </row>
    <row r="274" spans="1:13" x14ac:dyDescent="0.2">
      <c r="A274" s="10">
        <v>44571.593391203707</v>
      </c>
      <c r="B274" s="11" t="s">
        <v>37</v>
      </c>
      <c r="C274" s="12">
        <v>1.734776E-2</v>
      </c>
      <c r="D274" s="12" t="s">
        <v>41</v>
      </c>
      <c r="E274" s="13">
        <v>53.4</v>
      </c>
      <c r="F274" s="14">
        <v>2.0595949899999999</v>
      </c>
      <c r="G274" s="14" t="s">
        <v>43</v>
      </c>
      <c r="H274" s="15">
        <v>57.98</v>
      </c>
      <c r="I274" s="16"/>
      <c r="J274" s="16"/>
      <c r="K274" s="17"/>
      <c r="L274" s="18">
        <v>-4.58</v>
      </c>
      <c r="M274" s="19"/>
    </row>
    <row r="275" spans="1:13" x14ac:dyDescent="0.2">
      <c r="A275" s="10">
        <v>44571.592245370368</v>
      </c>
      <c r="B275" s="11" t="s">
        <v>37</v>
      </c>
      <c r="C275" s="12">
        <v>1.5013820000000001E-2</v>
      </c>
      <c r="D275" s="12" t="s">
        <v>41</v>
      </c>
      <c r="E275" s="13">
        <v>45.95</v>
      </c>
      <c r="F275" s="14">
        <v>78.847219999999993</v>
      </c>
      <c r="G275" s="14" t="s">
        <v>63</v>
      </c>
      <c r="H275" s="15">
        <v>49.04</v>
      </c>
      <c r="I275" s="16"/>
      <c r="J275" s="16"/>
      <c r="K275" s="17"/>
      <c r="L275" s="18">
        <v>-3.09</v>
      </c>
      <c r="M275" s="19"/>
    </row>
    <row r="276" spans="1:13" x14ac:dyDescent="0.2">
      <c r="A276" s="10">
        <v>44570.89744212963</v>
      </c>
      <c r="B276" s="11" t="s">
        <v>37</v>
      </c>
      <c r="C276" s="12">
        <v>78.847219999999993</v>
      </c>
      <c r="D276" s="12" t="s">
        <v>63</v>
      </c>
      <c r="E276" s="13">
        <v>49.04</v>
      </c>
      <c r="F276" s="14">
        <v>1.560917E-2</v>
      </c>
      <c r="G276" s="14" t="s">
        <v>41</v>
      </c>
      <c r="H276" s="15">
        <v>52.14</v>
      </c>
      <c r="I276" s="16"/>
      <c r="J276" s="16"/>
      <c r="K276" s="17"/>
      <c r="L276" s="18">
        <v>-3.1</v>
      </c>
      <c r="M276" s="19"/>
    </row>
    <row r="277" spans="1:13" x14ac:dyDescent="0.2">
      <c r="A277" s="10">
        <v>44570.896493055552</v>
      </c>
      <c r="B277" s="11" t="s">
        <v>37</v>
      </c>
      <c r="C277" s="12">
        <v>13.196624590000001</v>
      </c>
      <c r="D277" s="12" t="s">
        <v>62</v>
      </c>
      <c r="E277" s="13">
        <v>49.03</v>
      </c>
      <c r="F277" s="14">
        <v>1.7812611300000001</v>
      </c>
      <c r="G277" s="14" t="s">
        <v>43</v>
      </c>
      <c r="H277" s="15">
        <v>50.14</v>
      </c>
      <c r="I277" s="16"/>
      <c r="J277" s="16"/>
      <c r="K277" s="17"/>
      <c r="L277" s="18">
        <v>-1.1100000000000001</v>
      </c>
      <c r="M277" s="19"/>
    </row>
    <row r="278" spans="1:13" x14ac:dyDescent="0.2">
      <c r="A278" s="10">
        <v>44570.895324074067</v>
      </c>
      <c r="B278" s="11" t="s">
        <v>37</v>
      </c>
      <c r="C278" s="12">
        <v>3.8408561200000002</v>
      </c>
      <c r="D278" s="12" t="s">
        <v>43</v>
      </c>
      <c r="E278" s="13">
        <v>111.51</v>
      </c>
      <c r="F278" s="14">
        <v>0.77011514999999997</v>
      </c>
      <c r="G278" s="14" t="s">
        <v>35</v>
      </c>
      <c r="H278" s="15">
        <v>112.06</v>
      </c>
      <c r="I278" s="16"/>
      <c r="J278" s="16"/>
      <c r="K278" s="17"/>
      <c r="L278" s="18">
        <v>-3.94</v>
      </c>
      <c r="M278" s="19"/>
    </row>
    <row r="279" spans="1:13" x14ac:dyDescent="0.2">
      <c r="A279" s="10">
        <v>44570.811851851853</v>
      </c>
      <c r="B279" s="11" t="s">
        <v>37</v>
      </c>
      <c r="C279" s="12">
        <v>0.63016919999999998</v>
      </c>
      <c r="D279" s="12" t="s">
        <v>35</v>
      </c>
      <c r="E279" s="13">
        <v>91.34</v>
      </c>
      <c r="F279" s="14">
        <v>2.9162589999999999E-2</v>
      </c>
      <c r="G279" s="14" t="s">
        <v>41</v>
      </c>
      <c r="H279" s="15">
        <v>111.01</v>
      </c>
      <c r="I279" s="16"/>
      <c r="J279" s="16"/>
      <c r="K279" s="17"/>
      <c r="L279" s="18">
        <v>-19.670000000000002</v>
      </c>
      <c r="M279" s="19"/>
    </row>
    <row r="280" spans="1:13" x14ac:dyDescent="0.2">
      <c r="A280" s="10">
        <v>44570.811018518521</v>
      </c>
      <c r="B280" s="11" t="s">
        <v>37</v>
      </c>
      <c r="C280" s="12">
        <v>0.13994595000000001</v>
      </c>
      <c r="D280" s="12" t="s">
        <v>35</v>
      </c>
      <c r="E280" s="13">
        <v>20.72</v>
      </c>
      <c r="F280" s="14">
        <v>242.62441733</v>
      </c>
      <c r="G280" s="14" t="s">
        <v>64</v>
      </c>
      <c r="H280" s="15">
        <v>23.77</v>
      </c>
      <c r="I280" s="16"/>
      <c r="J280" s="16"/>
      <c r="K280" s="17"/>
      <c r="L280" s="18">
        <v>-3.05</v>
      </c>
      <c r="M280" s="19"/>
    </row>
    <row r="281" spans="1:13" x14ac:dyDescent="0.2">
      <c r="A281" s="10">
        <v>44570.099062499998</v>
      </c>
      <c r="B281" s="11" t="s">
        <v>37</v>
      </c>
      <c r="C281" s="12">
        <v>242.62441733</v>
      </c>
      <c r="D281" s="12" t="s">
        <v>64</v>
      </c>
      <c r="E281" s="13">
        <v>23.77</v>
      </c>
      <c r="F281" s="14">
        <v>568.69371664000005</v>
      </c>
      <c r="G281" s="14" t="s">
        <v>65</v>
      </c>
      <c r="H281" s="15">
        <v>27.25</v>
      </c>
      <c r="I281" s="16"/>
      <c r="J281" s="16"/>
      <c r="K281" s="17"/>
      <c r="L281" s="18">
        <v>-3.48</v>
      </c>
      <c r="M281" s="19"/>
    </row>
    <row r="282" spans="1:13" x14ac:dyDescent="0.2">
      <c r="A282" s="10">
        <v>44570.098136574074</v>
      </c>
      <c r="B282" s="11" t="s">
        <v>37</v>
      </c>
      <c r="C282" s="12">
        <v>279.24018813999999</v>
      </c>
      <c r="D282" s="12" t="s">
        <v>65</v>
      </c>
      <c r="E282" s="13">
        <v>12.25</v>
      </c>
      <c r="F282" s="14">
        <v>6.0493305599999996</v>
      </c>
      <c r="G282" s="14" t="s">
        <v>52</v>
      </c>
      <c r="H282" s="15">
        <v>14.68</v>
      </c>
      <c r="I282" s="16"/>
      <c r="J282" s="16"/>
      <c r="K282" s="17"/>
      <c r="L282" s="18">
        <v>-2.4300000000000002</v>
      </c>
      <c r="M282" s="19"/>
    </row>
    <row r="283" spans="1:13" x14ac:dyDescent="0.2">
      <c r="A283" s="10">
        <v>44570.096828703703</v>
      </c>
      <c r="B283" s="11" t="s">
        <v>37</v>
      </c>
      <c r="C283" s="12">
        <v>6.4715900000000002E-3</v>
      </c>
      <c r="D283" s="12" t="s">
        <v>41</v>
      </c>
      <c r="E283" s="13">
        <v>20.69</v>
      </c>
      <c r="F283" s="14">
        <v>17.371105</v>
      </c>
      <c r="G283" s="14" t="s">
        <v>36</v>
      </c>
      <c r="H283" s="15">
        <v>23.82</v>
      </c>
      <c r="I283" s="16"/>
      <c r="J283" s="16"/>
      <c r="K283" s="17"/>
      <c r="L283" s="18">
        <v>-3.13</v>
      </c>
      <c r="M283" s="19"/>
    </row>
    <row r="284" spans="1:13" x14ac:dyDescent="0.2">
      <c r="A284" s="10">
        <v>44570.096273148149</v>
      </c>
      <c r="B284" s="11" t="s">
        <v>37</v>
      </c>
      <c r="C284" s="12">
        <v>2.0258410000000001E-2</v>
      </c>
      <c r="D284" s="12" t="s">
        <v>41</v>
      </c>
      <c r="E284" s="13">
        <v>63.24</v>
      </c>
      <c r="F284" s="14">
        <v>1.54109E-3</v>
      </c>
      <c r="G284" s="14" t="s">
        <v>42</v>
      </c>
      <c r="H284" s="15">
        <v>72.25</v>
      </c>
      <c r="I284" s="16"/>
      <c r="J284" s="16"/>
      <c r="K284" s="17"/>
      <c r="L284" s="18">
        <v>-9.01</v>
      </c>
      <c r="M284" s="19"/>
    </row>
    <row r="285" spans="1:13" x14ac:dyDescent="0.2">
      <c r="A285" s="10">
        <v>44566.967245370368</v>
      </c>
      <c r="B285" s="11" t="s">
        <v>37</v>
      </c>
      <c r="C285" s="12">
        <v>6.7741999999999998E-4</v>
      </c>
      <c r="D285" s="12" t="s">
        <v>42</v>
      </c>
      <c r="E285" s="13">
        <v>29.98</v>
      </c>
      <c r="F285" s="14">
        <v>465.85208394</v>
      </c>
      <c r="G285" s="14" t="s">
        <v>66</v>
      </c>
      <c r="H285" s="15">
        <v>29.38</v>
      </c>
      <c r="I285" s="16"/>
      <c r="J285" s="16"/>
      <c r="K285" s="17"/>
      <c r="L285" s="18">
        <v>0.6</v>
      </c>
      <c r="M285" s="19"/>
    </row>
    <row r="286" spans="1:13" x14ac:dyDescent="0.2">
      <c r="A286" s="10">
        <v>44566.891793981478</v>
      </c>
      <c r="B286" s="11" t="s">
        <v>32</v>
      </c>
      <c r="C286" s="12">
        <v>2.6558970000000001E-2</v>
      </c>
      <c r="D286" s="12" t="s">
        <v>41</v>
      </c>
      <c r="E286" s="13">
        <v>96.16</v>
      </c>
      <c r="F286" s="14">
        <v>96.16</v>
      </c>
      <c r="G286" s="14" t="s">
        <v>33</v>
      </c>
      <c r="H286" s="15"/>
      <c r="I286" s="16">
        <v>3.84</v>
      </c>
      <c r="J286" s="16" t="s">
        <v>33</v>
      </c>
      <c r="K286" s="17">
        <v>3.84</v>
      </c>
      <c r="L286" s="18"/>
      <c r="M286" s="19"/>
    </row>
    <row r="287" spans="1:13" x14ac:dyDescent="0.2">
      <c r="A287" s="10">
        <v>44560.230833333328</v>
      </c>
      <c r="B287" s="11" t="s">
        <v>37</v>
      </c>
      <c r="C287" s="12">
        <v>6.0493305599999996</v>
      </c>
      <c r="D287" s="12" t="s">
        <v>52</v>
      </c>
      <c r="E287" s="13">
        <v>14.68</v>
      </c>
      <c r="F287" s="14">
        <v>4.1052199999999997E-3</v>
      </c>
      <c r="G287" s="14" t="s">
        <v>41</v>
      </c>
      <c r="H287" s="15">
        <v>16.7</v>
      </c>
      <c r="I287" s="16"/>
      <c r="J287" s="16"/>
      <c r="K287" s="17"/>
      <c r="L287" s="18">
        <v>-2.02</v>
      </c>
      <c r="M287" s="19"/>
    </row>
    <row r="288" spans="1:13" x14ac:dyDescent="0.2">
      <c r="A288" s="10">
        <v>44558.721909722219</v>
      </c>
      <c r="B288" s="11" t="s">
        <v>37</v>
      </c>
      <c r="C288" s="12">
        <v>1.9387000000000001E-4</v>
      </c>
      <c r="D288" s="12" t="s">
        <v>42</v>
      </c>
      <c r="E288" s="13">
        <v>9.57</v>
      </c>
      <c r="F288" s="14">
        <v>33.403924099999998</v>
      </c>
      <c r="G288" s="14" t="s">
        <v>46</v>
      </c>
      <c r="H288" s="15">
        <v>9.8000000000000007</v>
      </c>
      <c r="I288" s="16"/>
      <c r="J288" s="16"/>
      <c r="K288" s="17"/>
      <c r="L288" s="18">
        <v>-0.23</v>
      </c>
      <c r="M288" s="19"/>
    </row>
    <row r="289" spans="1:13" x14ac:dyDescent="0.2">
      <c r="A289" s="10">
        <v>44558.72115740741</v>
      </c>
      <c r="B289" s="11" t="s">
        <v>37</v>
      </c>
      <c r="C289" s="12">
        <v>2.37521E-3</v>
      </c>
      <c r="D289" s="12" t="s">
        <v>41</v>
      </c>
      <c r="E289" s="13">
        <v>9.2899999999999991</v>
      </c>
      <c r="F289" s="14">
        <v>5.116967E-2</v>
      </c>
      <c r="G289" s="14" t="s">
        <v>35</v>
      </c>
      <c r="H289" s="15">
        <v>9.7200000000000006</v>
      </c>
      <c r="I289" s="16"/>
      <c r="J289" s="16"/>
      <c r="K289" s="17"/>
      <c r="L289" s="18">
        <v>-0.43</v>
      </c>
      <c r="M289" s="19"/>
    </row>
    <row r="290" spans="1:13" x14ac:dyDescent="0.2">
      <c r="A290" s="10">
        <v>44558.720416666663</v>
      </c>
      <c r="B290" s="11" t="s">
        <v>37</v>
      </c>
      <c r="C290" s="12">
        <v>3.88375E-3</v>
      </c>
      <c r="D290" s="12" t="s">
        <v>41</v>
      </c>
      <c r="E290" s="13">
        <v>15.21</v>
      </c>
      <c r="F290" s="14">
        <v>132.27014912000001</v>
      </c>
      <c r="G290" s="14" t="s">
        <v>67</v>
      </c>
      <c r="H290" s="15">
        <v>19.670000000000002</v>
      </c>
      <c r="I290" s="16"/>
      <c r="J290" s="16"/>
      <c r="K290" s="17"/>
      <c r="L290" s="18">
        <v>-4.46</v>
      </c>
      <c r="M290" s="19"/>
    </row>
    <row r="291" spans="1:13" x14ac:dyDescent="0.2">
      <c r="A291" s="10">
        <v>44556.187893518523</v>
      </c>
      <c r="B291" s="11" t="s">
        <v>37</v>
      </c>
      <c r="C291" s="12">
        <v>186.24469737000001</v>
      </c>
      <c r="D291" s="12" t="s">
        <v>66</v>
      </c>
      <c r="E291" s="13">
        <v>11.74</v>
      </c>
      <c r="F291" s="14">
        <v>8.4757730000000002</v>
      </c>
      <c r="G291" s="14" t="s">
        <v>36</v>
      </c>
      <c r="H291" s="15">
        <v>12.08</v>
      </c>
      <c r="I291" s="16"/>
      <c r="J291" s="16"/>
      <c r="K291" s="17"/>
      <c r="L291" s="18">
        <v>-0.34</v>
      </c>
      <c r="M291" s="19"/>
    </row>
    <row r="292" spans="1:13" x14ac:dyDescent="0.2">
      <c r="A292" s="10">
        <v>44556.187465277777</v>
      </c>
      <c r="B292" s="11" t="s">
        <v>37</v>
      </c>
      <c r="C292" s="12">
        <v>279.60738656000001</v>
      </c>
      <c r="D292" s="12" t="s">
        <v>66</v>
      </c>
      <c r="E292" s="13">
        <v>17.64</v>
      </c>
      <c r="F292" s="14">
        <v>4.47964E-3</v>
      </c>
      <c r="G292" s="14" t="s">
        <v>41</v>
      </c>
      <c r="H292" s="15">
        <v>18.23</v>
      </c>
      <c r="I292" s="16"/>
      <c r="J292" s="16"/>
      <c r="K292" s="17"/>
      <c r="L292" s="18">
        <v>-0.59</v>
      </c>
      <c r="M292" s="19"/>
    </row>
    <row r="293" spans="1:13" x14ac:dyDescent="0.2">
      <c r="A293" s="10">
        <v>44556.174085648148</v>
      </c>
      <c r="B293" s="11" t="s">
        <v>37</v>
      </c>
      <c r="C293" s="12">
        <v>66.007402159999998</v>
      </c>
      <c r="D293" s="12" t="s">
        <v>67</v>
      </c>
      <c r="E293" s="13">
        <v>9.77</v>
      </c>
      <c r="F293" s="14">
        <v>34.710953199999999</v>
      </c>
      <c r="G293" s="14" t="s">
        <v>46</v>
      </c>
      <c r="H293" s="15">
        <v>10.19</v>
      </c>
      <c r="I293" s="16"/>
      <c r="J293" s="16"/>
      <c r="K293" s="17"/>
      <c r="L293" s="18">
        <v>-0.42</v>
      </c>
      <c r="M293" s="19"/>
    </row>
    <row r="294" spans="1:13" x14ac:dyDescent="0.2">
      <c r="A294" s="10">
        <v>44556.173229166663</v>
      </c>
      <c r="B294" s="11" t="s">
        <v>37</v>
      </c>
      <c r="C294" s="12">
        <v>66.262746960000001</v>
      </c>
      <c r="D294" s="12" t="s">
        <v>67</v>
      </c>
      <c r="E294" s="13">
        <v>9.9</v>
      </c>
      <c r="F294" s="14">
        <v>5.2185259999999997E-2</v>
      </c>
      <c r="G294" s="14" t="s">
        <v>35</v>
      </c>
      <c r="H294" s="15">
        <v>9.91</v>
      </c>
      <c r="I294" s="16"/>
      <c r="J294" s="16"/>
      <c r="K294" s="17"/>
      <c r="L294" s="18">
        <v>-0.01</v>
      </c>
      <c r="M294" s="19"/>
    </row>
    <row r="295" spans="1:13" x14ac:dyDescent="0.2">
      <c r="A295" s="10">
        <v>44553.884953703702</v>
      </c>
      <c r="B295" s="11" t="s">
        <v>37</v>
      </c>
      <c r="C295" s="12">
        <v>289.4535285</v>
      </c>
      <c r="D295" s="12" t="s">
        <v>65</v>
      </c>
      <c r="E295" s="13">
        <v>15</v>
      </c>
      <c r="F295" s="14">
        <v>10.284186</v>
      </c>
      <c r="G295" s="14" t="s">
        <v>36</v>
      </c>
      <c r="H295" s="15">
        <v>14.65</v>
      </c>
      <c r="I295" s="16"/>
      <c r="J295" s="16"/>
      <c r="K295" s="17"/>
      <c r="L295" s="18">
        <v>0.35</v>
      </c>
      <c r="M295" s="19"/>
    </row>
    <row r="296" spans="1:13" x14ac:dyDescent="0.2">
      <c r="A296" s="10">
        <v>44553.882951388892</v>
      </c>
      <c r="B296" s="11" t="s">
        <v>37</v>
      </c>
      <c r="C296" s="12">
        <v>0.10335493</v>
      </c>
      <c r="D296" s="12" t="s">
        <v>35</v>
      </c>
      <c r="E296" s="13">
        <v>19.63</v>
      </c>
      <c r="F296" s="14">
        <v>4.8654900000000001E-3</v>
      </c>
      <c r="G296" s="14" t="s">
        <v>41</v>
      </c>
      <c r="H296" s="15">
        <v>20.05</v>
      </c>
      <c r="I296" s="16"/>
      <c r="J296" s="16"/>
      <c r="K296" s="17"/>
      <c r="L296" s="18">
        <v>-0.42</v>
      </c>
      <c r="M296" s="19"/>
    </row>
    <row r="297" spans="1:13" x14ac:dyDescent="0.2">
      <c r="A297" s="10">
        <v>44553.882291666669</v>
      </c>
      <c r="B297" s="11" t="s">
        <v>37</v>
      </c>
      <c r="C297" s="12">
        <v>68.114877300000003</v>
      </c>
      <c r="D297" s="12" t="s">
        <v>46</v>
      </c>
      <c r="E297" s="13">
        <v>19.989999999999998</v>
      </c>
      <c r="F297" s="14">
        <v>13.678955</v>
      </c>
      <c r="G297" s="14" t="s">
        <v>36</v>
      </c>
      <c r="H297" s="15">
        <v>19.489999999999998</v>
      </c>
      <c r="I297" s="16"/>
      <c r="J297" s="16"/>
      <c r="K297" s="17"/>
      <c r="L297" s="18">
        <v>0.5</v>
      </c>
      <c r="M297" s="19"/>
    </row>
    <row r="298" spans="1:13" x14ac:dyDescent="0.2">
      <c r="A298" s="10">
        <v>44553.741087962961</v>
      </c>
      <c r="B298" s="11" t="s">
        <v>37</v>
      </c>
      <c r="C298" s="12">
        <v>41.200425000000003</v>
      </c>
      <c r="D298" s="12" t="s">
        <v>36</v>
      </c>
      <c r="E298" s="13">
        <v>58.71</v>
      </c>
      <c r="F298" s="14">
        <v>1.204E-3</v>
      </c>
      <c r="G298" s="14" t="s">
        <v>42</v>
      </c>
      <c r="H298" s="15">
        <v>60.57</v>
      </c>
      <c r="I298" s="16"/>
      <c r="J298" s="16"/>
      <c r="K298" s="17"/>
      <c r="L298" s="18">
        <v>-1.86</v>
      </c>
      <c r="M298" s="19"/>
    </row>
    <row r="299" spans="1:13" x14ac:dyDescent="0.2">
      <c r="A299" s="10">
        <v>44553.740474537037</v>
      </c>
      <c r="B299" s="11" t="s">
        <v>37</v>
      </c>
      <c r="C299" s="12">
        <v>5.9004999999999995E-4</v>
      </c>
      <c r="D299" s="12" t="s">
        <v>42</v>
      </c>
      <c r="E299" s="13">
        <v>30</v>
      </c>
      <c r="F299" s="14">
        <v>21.051154</v>
      </c>
      <c r="G299" s="14" t="s">
        <v>36</v>
      </c>
      <c r="H299" s="15">
        <v>27.71</v>
      </c>
      <c r="I299" s="16"/>
      <c r="J299" s="16"/>
      <c r="K299" s="17"/>
      <c r="L299" s="18">
        <v>2.29</v>
      </c>
      <c r="M299" s="19"/>
    </row>
    <row r="300" spans="1:13" x14ac:dyDescent="0.2">
      <c r="A300" s="10">
        <v>44541.687141203707</v>
      </c>
      <c r="B300" s="11" t="s">
        <v>37</v>
      </c>
      <c r="C300" s="12">
        <v>29.660748000000002</v>
      </c>
      <c r="D300" s="12" t="s">
        <v>36</v>
      </c>
      <c r="E300" s="13">
        <v>39.04</v>
      </c>
      <c r="F300" s="14">
        <v>9.7720299999999993E-3</v>
      </c>
      <c r="G300" s="14" t="s">
        <v>41</v>
      </c>
      <c r="H300" s="15">
        <v>42.96</v>
      </c>
      <c r="I300" s="16"/>
      <c r="J300" s="16"/>
      <c r="K300" s="17"/>
      <c r="L300" s="18">
        <v>-3.92</v>
      </c>
      <c r="M300" s="19"/>
    </row>
    <row r="301" spans="1:13" x14ac:dyDescent="0.2">
      <c r="A301" s="10">
        <v>44540.975902777784</v>
      </c>
      <c r="B301" s="11" t="s">
        <v>37</v>
      </c>
      <c r="C301" s="12">
        <v>1.15742E-2</v>
      </c>
      <c r="D301" s="12" t="s">
        <v>41</v>
      </c>
      <c r="E301" s="13">
        <v>47.09</v>
      </c>
      <c r="F301" s="14">
        <v>256.62583761000002</v>
      </c>
      <c r="G301" s="14" t="s">
        <v>68</v>
      </c>
      <c r="H301" s="15">
        <v>43.4</v>
      </c>
      <c r="I301" s="16"/>
      <c r="J301" s="16"/>
      <c r="K301" s="17"/>
      <c r="L301" s="18">
        <v>3.69</v>
      </c>
      <c r="M301" s="19"/>
    </row>
    <row r="302" spans="1:13" x14ac:dyDescent="0.2">
      <c r="A302" s="10">
        <v>44540.601006944453</v>
      </c>
      <c r="B302" s="11" t="s">
        <v>37</v>
      </c>
      <c r="C302" s="12">
        <v>97.598800580000002</v>
      </c>
      <c r="D302" s="12" t="s">
        <v>68</v>
      </c>
      <c r="E302" s="13">
        <v>19.36</v>
      </c>
      <c r="F302" s="14">
        <v>1434.50101855</v>
      </c>
      <c r="G302" s="14" t="s">
        <v>69</v>
      </c>
      <c r="H302" s="15">
        <v>25.79</v>
      </c>
      <c r="I302" s="16"/>
      <c r="J302" s="16"/>
      <c r="K302" s="17"/>
      <c r="L302" s="18">
        <v>-6.43</v>
      </c>
      <c r="M302" s="19"/>
    </row>
    <row r="303" spans="1:13" x14ac:dyDescent="0.2">
      <c r="A303" s="10">
        <v>44540.063819444447</v>
      </c>
      <c r="B303" s="11" t="s">
        <v>37</v>
      </c>
      <c r="C303" s="12">
        <v>139.17749337999999</v>
      </c>
      <c r="D303" s="12" t="s">
        <v>68</v>
      </c>
      <c r="E303" s="13">
        <v>21.01</v>
      </c>
      <c r="F303" s="14">
        <v>1419.1419141900001</v>
      </c>
      <c r="G303" s="14" t="s">
        <v>69</v>
      </c>
      <c r="H303" s="15">
        <v>25.87</v>
      </c>
      <c r="I303" s="16"/>
      <c r="J303" s="16"/>
      <c r="K303" s="17"/>
      <c r="L303" s="18">
        <v>-4.8600000000000003</v>
      </c>
      <c r="M303" s="19"/>
    </row>
    <row r="304" spans="1:13" x14ac:dyDescent="0.2">
      <c r="A304" s="10">
        <v>44540.062210648153</v>
      </c>
      <c r="B304" s="11" t="s">
        <v>37</v>
      </c>
      <c r="C304" s="12">
        <v>19.849543650000001</v>
      </c>
      <c r="D304" s="12" t="s">
        <v>68</v>
      </c>
      <c r="E304" s="13">
        <v>3.03</v>
      </c>
      <c r="F304" s="14">
        <v>1.8398129999999999E-2</v>
      </c>
      <c r="G304" s="14" t="s">
        <v>50</v>
      </c>
      <c r="H304" s="15">
        <v>2.98</v>
      </c>
      <c r="I304" s="16"/>
      <c r="J304" s="16"/>
      <c r="K304" s="17"/>
      <c r="L304" s="18">
        <v>0.05</v>
      </c>
      <c r="M304" s="19"/>
    </row>
    <row r="305" spans="1:13" x14ac:dyDescent="0.2">
      <c r="A305" s="10">
        <v>44540.055706018517</v>
      </c>
      <c r="B305" s="11" t="s">
        <v>32</v>
      </c>
      <c r="C305" s="12">
        <v>6.1327100000000004E-3</v>
      </c>
      <c r="D305" s="12" t="s">
        <v>50</v>
      </c>
      <c r="E305" s="13">
        <v>0.99</v>
      </c>
      <c r="F305" s="14"/>
      <c r="G305" s="14"/>
      <c r="H305" s="15"/>
      <c r="I305" s="16"/>
      <c r="J305" s="16"/>
      <c r="K305" s="17"/>
      <c r="L305" s="18"/>
      <c r="M305" s="19"/>
    </row>
    <row r="306" spans="1:13" x14ac:dyDescent="0.2">
      <c r="A306" s="10">
        <v>44540.055567129632</v>
      </c>
      <c r="B306" s="11" t="s">
        <v>32</v>
      </c>
      <c r="C306" s="12">
        <v>6.1327100000000004E-3</v>
      </c>
      <c r="D306" s="12" t="s">
        <v>50</v>
      </c>
      <c r="E306" s="13">
        <v>1</v>
      </c>
      <c r="F306" s="14"/>
      <c r="G306" s="14"/>
      <c r="H306" s="15"/>
      <c r="I306" s="16"/>
      <c r="J306" s="16"/>
      <c r="K306" s="17"/>
      <c r="L306" s="18"/>
      <c r="M306" s="19"/>
    </row>
    <row r="307" spans="1:13" x14ac:dyDescent="0.2">
      <c r="A307" s="10">
        <v>44540.05541666667</v>
      </c>
      <c r="B307" s="11" t="s">
        <v>32</v>
      </c>
      <c r="C307" s="12">
        <v>6.1327100000000004E-3</v>
      </c>
      <c r="D307" s="12" t="s">
        <v>50</v>
      </c>
      <c r="E307" s="13">
        <v>0.99</v>
      </c>
      <c r="F307" s="14"/>
      <c r="G307" s="14"/>
      <c r="H307" s="15"/>
      <c r="I307" s="16"/>
      <c r="J307" s="16"/>
      <c r="K307" s="17"/>
      <c r="L307" s="18"/>
      <c r="M307" s="19"/>
    </row>
    <row r="308" spans="1:13" x14ac:dyDescent="0.2">
      <c r="A308" s="10">
        <v>44539.793182870373</v>
      </c>
      <c r="B308" s="11" t="s">
        <v>32</v>
      </c>
      <c r="C308" s="12">
        <v>2.0900000000000001E-4</v>
      </c>
      <c r="D308" s="12" t="s">
        <v>42</v>
      </c>
      <c r="E308" s="13">
        <v>10.01</v>
      </c>
      <c r="F308" s="14"/>
      <c r="G308" s="14"/>
      <c r="H308" s="15"/>
      <c r="I308" s="16"/>
      <c r="J308" s="16"/>
      <c r="K308" s="17"/>
      <c r="L308" s="18"/>
      <c r="M308" s="19"/>
    </row>
    <row r="309" spans="1:13" x14ac:dyDescent="0.2">
      <c r="A309" s="10">
        <v>44539.789386574077</v>
      </c>
      <c r="B309" s="11" t="s">
        <v>32</v>
      </c>
      <c r="C309" s="12">
        <v>3.2554799999999998E-3</v>
      </c>
      <c r="D309" s="12" t="s">
        <v>41</v>
      </c>
      <c r="E309" s="13">
        <v>13.51</v>
      </c>
      <c r="F309" s="14">
        <v>13.51</v>
      </c>
      <c r="G309" s="14" t="s">
        <v>33</v>
      </c>
      <c r="H309" s="15"/>
      <c r="I309" s="16">
        <v>1.49</v>
      </c>
      <c r="J309" s="16" t="s">
        <v>33</v>
      </c>
      <c r="K309" s="17">
        <v>1.49</v>
      </c>
      <c r="L309" s="18"/>
      <c r="M309" s="19"/>
    </row>
    <row r="310" spans="1:13" x14ac:dyDescent="0.2">
      <c r="A310" s="10">
        <v>44539.220486111109</v>
      </c>
      <c r="B310" s="11" t="s">
        <v>37</v>
      </c>
      <c r="C310" s="12">
        <v>536.74854684000002</v>
      </c>
      <c r="D310" s="12" t="s">
        <v>69</v>
      </c>
      <c r="E310" s="13">
        <v>9.4700000000000006</v>
      </c>
      <c r="F310" s="14">
        <v>27.310846389999998</v>
      </c>
      <c r="G310" s="14" t="s">
        <v>70</v>
      </c>
      <c r="H310" s="15">
        <v>9.6999999999999993</v>
      </c>
      <c r="I310" s="16"/>
      <c r="J310" s="16"/>
      <c r="K310" s="17"/>
      <c r="L310" s="18">
        <v>-0.23</v>
      </c>
      <c r="M310" s="19"/>
    </row>
    <row r="311" spans="1:13" x14ac:dyDescent="0.2">
      <c r="A311" s="10">
        <v>44539.063402777778</v>
      </c>
      <c r="B311" s="11" t="s">
        <v>37</v>
      </c>
      <c r="C311" s="12">
        <v>27.310846389999998</v>
      </c>
      <c r="D311" s="12" t="s">
        <v>70</v>
      </c>
      <c r="E311" s="13">
        <v>9.6999999999999993</v>
      </c>
      <c r="F311" s="14">
        <v>1.9799999999999999E-4</v>
      </c>
      <c r="G311" s="14" t="s">
        <v>42</v>
      </c>
      <c r="H311" s="15">
        <v>10</v>
      </c>
      <c r="I311" s="16"/>
      <c r="J311" s="16"/>
      <c r="K311" s="17"/>
      <c r="L311" s="18">
        <v>-0.3</v>
      </c>
      <c r="M311" s="19"/>
    </row>
    <row r="312" spans="1:13" x14ac:dyDescent="0.2">
      <c r="A312" s="10">
        <v>44539.04247685185</v>
      </c>
      <c r="B312" s="11" t="s">
        <v>37</v>
      </c>
      <c r="C312" s="12">
        <v>705.97175244000005</v>
      </c>
      <c r="D312" s="12" t="s">
        <v>69</v>
      </c>
      <c r="E312" s="13">
        <v>12.82</v>
      </c>
      <c r="F312" s="14">
        <v>6.7253199999999999E-2</v>
      </c>
      <c r="G312" s="14" t="s">
        <v>35</v>
      </c>
      <c r="H312" s="15">
        <v>12.78</v>
      </c>
      <c r="I312" s="16"/>
      <c r="J312" s="16"/>
      <c r="K312" s="17"/>
      <c r="L312" s="18">
        <v>0.04</v>
      </c>
      <c r="M312" s="19"/>
    </row>
    <row r="313" spans="1:13" x14ac:dyDescent="0.2">
      <c r="A313" s="10">
        <v>44539.031504629631</v>
      </c>
      <c r="B313" s="11" t="s">
        <v>37</v>
      </c>
      <c r="C313" s="12">
        <v>1.499268E-2</v>
      </c>
      <c r="D313" s="12" t="s">
        <v>35</v>
      </c>
      <c r="E313" s="13">
        <v>4.08</v>
      </c>
      <c r="F313" s="14">
        <v>16.801545770000001</v>
      </c>
      <c r="G313" s="14" t="s">
        <v>71</v>
      </c>
      <c r="H313" s="15">
        <v>2.98</v>
      </c>
      <c r="I313" s="16"/>
      <c r="J313" s="16"/>
      <c r="K313" s="17"/>
      <c r="L313" s="18">
        <v>0.02</v>
      </c>
      <c r="M313" s="19"/>
    </row>
    <row r="314" spans="1:13" x14ac:dyDescent="0.2">
      <c r="A314" s="10">
        <v>44539.028032407397</v>
      </c>
      <c r="B314" s="11" t="s">
        <v>32</v>
      </c>
      <c r="C314" s="12">
        <v>1.8709999999999999E-4</v>
      </c>
      <c r="D314" s="12" t="s">
        <v>42</v>
      </c>
      <c r="E314" s="13">
        <v>9.4499999999999993</v>
      </c>
      <c r="F314" s="14"/>
      <c r="G314" s="14"/>
      <c r="H314" s="15"/>
      <c r="I314" s="16"/>
      <c r="J314" s="16"/>
      <c r="K314" s="17"/>
      <c r="L314" s="18"/>
      <c r="M314" s="19"/>
    </row>
    <row r="315" spans="1:13" x14ac:dyDescent="0.2">
      <c r="A315" s="10">
        <v>44539.024699074071</v>
      </c>
      <c r="B315" s="11" t="s">
        <v>37</v>
      </c>
      <c r="C315" s="12">
        <v>1073.7916747199999</v>
      </c>
      <c r="D315" s="12" t="s">
        <v>69</v>
      </c>
      <c r="E315" s="13">
        <v>19.579999999999998</v>
      </c>
      <c r="F315" s="14">
        <v>3.9500000000000001E-4</v>
      </c>
      <c r="G315" s="14" t="s">
        <v>42</v>
      </c>
      <c r="H315" s="15">
        <v>20.21</v>
      </c>
      <c r="I315" s="16"/>
      <c r="J315" s="16"/>
      <c r="K315" s="17"/>
      <c r="L315" s="18">
        <v>-0.63</v>
      </c>
      <c r="M315" s="19"/>
    </row>
    <row r="316" spans="1:13" x14ac:dyDescent="0.2">
      <c r="A316" s="10">
        <v>44539.00304398148</v>
      </c>
      <c r="B316" s="11" t="s">
        <v>32</v>
      </c>
      <c r="C316" s="12">
        <v>5.60051524</v>
      </c>
      <c r="D316" s="12" t="s">
        <v>71</v>
      </c>
      <c r="E316" s="13">
        <v>1</v>
      </c>
      <c r="F316" s="14"/>
      <c r="G316" s="14"/>
      <c r="H316" s="15"/>
      <c r="I316" s="16"/>
      <c r="J316" s="16"/>
      <c r="K316" s="17"/>
      <c r="L316" s="18"/>
      <c r="M316" s="19"/>
    </row>
    <row r="317" spans="1:13" x14ac:dyDescent="0.2">
      <c r="A317" s="10">
        <v>44539.002789351849</v>
      </c>
      <c r="B317" s="11" t="s">
        <v>32</v>
      </c>
      <c r="C317" s="12">
        <v>5.6002016000000001</v>
      </c>
      <c r="D317" s="12" t="s">
        <v>71</v>
      </c>
      <c r="E317" s="13">
        <v>0.99</v>
      </c>
      <c r="F317" s="14"/>
      <c r="G317" s="14"/>
      <c r="H317" s="15"/>
      <c r="I317" s="16"/>
      <c r="J317" s="16"/>
      <c r="K317" s="17"/>
      <c r="L317" s="18"/>
      <c r="M317" s="19"/>
    </row>
    <row r="318" spans="1:13" x14ac:dyDescent="0.2">
      <c r="A318" s="10">
        <v>44539.002118055563</v>
      </c>
      <c r="B318" s="11" t="s">
        <v>32</v>
      </c>
      <c r="C318" s="12">
        <v>5.6008289199999997</v>
      </c>
      <c r="D318" s="12" t="s">
        <v>71</v>
      </c>
      <c r="E318" s="13">
        <v>0.99</v>
      </c>
      <c r="F318" s="14"/>
      <c r="G318" s="14"/>
      <c r="H318" s="15"/>
      <c r="I318" s="16"/>
      <c r="J318" s="16"/>
      <c r="K318" s="17"/>
      <c r="L318" s="18"/>
      <c r="M318" s="19"/>
    </row>
    <row r="319" spans="1:13" x14ac:dyDescent="0.2">
      <c r="A319" s="10">
        <v>44538.980949074074</v>
      </c>
      <c r="B319" s="11" t="s">
        <v>40</v>
      </c>
      <c r="C319" s="12"/>
      <c r="D319" s="12" t="s">
        <v>33</v>
      </c>
      <c r="E319" s="13"/>
      <c r="F319" s="14">
        <v>1.9819999999999999E-4</v>
      </c>
      <c r="G319" s="14" t="s">
        <v>42</v>
      </c>
      <c r="H319" s="15">
        <v>10.14</v>
      </c>
      <c r="I319" s="16">
        <v>3.27E-6</v>
      </c>
      <c r="J319" s="16" t="s">
        <v>42</v>
      </c>
      <c r="K319" s="17">
        <v>0.17</v>
      </c>
      <c r="L319" s="18">
        <v>-0.14000000000000001</v>
      </c>
      <c r="M319" s="19">
        <v>0</v>
      </c>
    </row>
    <row r="320" spans="1:13" x14ac:dyDescent="0.2">
      <c r="A320" s="10">
        <v>44538.973194444443</v>
      </c>
      <c r="B320" s="11" t="s">
        <v>37</v>
      </c>
      <c r="C320" s="12">
        <v>537.13095873999998</v>
      </c>
      <c r="D320" s="12" t="s">
        <v>69</v>
      </c>
      <c r="E320" s="13">
        <v>9.7899999999999991</v>
      </c>
      <c r="F320" s="14">
        <v>1.9799999999999999E-4</v>
      </c>
      <c r="G320" s="14" t="s">
        <v>42</v>
      </c>
      <c r="H320" s="15">
        <v>10.130000000000001</v>
      </c>
      <c r="I320" s="16"/>
      <c r="J320" s="16"/>
      <c r="K320" s="17"/>
      <c r="L320" s="18">
        <v>-0.34</v>
      </c>
      <c r="M320" s="19"/>
    </row>
    <row r="321" spans="1:13" x14ac:dyDescent="0.2">
      <c r="A321" s="10">
        <v>44535.816423611112</v>
      </c>
      <c r="B321" s="11" t="s">
        <v>37</v>
      </c>
      <c r="C321" s="12">
        <v>5.2260519999999998E-2</v>
      </c>
      <c r="D321" s="12" t="s">
        <v>35</v>
      </c>
      <c r="E321" s="13">
        <v>9.7799999999999994</v>
      </c>
      <c r="F321" s="14">
        <v>2.0599999999999999E-4</v>
      </c>
      <c r="G321" s="14" t="s">
        <v>42</v>
      </c>
      <c r="H321" s="15">
        <v>10.54</v>
      </c>
      <c r="I321" s="16"/>
      <c r="J321" s="16"/>
      <c r="K321" s="17"/>
      <c r="L321" s="18">
        <v>-0.76</v>
      </c>
      <c r="M321" s="19"/>
    </row>
    <row r="322" spans="1:13" x14ac:dyDescent="0.2">
      <c r="A322" s="10">
        <v>44535.142013888893</v>
      </c>
      <c r="B322" s="11" t="s">
        <v>37</v>
      </c>
      <c r="C322" s="12">
        <v>7.0809999999999996E-3</v>
      </c>
      <c r="D322" s="12" t="s">
        <v>41</v>
      </c>
      <c r="E322" s="13">
        <v>29.46</v>
      </c>
      <c r="F322" s="14">
        <v>6.0800000000000003E-4</v>
      </c>
      <c r="G322" s="14" t="s">
        <v>42</v>
      </c>
      <c r="H322" s="15">
        <v>32.28</v>
      </c>
      <c r="I322" s="16"/>
      <c r="J322" s="16"/>
      <c r="K322" s="17"/>
      <c r="L322" s="18">
        <v>-2.82</v>
      </c>
      <c r="M322" s="19"/>
    </row>
    <row r="323" spans="1:13" x14ac:dyDescent="0.2">
      <c r="A323" s="10">
        <v>44534.986828703702</v>
      </c>
      <c r="B323" s="11" t="s">
        <v>37</v>
      </c>
      <c r="C323" s="12">
        <v>5.9500000000000003E-5</v>
      </c>
      <c r="D323" s="12" t="s">
        <v>42</v>
      </c>
      <c r="E323" s="13">
        <v>2.99</v>
      </c>
      <c r="F323" s="14">
        <v>56.653711680000001</v>
      </c>
      <c r="G323" s="14" t="s">
        <v>65</v>
      </c>
      <c r="H323" s="15">
        <v>3</v>
      </c>
      <c r="I323" s="16"/>
      <c r="J323" s="16"/>
      <c r="K323" s="17"/>
      <c r="L323" s="18">
        <v>-0.01</v>
      </c>
      <c r="M323" s="19"/>
    </row>
    <row r="324" spans="1:13" x14ac:dyDescent="0.2">
      <c r="A324" s="10">
        <v>44534.985694444447</v>
      </c>
      <c r="B324" s="11" t="s">
        <v>37</v>
      </c>
      <c r="C324" s="12">
        <v>5.948E-5</v>
      </c>
      <c r="D324" s="12" t="s">
        <v>42</v>
      </c>
      <c r="E324" s="13">
        <v>2.99</v>
      </c>
      <c r="F324" s="14">
        <v>4.4508185500000002</v>
      </c>
      <c r="G324" s="14" t="s">
        <v>72</v>
      </c>
      <c r="H324" s="15">
        <v>3</v>
      </c>
      <c r="I324" s="16"/>
      <c r="J324" s="16"/>
      <c r="K324" s="17"/>
      <c r="L324" s="18">
        <v>-0.01</v>
      </c>
      <c r="M324" s="19"/>
    </row>
    <row r="325" spans="1:13" x14ac:dyDescent="0.2">
      <c r="A325" s="10">
        <v>44534.984884259262</v>
      </c>
      <c r="B325" s="11" t="s">
        <v>37</v>
      </c>
      <c r="C325" s="12">
        <v>7.9140000000000005E-5</v>
      </c>
      <c r="D325" s="12" t="s">
        <v>42</v>
      </c>
      <c r="E325" s="13">
        <v>3.97</v>
      </c>
      <c r="F325" s="14">
        <v>5.4322023799999997</v>
      </c>
      <c r="G325" s="14" t="s">
        <v>57</v>
      </c>
      <c r="H325" s="15">
        <v>4</v>
      </c>
      <c r="I325" s="16"/>
      <c r="J325" s="16"/>
      <c r="K325" s="17"/>
      <c r="L325" s="18">
        <v>-0.03</v>
      </c>
      <c r="M325" s="19"/>
    </row>
    <row r="326" spans="1:13" x14ac:dyDescent="0.2">
      <c r="A326" s="10">
        <v>44534.98333333333</v>
      </c>
      <c r="B326" s="11" t="s">
        <v>37</v>
      </c>
      <c r="C326" s="12">
        <v>1.9903E-4</v>
      </c>
      <c r="D326" s="12" t="s">
        <v>42</v>
      </c>
      <c r="E326" s="13">
        <v>9.9499999999999993</v>
      </c>
      <c r="F326" s="14">
        <v>34.119233299999998</v>
      </c>
      <c r="G326" s="14" t="s">
        <v>46</v>
      </c>
      <c r="H326" s="15">
        <v>10</v>
      </c>
      <c r="I326" s="16"/>
      <c r="J326" s="16"/>
      <c r="K326" s="17"/>
      <c r="L326" s="18">
        <v>-0.05</v>
      </c>
      <c r="M326" s="19"/>
    </row>
    <row r="327" spans="1:13" x14ac:dyDescent="0.2">
      <c r="A327" s="10">
        <v>44534.981944444437</v>
      </c>
      <c r="B327" s="11" t="s">
        <v>32</v>
      </c>
      <c r="C327" s="12">
        <v>18.910741300000002</v>
      </c>
      <c r="D327" s="12" t="s">
        <v>65</v>
      </c>
      <c r="E327" s="13">
        <v>1</v>
      </c>
      <c r="F327" s="14"/>
      <c r="G327" s="14"/>
      <c r="H327" s="15"/>
      <c r="I327" s="16"/>
      <c r="J327" s="16"/>
      <c r="K327" s="17"/>
      <c r="L327" s="18"/>
      <c r="M327" s="19"/>
    </row>
    <row r="328" spans="1:13" x14ac:dyDescent="0.2">
      <c r="A328" s="10">
        <v>44534.981840277767</v>
      </c>
      <c r="B328" s="11" t="s">
        <v>32</v>
      </c>
      <c r="C328" s="12">
        <v>18.871485190000001</v>
      </c>
      <c r="D328" s="12" t="s">
        <v>65</v>
      </c>
      <c r="E328" s="13">
        <v>1</v>
      </c>
      <c r="F328" s="14"/>
      <c r="G328" s="14"/>
      <c r="H328" s="15"/>
      <c r="I328" s="16"/>
      <c r="J328" s="16"/>
      <c r="K328" s="17"/>
      <c r="L328" s="18"/>
      <c r="M328" s="19"/>
    </row>
    <row r="329" spans="1:13" x14ac:dyDescent="0.2">
      <c r="A329" s="10">
        <v>44534.981620370367</v>
      </c>
      <c r="B329" s="11" t="s">
        <v>32</v>
      </c>
      <c r="C329" s="12">
        <v>18.871485190000001</v>
      </c>
      <c r="D329" s="12" t="s">
        <v>65</v>
      </c>
      <c r="E329" s="13">
        <v>1</v>
      </c>
      <c r="F329" s="14"/>
      <c r="G329" s="14"/>
      <c r="H329" s="15"/>
      <c r="I329" s="16"/>
      <c r="J329" s="16"/>
      <c r="K329" s="17"/>
      <c r="L329" s="18"/>
      <c r="M329" s="19"/>
    </row>
    <row r="330" spans="1:13" x14ac:dyDescent="0.2">
      <c r="A330" s="10">
        <v>44534.980543981481</v>
      </c>
      <c r="B330" s="11" t="s">
        <v>32</v>
      </c>
      <c r="C330" s="12">
        <v>1.35869565</v>
      </c>
      <c r="D330" s="12" t="s">
        <v>57</v>
      </c>
      <c r="E330" s="13">
        <v>1</v>
      </c>
      <c r="F330" s="14"/>
      <c r="G330" s="14"/>
      <c r="H330" s="15"/>
      <c r="I330" s="16"/>
      <c r="J330" s="16"/>
      <c r="K330" s="17"/>
      <c r="L330" s="18"/>
      <c r="M330" s="19"/>
    </row>
    <row r="331" spans="1:13" x14ac:dyDescent="0.2">
      <c r="A331" s="10">
        <v>44534.980370370373</v>
      </c>
      <c r="B331" s="11" t="s">
        <v>32</v>
      </c>
      <c r="C331" s="12">
        <v>1.35869565</v>
      </c>
      <c r="D331" s="12" t="s">
        <v>57</v>
      </c>
      <c r="E331" s="13">
        <v>1</v>
      </c>
      <c r="F331" s="14"/>
      <c r="G331" s="14"/>
      <c r="H331" s="15"/>
      <c r="I331" s="16"/>
      <c r="J331" s="16"/>
      <c r="K331" s="17"/>
      <c r="L331" s="18"/>
      <c r="M331" s="19"/>
    </row>
    <row r="332" spans="1:13" x14ac:dyDescent="0.2">
      <c r="A332" s="10">
        <v>44534.979143518518</v>
      </c>
      <c r="B332" s="11" t="s">
        <v>32</v>
      </c>
      <c r="C332" s="12">
        <v>1.35630001</v>
      </c>
      <c r="D332" s="12" t="s">
        <v>57</v>
      </c>
      <c r="E332" s="13">
        <v>1</v>
      </c>
      <c r="F332" s="14"/>
      <c r="G332" s="14"/>
      <c r="H332" s="15"/>
      <c r="I332" s="16"/>
      <c r="J332" s="16"/>
      <c r="K332" s="17"/>
      <c r="L332" s="18"/>
      <c r="M332" s="19"/>
    </row>
    <row r="333" spans="1:13" x14ac:dyDescent="0.2">
      <c r="A333" s="10">
        <v>44534.978692129633</v>
      </c>
      <c r="B333" s="11" t="s">
        <v>32</v>
      </c>
      <c r="C333" s="12">
        <v>1.35851107</v>
      </c>
      <c r="D333" s="12" t="s">
        <v>57</v>
      </c>
      <c r="E333" s="13">
        <v>1</v>
      </c>
      <c r="F333" s="14"/>
      <c r="G333" s="14"/>
      <c r="H333" s="15"/>
      <c r="I333" s="16"/>
      <c r="J333" s="16"/>
      <c r="K333" s="17"/>
      <c r="L333" s="18"/>
      <c r="M333" s="19"/>
    </row>
    <row r="334" spans="1:13" x14ac:dyDescent="0.2">
      <c r="A334" s="10">
        <v>44534.978148148148</v>
      </c>
      <c r="B334" s="11" t="s">
        <v>32</v>
      </c>
      <c r="C334" s="12">
        <v>1.4838996900000001</v>
      </c>
      <c r="D334" s="12" t="s">
        <v>72</v>
      </c>
      <c r="E334" s="13">
        <v>1</v>
      </c>
      <c r="F334" s="14"/>
      <c r="G334" s="14"/>
      <c r="H334" s="15"/>
      <c r="I334" s="16"/>
      <c r="J334" s="16"/>
      <c r="K334" s="17"/>
      <c r="L334" s="18"/>
      <c r="M334" s="19"/>
    </row>
    <row r="335" spans="1:13" x14ac:dyDescent="0.2">
      <c r="A335" s="10">
        <v>44534.977453703701</v>
      </c>
      <c r="B335" s="11" t="s">
        <v>32</v>
      </c>
      <c r="C335" s="12">
        <v>1.4834594299999999</v>
      </c>
      <c r="D335" s="12" t="s">
        <v>72</v>
      </c>
      <c r="E335" s="13">
        <v>1</v>
      </c>
      <c r="F335" s="14"/>
      <c r="G335" s="14"/>
      <c r="H335" s="15"/>
      <c r="I335" s="16"/>
      <c r="J335" s="16"/>
      <c r="K335" s="17"/>
      <c r="L335" s="18"/>
      <c r="M335" s="19"/>
    </row>
    <row r="336" spans="1:13" x14ac:dyDescent="0.2">
      <c r="A336" s="10">
        <v>44534.976979166669</v>
      </c>
      <c r="B336" s="11" t="s">
        <v>32</v>
      </c>
      <c r="C336" s="12">
        <v>1.4834594299999999</v>
      </c>
      <c r="D336" s="12" t="s">
        <v>72</v>
      </c>
      <c r="E336" s="13">
        <v>1</v>
      </c>
      <c r="F336" s="14"/>
      <c r="G336" s="14"/>
      <c r="H336" s="15"/>
      <c r="I336" s="16"/>
      <c r="J336" s="16"/>
      <c r="K336" s="17"/>
      <c r="L336" s="18"/>
      <c r="M336" s="19"/>
    </row>
    <row r="337" spans="1:13" x14ac:dyDescent="0.2">
      <c r="A337" s="10">
        <v>44534.975821759261</v>
      </c>
      <c r="B337" s="11" t="s">
        <v>32</v>
      </c>
      <c r="C337" s="12">
        <v>6.8210031999999998</v>
      </c>
      <c r="D337" s="12" t="s">
        <v>46</v>
      </c>
      <c r="E337" s="13">
        <v>2</v>
      </c>
      <c r="F337" s="14"/>
      <c r="G337" s="14"/>
      <c r="H337" s="15"/>
      <c r="I337" s="16"/>
      <c r="J337" s="16"/>
      <c r="K337" s="17"/>
      <c r="L337" s="18"/>
      <c r="M337" s="19"/>
    </row>
    <row r="338" spans="1:13" x14ac:dyDescent="0.2">
      <c r="A338" s="10">
        <v>44534.973506944443</v>
      </c>
      <c r="B338" s="11" t="s">
        <v>32</v>
      </c>
      <c r="C338" s="12">
        <v>6.8223992999999998</v>
      </c>
      <c r="D338" s="12" t="s">
        <v>46</v>
      </c>
      <c r="E338" s="13">
        <v>2</v>
      </c>
      <c r="F338" s="14"/>
      <c r="G338" s="14"/>
      <c r="H338" s="15"/>
      <c r="I338" s="16"/>
      <c r="J338" s="16"/>
      <c r="K338" s="17"/>
      <c r="L338" s="18"/>
      <c r="M338" s="19"/>
    </row>
    <row r="339" spans="1:13" x14ac:dyDescent="0.2">
      <c r="A339" s="10">
        <v>44534.971331018518</v>
      </c>
      <c r="B339" s="11" t="s">
        <v>32</v>
      </c>
      <c r="C339" s="12">
        <v>6.8175156000000001</v>
      </c>
      <c r="D339" s="12" t="s">
        <v>46</v>
      </c>
      <c r="E339" s="13">
        <v>2</v>
      </c>
      <c r="F339" s="14"/>
      <c r="G339" s="14"/>
      <c r="H339" s="15"/>
      <c r="I339" s="16"/>
      <c r="J339" s="16"/>
      <c r="K339" s="17"/>
      <c r="L339" s="18"/>
      <c r="M339" s="19"/>
    </row>
    <row r="340" spans="1:13" x14ac:dyDescent="0.2">
      <c r="A340" s="10">
        <v>44534.969849537039</v>
      </c>
      <c r="B340" s="11" t="s">
        <v>32</v>
      </c>
      <c r="C340" s="12">
        <v>6.8333000000000001E-4</v>
      </c>
      <c r="D340" s="12" t="s">
        <v>42</v>
      </c>
      <c r="E340" s="13">
        <v>33.65</v>
      </c>
      <c r="F340" s="14"/>
      <c r="G340" s="14"/>
      <c r="H340" s="15"/>
      <c r="I340" s="16"/>
      <c r="J340" s="16"/>
      <c r="K340" s="17"/>
      <c r="L340" s="18"/>
      <c r="M340" s="19"/>
    </row>
    <row r="341" spans="1:13" x14ac:dyDescent="0.2">
      <c r="A341" s="10">
        <v>44534.96979166667</v>
      </c>
      <c r="B341" s="11" t="s">
        <v>32</v>
      </c>
      <c r="C341" s="12">
        <v>6.8249601999999996</v>
      </c>
      <c r="D341" s="12" t="s">
        <v>46</v>
      </c>
      <c r="E341" s="13">
        <v>2</v>
      </c>
      <c r="F341" s="14"/>
      <c r="G341" s="14"/>
      <c r="H341" s="15"/>
      <c r="I341" s="16"/>
      <c r="J341" s="16"/>
      <c r="K341" s="17"/>
      <c r="L341" s="18"/>
      <c r="M341" s="19"/>
    </row>
    <row r="342" spans="1:13" x14ac:dyDescent="0.2">
      <c r="A342" s="10">
        <v>44534.967650462961</v>
      </c>
      <c r="B342" s="11" t="s">
        <v>32</v>
      </c>
      <c r="C342" s="12">
        <v>6.8333550000000001</v>
      </c>
      <c r="D342" s="12" t="s">
        <v>46</v>
      </c>
      <c r="E342" s="13">
        <v>2</v>
      </c>
      <c r="F342" s="14"/>
      <c r="G342" s="14"/>
      <c r="H342" s="15"/>
      <c r="I342" s="16"/>
      <c r="J342" s="16"/>
      <c r="K342" s="17"/>
      <c r="L342" s="18"/>
      <c r="M342" s="19"/>
    </row>
    <row r="343" spans="1:13" x14ac:dyDescent="0.2">
      <c r="A343" s="10">
        <v>44534.897731481477</v>
      </c>
      <c r="B343" s="11" t="s">
        <v>32</v>
      </c>
      <c r="C343" s="12">
        <v>2.19871E-3</v>
      </c>
      <c r="D343" s="12" t="s">
        <v>41</v>
      </c>
      <c r="E343" s="13">
        <v>6.41</v>
      </c>
      <c r="F343" s="14">
        <v>9.01</v>
      </c>
      <c r="G343" s="14" t="s">
        <v>33</v>
      </c>
      <c r="H343" s="15"/>
      <c r="I343" s="16">
        <v>0.99</v>
      </c>
      <c r="J343" s="16" t="s">
        <v>33</v>
      </c>
      <c r="K343" s="17">
        <v>0.99</v>
      </c>
      <c r="L343" s="18"/>
      <c r="M343" s="19"/>
    </row>
    <row r="344" spans="1:13" x14ac:dyDescent="0.2">
      <c r="A344" s="10">
        <v>44534.896886574083</v>
      </c>
      <c r="B344" s="11" t="s">
        <v>32</v>
      </c>
      <c r="C344" s="12">
        <v>1.4659899999999999E-3</v>
      </c>
      <c r="D344" s="12" t="s">
        <v>42</v>
      </c>
      <c r="E344" s="13">
        <v>72.010000000000005</v>
      </c>
      <c r="F344" s="14">
        <v>72.010000000000005</v>
      </c>
      <c r="G344" s="14" t="s">
        <v>33</v>
      </c>
      <c r="H344" s="15"/>
      <c r="I344" s="16">
        <v>2.99</v>
      </c>
      <c r="J344" s="16" t="s">
        <v>33</v>
      </c>
      <c r="K344" s="17">
        <v>2.99</v>
      </c>
      <c r="L344" s="18"/>
      <c r="M344" s="19"/>
    </row>
    <row r="345" spans="1:13" x14ac:dyDescent="0.2">
      <c r="A345" s="10">
        <v>44530.81994212963</v>
      </c>
      <c r="B345" s="11" t="s">
        <v>37</v>
      </c>
      <c r="C345" s="12">
        <v>6.5289999999999993E-5</v>
      </c>
      <c r="D345" s="12" t="s">
        <v>42</v>
      </c>
      <c r="E345" s="13">
        <v>3.86</v>
      </c>
      <c r="F345" s="14">
        <v>25.615779329999999</v>
      </c>
      <c r="G345" s="14" t="s">
        <v>73</v>
      </c>
      <c r="H345" s="15">
        <v>4</v>
      </c>
      <c r="I345" s="16"/>
      <c r="J345" s="16"/>
      <c r="K345" s="17"/>
      <c r="L345" s="18">
        <v>-0.14000000000000001</v>
      </c>
      <c r="M345" s="19"/>
    </row>
    <row r="346" spans="1:13" x14ac:dyDescent="0.2">
      <c r="A346" s="10">
        <v>44530.819386574083</v>
      </c>
      <c r="B346" s="11" t="s">
        <v>37</v>
      </c>
      <c r="C346" s="12">
        <v>8.2349999999999996E-5</v>
      </c>
      <c r="D346" s="12" t="s">
        <v>42</v>
      </c>
      <c r="E346" s="13">
        <v>4.88</v>
      </c>
      <c r="F346" s="14">
        <v>4.3668122199999999</v>
      </c>
      <c r="G346" s="14" t="s">
        <v>74</v>
      </c>
      <c r="H346" s="15">
        <v>5</v>
      </c>
      <c r="I346" s="16"/>
      <c r="J346" s="16"/>
      <c r="K346" s="17"/>
      <c r="L346" s="18">
        <v>-0.13</v>
      </c>
      <c r="M346" s="19"/>
    </row>
    <row r="347" spans="1:13" x14ac:dyDescent="0.2">
      <c r="A347" s="10">
        <v>44530.036087962973</v>
      </c>
      <c r="B347" s="11" t="s">
        <v>32</v>
      </c>
      <c r="C347" s="12">
        <v>6.4036885200000002</v>
      </c>
      <c r="D347" s="12" t="s">
        <v>73</v>
      </c>
      <c r="E347" s="13">
        <v>1</v>
      </c>
      <c r="F347" s="14"/>
      <c r="G347" s="14"/>
      <c r="H347" s="15"/>
      <c r="I347" s="16"/>
      <c r="J347" s="16"/>
      <c r="K347" s="17"/>
      <c r="L347" s="18"/>
      <c r="M347" s="19"/>
    </row>
    <row r="348" spans="1:13" x14ac:dyDescent="0.2">
      <c r="A348" s="10">
        <v>44530.035891203697</v>
      </c>
      <c r="B348" s="11" t="s">
        <v>32</v>
      </c>
      <c r="C348" s="12">
        <v>6.4040986200000001</v>
      </c>
      <c r="D348" s="12" t="s">
        <v>73</v>
      </c>
      <c r="E348" s="13">
        <v>1</v>
      </c>
      <c r="F348" s="14"/>
      <c r="G348" s="14"/>
      <c r="H348" s="15"/>
      <c r="I348" s="16"/>
      <c r="J348" s="16"/>
      <c r="K348" s="17"/>
      <c r="L348" s="18"/>
      <c r="M348" s="19"/>
    </row>
    <row r="349" spans="1:13" x14ac:dyDescent="0.2">
      <c r="A349" s="10">
        <v>44530.03565972222</v>
      </c>
      <c r="B349" s="11" t="s">
        <v>32</v>
      </c>
      <c r="C349" s="12">
        <v>6.4040986200000001</v>
      </c>
      <c r="D349" s="12" t="s">
        <v>73</v>
      </c>
      <c r="E349" s="13">
        <v>1</v>
      </c>
      <c r="F349" s="14"/>
      <c r="G349" s="14"/>
      <c r="H349" s="15"/>
      <c r="I349" s="16"/>
      <c r="J349" s="16"/>
      <c r="K349" s="17"/>
      <c r="L349" s="18"/>
      <c r="M349" s="19"/>
    </row>
    <row r="350" spans="1:13" x14ac:dyDescent="0.2">
      <c r="A350" s="10">
        <v>44530.035254629627</v>
      </c>
      <c r="B350" s="11" t="s">
        <v>32</v>
      </c>
      <c r="C350" s="12">
        <v>6.4038935600000002</v>
      </c>
      <c r="D350" s="12" t="s">
        <v>73</v>
      </c>
      <c r="E350" s="13">
        <v>1</v>
      </c>
      <c r="F350" s="14"/>
      <c r="G350" s="14"/>
      <c r="H350" s="15"/>
      <c r="I350" s="16"/>
      <c r="J350" s="16"/>
      <c r="K350" s="17"/>
      <c r="L350" s="18"/>
      <c r="M350" s="19"/>
    </row>
    <row r="351" spans="1:13" x14ac:dyDescent="0.2">
      <c r="A351" s="10">
        <v>44530.03434027778</v>
      </c>
      <c r="B351" s="11" t="s">
        <v>32</v>
      </c>
      <c r="C351" s="12">
        <v>0.87336243999999996</v>
      </c>
      <c r="D351" s="12" t="s">
        <v>74</v>
      </c>
      <c r="E351" s="13">
        <v>1</v>
      </c>
      <c r="F351" s="14"/>
      <c r="G351" s="14"/>
      <c r="H351" s="15"/>
      <c r="I351" s="16"/>
      <c r="J351" s="16"/>
      <c r="K351" s="17"/>
      <c r="L351" s="18"/>
      <c r="M351" s="19"/>
    </row>
    <row r="352" spans="1:13" x14ac:dyDescent="0.2">
      <c r="A352" s="10">
        <v>44530.033622685187</v>
      </c>
      <c r="B352" s="11" t="s">
        <v>32</v>
      </c>
      <c r="C352" s="12">
        <v>0.87336243999999996</v>
      </c>
      <c r="D352" s="12" t="s">
        <v>74</v>
      </c>
      <c r="E352" s="13">
        <v>1</v>
      </c>
      <c r="F352" s="14"/>
      <c r="G352" s="14"/>
      <c r="H352" s="15"/>
      <c r="I352" s="16"/>
      <c r="J352" s="16"/>
      <c r="K352" s="17"/>
      <c r="L352" s="18"/>
      <c r="M352" s="19"/>
    </row>
    <row r="353" spans="1:13" x14ac:dyDescent="0.2">
      <c r="A353" s="10">
        <v>44530.032777777778</v>
      </c>
      <c r="B353" s="11" t="s">
        <v>32</v>
      </c>
      <c r="C353" s="12">
        <v>0.87336243999999996</v>
      </c>
      <c r="D353" s="12" t="s">
        <v>74</v>
      </c>
      <c r="E353" s="13">
        <v>1</v>
      </c>
      <c r="F353" s="14"/>
      <c r="G353" s="14"/>
      <c r="H353" s="15"/>
      <c r="I353" s="16"/>
      <c r="J353" s="16"/>
      <c r="K353" s="17"/>
      <c r="L353" s="18"/>
      <c r="M353" s="19"/>
    </row>
    <row r="354" spans="1:13" x14ac:dyDescent="0.2">
      <c r="A354" s="10">
        <v>44530.032430555562</v>
      </c>
      <c r="B354" s="11" t="s">
        <v>32</v>
      </c>
      <c r="C354" s="12">
        <v>0.87336243999999996</v>
      </c>
      <c r="D354" s="12" t="s">
        <v>74</v>
      </c>
      <c r="E354" s="13">
        <v>1</v>
      </c>
      <c r="F354" s="14"/>
      <c r="G354" s="14"/>
      <c r="H354" s="15"/>
      <c r="I354" s="16"/>
      <c r="J354" s="16"/>
      <c r="K354" s="17"/>
      <c r="L354" s="18"/>
      <c r="M354" s="19"/>
    </row>
    <row r="355" spans="1:13" x14ac:dyDescent="0.2">
      <c r="A355" s="20">
        <v>44530.032152777778</v>
      </c>
      <c r="B355" s="11" t="s">
        <v>32</v>
      </c>
      <c r="C355" s="21">
        <v>0.87336243999999996</v>
      </c>
      <c r="D355" s="21" t="s">
        <v>74</v>
      </c>
      <c r="E355" s="22">
        <v>1</v>
      </c>
      <c r="F355" s="23"/>
      <c r="G355" s="23"/>
      <c r="H355" s="24"/>
      <c r="I355" s="25"/>
      <c r="J355" s="25"/>
      <c r="K355" s="26"/>
      <c r="L355" s="27"/>
      <c r="M355" s="28"/>
    </row>
  </sheetData>
  <autoFilter ref="A1:M355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activeCell="D4" sqref="D4"/>
    </sheetView>
  </sheetViews>
  <sheetFormatPr baseColWidth="10" defaultRowHeight="16" x14ac:dyDescent="0.2"/>
  <cols>
    <col min="1" max="1" width="13" style="66" customWidth="1"/>
    <col min="2" max="2" width="10.7109375" style="39" customWidth="1"/>
    <col min="3" max="3" width="19.85546875" style="39" customWidth="1"/>
    <col min="4" max="4" width="20.5703125" style="39" customWidth="1"/>
    <col min="5" max="5" width="28.140625" style="39" customWidth="1"/>
    <col min="6" max="6" width="15.85546875" style="39" customWidth="1"/>
    <col min="7" max="7" width="16" style="39" customWidth="1"/>
    <col min="8" max="8" width="23.28515625" style="39" customWidth="1"/>
    <col min="9" max="9" width="13.28515625" style="39" customWidth="1"/>
    <col min="10" max="10" width="15.140625" style="39" customWidth="1"/>
    <col min="11" max="11" width="22" style="39" customWidth="1"/>
    <col min="12" max="12" width="23.28515625" style="39" customWidth="1"/>
    <col min="13" max="13" width="27.5703125" style="39" customWidth="1"/>
    <col min="14" max="34" width="10.7109375" style="39" customWidth="1"/>
    <col min="35" max="16384" width="10.7109375" style="39"/>
  </cols>
  <sheetData>
    <row r="1" spans="1:13" x14ac:dyDescent="0.2">
      <c r="A1" s="113" t="s">
        <v>16</v>
      </c>
      <c r="B1" s="105"/>
      <c r="C1" s="105"/>
    </row>
    <row r="2" spans="1:13" x14ac:dyDescent="0.2">
      <c r="A2" s="114"/>
      <c r="B2" s="105"/>
      <c r="C2" s="105"/>
    </row>
    <row r="3" spans="1:13" x14ac:dyDescent="0.2">
      <c r="A3" s="114"/>
      <c r="B3" s="105"/>
      <c r="C3" s="105"/>
      <c r="D3" s="39" t="s">
        <v>75</v>
      </c>
    </row>
    <row r="4" spans="1:13" x14ac:dyDescent="0.2">
      <c r="A4" s="114"/>
      <c r="B4" s="105"/>
      <c r="C4" s="105"/>
    </row>
    <row r="6" spans="1:13" s="62" customFormat="1" ht="19" customHeight="1" x14ac:dyDescent="0.2">
      <c r="A6" s="67" t="s">
        <v>18</v>
      </c>
      <c r="B6" s="68" t="s">
        <v>19</v>
      </c>
      <c r="C6" s="69" t="s">
        <v>20</v>
      </c>
      <c r="D6" s="69" t="s">
        <v>21</v>
      </c>
      <c r="E6" s="70" t="s">
        <v>22</v>
      </c>
      <c r="F6" s="71" t="s">
        <v>23</v>
      </c>
      <c r="G6" s="71" t="s">
        <v>24</v>
      </c>
      <c r="H6" s="72" t="s">
        <v>25</v>
      </c>
      <c r="I6" s="73" t="s">
        <v>26</v>
      </c>
      <c r="J6" s="73" t="s">
        <v>27</v>
      </c>
      <c r="K6" s="74" t="s">
        <v>28</v>
      </c>
      <c r="L6" s="75" t="s">
        <v>29</v>
      </c>
      <c r="M6" s="76" t="s">
        <v>30</v>
      </c>
    </row>
    <row r="7" spans="1:13" s="62" customFormat="1" x14ac:dyDescent="0.2">
      <c r="A7" s="77">
        <v>45345.194444444453</v>
      </c>
      <c r="B7" s="62" t="s">
        <v>31</v>
      </c>
      <c r="C7" s="62">
        <v>3616.6573899999999</v>
      </c>
      <c r="D7" s="62" t="s">
        <v>16</v>
      </c>
      <c r="E7" s="62">
        <v>1970.64</v>
      </c>
      <c r="F7" s="62">
        <v>3616.6573899999999</v>
      </c>
      <c r="G7" s="62" t="s">
        <v>16</v>
      </c>
      <c r="H7" s="62">
        <v>1970.64</v>
      </c>
      <c r="I7" s="62">
        <v>0</v>
      </c>
      <c r="J7" s="62">
        <v>0</v>
      </c>
      <c r="K7" s="62">
        <v>0</v>
      </c>
      <c r="L7" s="62">
        <v>0</v>
      </c>
      <c r="M7" s="62">
        <v>0</v>
      </c>
    </row>
    <row r="8" spans="1:13" s="62" customFormat="1" x14ac:dyDescent="0.2">
      <c r="A8" s="77">
        <v>45345.19027777778</v>
      </c>
      <c r="B8" s="62" t="s">
        <v>32</v>
      </c>
      <c r="C8" s="62">
        <v>3616.6573899999999</v>
      </c>
      <c r="D8" s="62" t="s">
        <v>16</v>
      </c>
      <c r="E8" s="62">
        <v>1970.64</v>
      </c>
      <c r="F8" s="62">
        <v>0</v>
      </c>
      <c r="G8" s="62">
        <v>0</v>
      </c>
      <c r="H8" s="62">
        <v>0</v>
      </c>
      <c r="I8" s="62">
        <v>29.36</v>
      </c>
      <c r="J8" s="62" t="s">
        <v>33</v>
      </c>
      <c r="K8" s="62">
        <v>29.36</v>
      </c>
      <c r="L8" s="62">
        <v>0</v>
      </c>
      <c r="M8" s="62">
        <v>0</v>
      </c>
    </row>
    <row r="9" spans="1:13" s="62" customFormat="1" x14ac:dyDescent="0.2">
      <c r="A9" s="77">
        <v>45131.465405092589</v>
      </c>
      <c r="B9" s="62" t="s">
        <v>31</v>
      </c>
      <c r="C9" s="62">
        <v>1418.7446259999999</v>
      </c>
      <c r="D9" s="62" t="s">
        <v>16</v>
      </c>
      <c r="E9" s="62">
        <v>0</v>
      </c>
      <c r="F9" s="62">
        <v>1418.7446259999999</v>
      </c>
      <c r="G9" s="62" t="s">
        <v>16</v>
      </c>
      <c r="H9" s="62">
        <v>0</v>
      </c>
      <c r="I9" s="62">
        <v>0</v>
      </c>
      <c r="J9" s="62">
        <v>0</v>
      </c>
      <c r="K9" s="62">
        <v>0</v>
      </c>
      <c r="L9" s="62">
        <v>0</v>
      </c>
      <c r="M9" s="62">
        <v>0</v>
      </c>
    </row>
    <row r="10" spans="1:13" s="62" customFormat="1" x14ac:dyDescent="0.2">
      <c r="A10" s="77">
        <v>45131.44159722222</v>
      </c>
      <c r="B10" s="62" t="s">
        <v>32</v>
      </c>
      <c r="C10" s="62">
        <v>1418.7446259999999</v>
      </c>
      <c r="D10" s="62" t="s">
        <v>16</v>
      </c>
      <c r="E10" s="62">
        <v>1000</v>
      </c>
      <c r="F10" s="62">
        <v>1000</v>
      </c>
      <c r="G10" s="62" t="s">
        <v>33</v>
      </c>
      <c r="H10" s="62">
        <v>0</v>
      </c>
      <c r="I10" s="62">
        <v>0</v>
      </c>
      <c r="J10" s="62">
        <v>0</v>
      </c>
      <c r="K10" s="62">
        <v>0</v>
      </c>
      <c r="L10" s="62">
        <v>0</v>
      </c>
      <c r="M10" s="62">
        <v>0</v>
      </c>
    </row>
    <row r="11" spans="1:13" s="62" customFormat="1" x14ac:dyDescent="0.2">
      <c r="A11" s="77">
        <v>45124.809259259258</v>
      </c>
      <c r="B11" s="62" t="s">
        <v>31</v>
      </c>
      <c r="C11" s="62">
        <v>922.76831300000003</v>
      </c>
      <c r="D11" s="62" t="s">
        <v>16</v>
      </c>
      <c r="E11" s="62">
        <v>0</v>
      </c>
      <c r="F11" s="62">
        <v>922.76831300000003</v>
      </c>
      <c r="G11" s="62" t="s">
        <v>16</v>
      </c>
      <c r="H11" s="62">
        <v>0</v>
      </c>
      <c r="I11" s="62">
        <v>0</v>
      </c>
      <c r="J11" s="62">
        <v>0</v>
      </c>
      <c r="K11" s="62">
        <v>0</v>
      </c>
      <c r="L11" s="62">
        <v>0</v>
      </c>
      <c r="M11" s="62">
        <v>0</v>
      </c>
    </row>
    <row r="12" spans="1:13" s="62" customFormat="1" x14ac:dyDescent="0.2">
      <c r="A12" s="77">
        <v>45124.807025462957</v>
      </c>
      <c r="B12" s="62" t="s">
        <v>37</v>
      </c>
      <c r="C12" s="62">
        <v>922.76831300000003</v>
      </c>
      <c r="D12" s="62" t="s">
        <v>16</v>
      </c>
      <c r="E12" s="62">
        <v>674.82</v>
      </c>
      <c r="F12" s="62">
        <v>2236.4582850000002</v>
      </c>
      <c r="G12" s="62" t="s">
        <v>36</v>
      </c>
      <c r="H12" s="62">
        <v>784.86</v>
      </c>
      <c r="I12" s="62">
        <v>0</v>
      </c>
      <c r="J12" s="62">
        <v>0</v>
      </c>
      <c r="K12" s="62">
        <v>0</v>
      </c>
      <c r="L12" s="62">
        <v>-110.04</v>
      </c>
      <c r="M12" s="62">
        <v>0</v>
      </c>
    </row>
    <row r="13" spans="1:13" s="62" customFormat="1" x14ac:dyDescent="0.2">
      <c r="A13" s="77">
        <v>45124.783113425918</v>
      </c>
      <c r="B13" s="62" t="s">
        <v>31</v>
      </c>
      <c r="C13" s="62">
        <v>919.04330900000002</v>
      </c>
      <c r="D13" s="62" t="s">
        <v>16</v>
      </c>
      <c r="E13" s="62">
        <v>0</v>
      </c>
      <c r="F13" s="62">
        <v>919.04330900000002</v>
      </c>
      <c r="G13" s="62" t="s">
        <v>16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</row>
    <row r="14" spans="1:13" s="62" customFormat="1" x14ac:dyDescent="0.2">
      <c r="A14" s="77">
        <v>45124.777662037042</v>
      </c>
      <c r="B14" s="62" t="s">
        <v>31</v>
      </c>
      <c r="C14" s="62">
        <v>22</v>
      </c>
      <c r="D14" s="62" t="s">
        <v>16</v>
      </c>
      <c r="E14" s="62">
        <v>0</v>
      </c>
      <c r="F14" s="62">
        <v>22</v>
      </c>
      <c r="G14" s="62" t="s">
        <v>16</v>
      </c>
      <c r="H14" s="62">
        <v>0</v>
      </c>
      <c r="I14" s="62">
        <v>0</v>
      </c>
      <c r="J14" s="62">
        <v>0</v>
      </c>
      <c r="K14" s="62">
        <v>0</v>
      </c>
      <c r="L14" s="62">
        <v>0</v>
      </c>
      <c r="M14" s="62">
        <v>0</v>
      </c>
    </row>
    <row r="15" spans="1:13" s="62" customFormat="1" x14ac:dyDescent="0.2">
      <c r="A15" s="77">
        <v>45124.775393518517</v>
      </c>
      <c r="B15" s="62" t="s">
        <v>37</v>
      </c>
      <c r="C15" s="62">
        <v>941.04330900000002</v>
      </c>
      <c r="D15" s="62" t="s">
        <v>16</v>
      </c>
      <c r="E15" s="62">
        <v>681.5</v>
      </c>
      <c r="F15" s="62">
        <v>75.606707</v>
      </c>
      <c r="G15" s="62" t="s">
        <v>34</v>
      </c>
      <c r="H15" s="62">
        <v>746.63</v>
      </c>
      <c r="I15" s="62">
        <v>0</v>
      </c>
      <c r="J15" s="62">
        <v>0</v>
      </c>
      <c r="K15" s="62">
        <v>0</v>
      </c>
      <c r="L15" s="62">
        <v>-65.13</v>
      </c>
      <c r="M15" s="62">
        <v>0</v>
      </c>
    </row>
    <row r="16" spans="1:13" s="62" customFormat="1" x14ac:dyDescent="0.2">
      <c r="A16" s="77">
        <v>45124.756597222222</v>
      </c>
      <c r="B16" s="62" t="s">
        <v>32</v>
      </c>
      <c r="C16" s="62">
        <v>971.85601499999996</v>
      </c>
      <c r="D16" s="62" t="s">
        <v>16</v>
      </c>
      <c r="E16" s="62">
        <v>725.94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2">
        <v>0</v>
      </c>
      <c r="M16" s="62">
        <v>0</v>
      </c>
    </row>
    <row r="17" spans="1:13" s="62" customFormat="1" x14ac:dyDescent="0.2">
      <c r="A17" s="77">
        <v>45097.803483796299</v>
      </c>
      <c r="B17" s="62" t="s">
        <v>31</v>
      </c>
      <c r="C17" s="62">
        <v>44.590986000000001</v>
      </c>
      <c r="D17" s="62" t="s">
        <v>16</v>
      </c>
      <c r="E17" s="62">
        <v>0</v>
      </c>
      <c r="F17" s="62">
        <v>44.590986000000001</v>
      </c>
      <c r="G17" s="62" t="s">
        <v>16</v>
      </c>
      <c r="H17" s="62">
        <v>0</v>
      </c>
      <c r="I17" s="62">
        <v>2.0316010000000002</v>
      </c>
      <c r="J17" s="62" t="s">
        <v>16</v>
      </c>
      <c r="K17" s="62">
        <v>0.87</v>
      </c>
      <c r="L17" s="62">
        <v>0</v>
      </c>
      <c r="M17" s="62">
        <v>0.13</v>
      </c>
    </row>
    <row r="18" spans="1:13" s="62" customFormat="1" x14ac:dyDescent="0.2">
      <c r="A18" s="77">
        <v>45058.196527777778</v>
      </c>
      <c r="B18" s="62" t="s">
        <v>32</v>
      </c>
      <c r="C18" s="62">
        <v>46.622587000000003</v>
      </c>
      <c r="D18" s="62" t="s">
        <v>16</v>
      </c>
      <c r="E18" s="62">
        <v>20</v>
      </c>
      <c r="F18" s="62">
        <v>20</v>
      </c>
      <c r="G18" s="62" t="s">
        <v>33</v>
      </c>
      <c r="H18" s="62">
        <v>0</v>
      </c>
      <c r="I18" s="62">
        <v>0</v>
      </c>
      <c r="J18" s="62">
        <v>0</v>
      </c>
      <c r="K18" s="62">
        <v>0</v>
      </c>
      <c r="L18" s="62">
        <v>0</v>
      </c>
      <c r="M18" s="62">
        <v>0</v>
      </c>
    </row>
    <row r="19" spans="1:13" s="62" customFormat="1" x14ac:dyDescent="0.2">
      <c r="A19" s="77">
        <v>45054.774907407409</v>
      </c>
      <c r="B19" s="62" t="s">
        <v>32</v>
      </c>
      <c r="C19" s="62">
        <v>113.28700000000001</v>
      </c>
      <c r="D19" s="62" t="s">
        <v>16</v>
      </c>
      <c r="E19" s="62">
        <v>51.02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</row>
    <row r="20" spans="1:13" s="62" customFormat="1" x14ac:dyDescent="0.2">
      <c r="A20" s="77">
        <v>45021.780960648153</v>
      </c>
      <c r="B20" s="62" t="s">
        <v>40</v>
      </c>
      <c r="C20" s="62">
        <v>108.45</v>
      </c>
      <c r="D20" s="62" t="s">
        <v>33</v>
      </c>
      <c r="E20" s="62">
        <v>0</v>
      </c>
      <c r="F20" s="62">
        <v>218.05908600000001</v>
      </c>
      <c r="G20" s="62" t="s">
        <v>16</v>
      </c>
      <c r="H20" s="62">
        <v>95.33</v>
      </c>
      <c r="I20" s="62">
        <v>1.949411</v>
      </c>
      <c r="J20" s="62" t="s">
        <v>16</v>
      </c>
      <c r="K20" s="62">
        <v>0.85</v>
      </c>
      <c r="L20" s="62">
        <v>12.15</v>
      </c>
      <c r="M20" s="62">
        <v>0.12</v>
      </c>
    </row>
    <row r="21" spans="1:13" s="62" customFormat="1" x14ac:dyDescent="0.2">
      <c r="A21" s="77">
        <v>45014.769108796303</v>
      </c>
      <c r="B21" s="62" t="s">
        <v>31</v>
      </c>
      <c r="C21" s="62">
        <v>2178.4989999999998</v>
      </c>
      <c r="D21" s="62" t="s">
        <v>16</v>
      </c>
      <c r="E21" s="62">
        <v>0</v>
      </c>
      <c r="F21" s="62">
        <v>2178.4989999999998</v>
      </c>
      <c r="G21" s="62" t="s">
        <v>16</v>
      </c>
      <c r="H21" s="62">
        <v>0</v>
      </c>
      <c r="I21" s="62">
        <v>1E-3</v>
      </c>
      <c r="J21" s="62" t="s">
        <v>16</v>
      </c>
      <c r="K21" s="62">
        <v>0</v>
      </c>
      <c r="L21" s="62">
        <v>0</v>
      </c>
      <c r="M21" s="62">
        <v>0</v>
      </c>
    </row>
    <row r="22" spans="1:13" s="62" customFormat="1" x14ac:dyDescent="0.2">
      <c r="A22" s="77">
        <v>45013.15766203704</v>
      </c>
      <c r="B22" s="62" t="s">
        <v>31</v>
      </c>
      <c r="C22" s="62">
        <v>2065.9989999999998</v>
      </c>
      <c r="D22" s="62" t="s">
        <v>16</v>
      </c>
      <c r="E22" s="62">
        <v>0</v>
      </c>
      <c r="F22" s="62">
        <v>2065.9989999999998</v>
      </c>
      <c r="G22" s="62" t="s">
        <v>16</v>
      </c>
      <c r="H22" s="62">
        <v>0</v>
      </c>
      <c r="I22" s="62">
        <v>1E-3</v>
      </c>
      <c r="J22" s="62" t="s">
        <v>16</v>
      </c>
      <c r="K22" s="62">
        <v>0</v>
      </c>
      <c r="L22" s="62">
        <v>0</v>
      </c>
      <c r="M22" s="62">
        <v>0</v>
      </c>
    </row>
    <row r="23" spans="1:13" s="62" customFormat="1" x14ac:dyDescent="0.2">
      <c r="A23" s="77">
        <v>45013.153425925928</v>
      </c>
      <c r="B23" s="62" t="s">
        <v>37</v>
      </c>
      <c r="C23" s="62">
        <v>2066.6995160000001</v>
      </c>
      <c r="D23" s="62" t="s">
        <v>16</v>
      </c>
      <c r="E23" s="62">
        <v>992.3</v>
      </c>
      <c r="F23" s="62">
        <v>1000.12</v>
      </c>
      <c r="G23" s="62" t="s">
        <v>38</v>
      </c>
      <c r="H23" s="62">
        <v>1000.12</v>
      </c>
      <c r="I23" s="62">
        <v>0</v>
      </c>
      <c r="J23" s="62">
        <v>0</v>
      </c>
      <c r="K23" s="62">
        <v>0</v>
      </c>
      <c r="L23" s="62">
        <v>-7.95</v>
      </c>
      <c r="M23" s="62">
        <v>0</v>
      </c>
    </row>
    <row r="24" spans="1:13" s="62" customFormat="1" x14ac:dyDescent="0.2">
      <c r="A24" s="77">
        <v>45012.126516203702</v>
      </c>
      <c r="B24" s="62" t="s">
        <v>37</v>
      </c>
      <c r="C24" s="62">
        <v>805.48410699999999</v>
      </c>
      <c r="D24" s="62" t="s">
        <v>16</v>
      </c>
      <c r="E24" s="62">
        <v>361.53</v>
      </c>
      <c r="F24" s="62">
        <v>10581.61742294</v>
      </c>
      <c r="G24" s="62" t="s">
        <v>44</v>
      </c>
      <c r="H24" s="62">
        <v>400</v>
      </c>
      <c r="I24" s="62">
        <v>0</v>
      </c>
      <c r="J24" s="62">
        <v>0</v>
      </c>
      <c r="K24" s="62">
        <v>0</v>
      </c>
      <c r="L24" s="62">
        <v>-38.47</v>
      </c>
      <c r="M24" s="62">
        <v>0</v>
      </c>
    </row>
    <row r="25" spans="1:13" s="62" customFormat="1" x14ac:dyDescent="0.2">
      <c r="A25" s="77">
        <v>45010.509675925918</v>
      </c>
      <c r="B25" s="62" t="s">
        <v>32</v>
      </c>
      <c r="C25" s="62">
        <v>219.93842599999999</v>
      </c>
      <c r="D25" s="62" t="s">
        <v>16</v>
      </c>
      <c r="E25" s="62">
        <v>100</v>
      </c>
      <c r="F25" s="62">
        <v>100</v>
      </c>
      <c r="G25" s="62" t="s">
        <v>33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</row>
    <row r="26" spans="1:13" s="62" customFormat="1" x14ac:dyDescent="0.2">
      <c r="A26" s="77">
        <v>45006.656597222223</v>
      </c>
      <c r="B26" s="62" t="s">
        <v>32</v>
      </c>
      <c r="C26" s="62">
        <v>1372.386448</v>
      </c>
      <c r="D26" s="62" t="s">
        <v>16</v>
      </c>
      <c r="E26" s="62">
        <v>600</v>
      </c>
      <c r="F26" s="62">
        <v>600</v>
      </c>
      <c r="G26" s="62" t="s">
        <v>33</v>
      </c>
      <c r="H26" s="62">
        <v>0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</row>
    <row r="27" spans="1:13" s="62" customFormat="1" x14ac:dyDescent="0.2">
      <c r="A27" s="77"/>
    </row>
    <row r="28" spans="1:13" s="62" customFormat="1" x14ac:dyDescent="0.2">
      <c r="A28" s="77"/>
    </row>
    <row r="29" spans="1:13" s="62" customFormat="1" x14ac:dyDescent="0.2">
      <c r="A29" s="77"/>
    </row>
    <row r="30" spans="1:13" s="62" customFormat="1" x14ac:dyDescent="0.2">
      <c r="A30" s="77"/>
    </row>
    <row r="31" spans="1:13" s="62" customFormat="1" x14ac:dyDescent="0.2">
      <c r="A31" s="77"/>
    </row>
    <row r="32" spans="1:13" s="62" customFormat="1" x14ac:dyDescent="0.2">
      <c r="A32" s="77"/>
    </row>
    <row r="33" spans="1:1" s="62" customFormat="1" x14ac:dyDescent="0.2">
      <c r="A33" s="77"/>
    </row>
    <row r="34" spans="1:1" s="62" customFormat="1" x14ac:dyDescent="0.2">
      <c r="A34" s="77"/>
    </row>
    <row r="35" spans="1:1" s="62" customFormat="1" x14ac:dyDescent="0.2">
      <c r="A35" s="77"/>
    </row>
    <row r="36" spans="1:1" s="62" customFormat="1" x14ac:dyDescent="0.2">
      <c r="A36" s="77"/>
    </row>
    <row r="37" spans="1:1" s="62" customFormat="1" x14ac:dyDescent="0.2">
      <c r="A37" s="77"/>
    </row>
    <row r="38" spans="1:1" s="62" customFormat="1" x14ac:dyDescent="0.2">
      <c r="A38" s="77"/>
    </row>
    <row r="39" spans="1:1" s="62" customFormat="1" x14ac:dyDescent="0.2">
      <c r="A39" s="77"/>
    </row>
    <row r="40" spans="1:1" s="62" customFormat="1" x14ac:dyDescent="0.2">
      <c r="A40" s="77"/>
    </row>
    <row r="41" spans="1:1" s="62" customFormat="1" x14ac:dyDescent="0.2">
      <c r="A41" s="77"/>
    </row>
    <row r="42" spans="1:1" s="62" customFormat="1" x14ac:dyDescent="0.2">
      <c r="A42" s="77"/>
    </row>
    <row r="43" spans="1:1" s="62" customFormat="1" x14ac:dyDescent="0.2">
      <c r="A43" s="77"/>
    </row>
    <row r="44" spans="1:1" s="62" customFormat="1" x14ac:dyDescent="0.2">
      <c r="A44" s="77"/>
    </row>
    <row r="45" spans="1:1" s="62" customFormat="1" x14ac:dyDescent="0.2">
      <c r="A45" s="77"/>
    </row>
    <row r="46" spans="1:1" s="62" customFormat="1" x14ac:dyDescent="0.2">
      <c r="A46" s="77"/>
    </row>
    <row r="47" spans="1:1" s="62" customFormat="1" x14ac:dyDescent="0.2">
      <c r="A47" s="77"/>
    </row>
    <row r="48" spans="1:1" s="62" customFormat="1" x14ac:dyDescent="0.2">
      <c r="A48" s="77"/>
    </row>
    <row r="49" spans="1:1" s="62" customFormat="1" x14ac:dyDescent="0.2">
      <c r="A49" s="77"/>
    </row>
    <row r="50" spans="1:1" s="62" customFormat="1" x14ac:dyDescent="0.2">
      <c r="A50" s="77"/>
    </row>
    <row r="51" spans="1:1" s="62" customFormat="1" x14ac:dyDescent="0.2">
      <c r="A51" s="77"/>
    </row>
    <row r="52" spans="1:1" s="62" customFormat="1" x14ac:dyDescent="0.2">
      <c r="A52" s="77"/>
    </row>
    <row r="53" spans="1:1" s="62" customFormat="1" x14ac:dyDescent="0.2">
      <c r="A53" s="77"/>
    </row>
    <row r="54" spans="1:1" s="62" customFormat="1" x14ac:dyDescent="0.2">
      <c r="A54" s="77"/>
    </row>
    <row r="55" spans="1:1" s="62" customFormat="1" x14ac:dyDescent="0.2">
      <c r="A55" s="77"/>
    </row>
    <row r="56" spans="1:1" s="62" customFormat="1" x14ac:dyDescent="0.2">
      <c r="A56" s="77"/>
    </row>
    <row r="57" spans="1:1" s="62" customFormat="1" x14ac:dyDescent="0.2">
      <c r="A57" s="77"/>
    </row>
    <row r="58" spans="1:1" s="62" customFormat="1" x14ac:dyDescent="0.2">
      <c r="A58" s="77"/>
    </row>
    <row r="59" spans="1:1" s="62" customFormat="1" x14ac:dyDescent="0.2">
      <c r="A59" s="77"/>
    </row>
    <row r="60" spans="1:1" s="62" customFormat="1" x14ac:dyDescent="0.2">
      <c r="A60" s="77"/>
    </row>
    <row r="61" spans="1:1" s="62" customFormat="1" x14ac:dyDescent="0.2">
      <c r="A61" s="77"/>
    </row>
    <row r="62" spans="1:1" s="62" customFormat="1" x14ac:dyDescent="0.2">
      <c r="A62" s="77"/>
    </row>
    <row r="63" spans="1:1" s="62" customFormat="1" x14ac:dyDescent="0.2">
      <c r="A63" s="77"/>
    </row>
    <row r="64" spans="1:1" s="62" customFormat="1" x14ac:dyDescent="0.2">
      <c r="A64" s="77"/>
    </row>
    <row r="65" spans="1:1" s="62" customFormat="1" x14ac:dyDescent="0.2">
      <c r="A65" s="77"/>
    </row>
    <row r="66" spans="1:1" s="62" customFormat="1" x14ac:dyDescent="0.2">
      <c r="A66" s="77"/>
    </row>
    <row r="67" spans="1:1" s="62" customFormat="1" x14ac:dyDescent="0.2">
      <c r="A67" s="77"/>
    </row>
    <row r="68" spans="1:1" s="62" customFormat="1" x14ac:dyDescent="0.2">
      <c r="A68" s="77"/>
    </row>
    <row r="69" spans="1:1" s="62" customFormat="1" x14ac:dyDescent="0.2">
      <c r="A69" s="77"/>
    </row>
    <row r="70" spans="1:1" s="62" customFormat="1" x14ac:dyDescent="0.2">
      <c r="A70" s="77"/>
    </row>
    <row r="71" spans="1:1" s="62" customFormat="1" x14ac:dyDescent="0.2">
      <c r="A71" s="77"/>
    </row>
    <row r="72" spans="1:1" s="62" customFormat="1" x14ac:dyDescent="0.2">
      <c r="A72" s="77"/>
    </row>
    <row r="73" spans="1:1" s="62" customFormat="1" x14ac:dyDescent="0.2">
      <c r="A73" s="77"/>
    </row>
    <row r="74" spans="1:1" s="62" customFormat="1" x14ac:dyDescent="0.2">
      <c r="A74" s="77"/>
    </row>
    <row r="75" spans="1:1" s="62" customFormat="1" x14ac:dyDescent="0.2">
      <c r="A75" s="77"/>
    </row>
    <row r="76" spans="1:1" s="62" customFormat="1" x14ac:dyDescent="0.2">
      <c r="A76" s="77"/>
    </row>
    <row r="77" spans="1:1" s="62" customFormat="1" x14ac:dyDescent="0.2">
      <c r="A77" s="77"/>
    </row>
    <row r="78" spans="1:1" s="62" customFormat="1" x14ac:dyDescent="0.2">
      <c r="A78" s="77"/>
    </row>
    <row r="79" spans="1:1" s="62" customFormat="1" x14ac:dyDescent="0.2">
      <c r="A79" s="77"/>
    </row>
    <row r="80" spans="1:1" s="62" customFormat="1" x14ac:dyDescent="0.2">
      <c r="A80" s="77"/>
    </row>
    <row r="81" spans="1:1" s="62" customFormat="1" x14ac:dyDescent="0.2">
      <c r="A81" s="77"/>
    </row>
    <row r="82" spans="1:1" s="62" customFormat="1" x14ac:dyDescent="0.2">
      <c r="A82" s="77"/>
    </row>
    <row r="83" spans="1:1" s="62" customFormat="1" x14ac:dyDescent="0.2">
      <c r="A83" s="77"/>
    </row>
    <row r="84" spans="1:1" s="62" customFormat="1" x14ac:dyDescent="0.2">
      <c r="A84" s="77"/>
    </row>
    <row r="85" spans="1:1" s="62" customFormat="1" x14ac:dyDescent="0.2">
      <c r="A85" s="77"/>
    </row>
    <row r="86" spans="1:1" s="62" customFormat="1" x14ac:dyDescent="0.2">
      <c r="A86" s="77"/>
    </row>
    <row r="87" spans="1:1" s="62" customFormat="1" x14ac:dyDescent="0.2">
      <c r="A87" s="77"/>
    </row>
    <row r="88" spans="1:1" s="62" customFormat="1" x14ac:dyDescent="0.2">
      <c r="A88" s="77"/>
    </row>
    <row r="89" spans="1:1" s="62" customFormat="1" x14ac:dyDescent="0.2">
      <c r="A89" s="77"/>
    </row>
    <row r="90" spans="1:1" s="62" customFormat="1" x14ac:dyDescent="0.2">
      <c r="A90" s="77"/>
    </row>
    <row r="91" spans="1:1" s="62" customFormat="1" x14ac:dyDescent="0.2">
      <c r="A91" s="77"/>
    </row>
    <row r="92" spans="1:1" s="62" customFormat="1" x14ac:dyDescent="0.2">
      <c r="A92" s="77"/>
    </row>
    <row r="93" spans="1:1" s="62" customFormat="1" x14ac:dyDescent="0.2">
      <c r="A93" s="77"/>
    </row>
    <row r="94" spans="1:1" s="62" customFormat="1" x14ac:dyDescent="0.2">
      <c r="A94" s="77"/>
    </row>
    <row r="95" spans="1:1" s="62" customFormat="1" x14ac:dyDescent="0.2">
      <c r="A95" s="77"/>
    </row>
    <row r="96" spans="1:1" s="62" customFormat="1" x14ac:dyDescent="0.2">
      <c r="A96" s="77"/>
    </row>
    <row r="97" spans="1:1" s="62" customFormat="1" x14ac:dyDescent="0.2">
      <c r="A97" s="77"/>
    </row>
    <row r="98" spans="1:1" s="62" customFormat="1" x14ac:dyDescent="0.2">
      <c r="A98" s="77"/>
    </row>
    <row r="99" spans="1:1" s="62" customFormat="1" x14ac:dyDescent="0.2">
      <c r="A99" s="77"/>
    </row>
    <row r="100" spans="1:1" s="62" customFormat="1" x14ac:dyDescent="0.2">
      <c r="A100" s="77"/>
    </row>
    <row r="101" spans="1:1" s="62" customFormat="1" x14ac:dyDescent="0.2">
      <c r="A101" s="77"/>
    </row>
    <row r="102" spans="1:1" s="62" customFormat="1" x14ac:dyDescent="0.2">
      <c r="A102" s="77"/>
    </row>
    <row r="103" spans="1:1" s="62" customFormat="1" x14ac:dyDescent="0.2">
      <c r="A103" s="77"/>
    </row>
    <row r="104" spans="1:1" s="62" customFormat="1" x14ac:dyDescent="0.2">
      <c r="A104" s="77"/>
    </row>
    <row r="105" spans="1:1" s="62" customFormat="1" x14ac:dyDescent="0.2">
      <c r="A105" s="77"/>
    </row>
    <row r="106" spans="1:1" s="62" customFormat="1" x14ac:dyDescent="0.2">
      <c r="A106" s="77"/>
    </row>
    <row r="107" spans="1:1" s="62" customFormat="1" x14ac:dyDescent="0.2">
      <c r="A107" s="77"/>
    </row>
    <row r="108" spans="1:1" s="62" customFormat="1" x14ac:dyDescent="0.2">
      <c r="A108" s="77"/>
    </row>
    <row r="109" spans="1:1" s="62" customFormat="1" x14ac:dyDescent="0.2">
      <c r="A109" s="77"/>
    </row>
    <row r="110" spans="1:1" s="62" customFormat="1" x14ac:dyDescent="0.2">
      <c r="A110" s="77"/>
    </row>
    <row r="111" spans="1:1" s="62" customFormat="1" x14ac:dyDescent="0.2">
      <c r="A111" s="77"/>
    </row>
    <row r="112" spans="1:1" s="62" customFormat="1" x14ac:dyDescent="0.2">
      <c r="A112" s="77"/>
    </row>
    <row r="113" spans="1:1" s="62" customFormat="1" x14ac:dyDescent="0.2">
      <c r="A113" s="77"/>
    </row>
    <row r="114" spans="1:1" s="62" customFormat="1" x14ac:dyDescent="0.2">
      <c r="A114" s="77"/>
    </row>
    <row r="115" spans="1:1" s="62" customFormat="1" x14ac:dyDescent="0.2">
      <c r="A115" s="77"/>
    </row>
    <row r="116" spans="1:1" s="62" customFormat="1" x14ac:dyDescent="0.2">
      <c r="A116" s="77"/>
    </row>
    <row r="117" spans="1:1" s="62" customFormat="1" x14ac:dyDescent="0.2">
      <c r="A117" s="77"/>
    </row>
    <row r="118" spans="1:1" s="62" customFormat="1" x14ac:dyDescent="0.2">
      <c r="A118" s="77"/>
    </row>
    <row r="119" spans="1:1" s="62" customFormat="1" x14ac:dyDescent="0.2">
      <c r="A119" s="77"/>
    </row>
    <row r="120" spans="1:1" s="62" customFormat="1" x14ac:dyDescent="0.2">
      <c r="A120" s="77"/>
    </row>
    <row r="121" spans="1:1" s="62" customFormat="1" x14ac:dyDescent="0.2">
      <c r="A121" s="77"/>
    </row>
    <row r="122" spans="1:1" s="62" customFormat="1" x14ac:dyDescent="0.2">
      <c r="A122" s="77"/>
    </row>
    <row r="123" spans="1:1" s="62" customFormat="1" x14ac:dyDescent="0.2">
      <c r="A123" s="77"/>
    </row>
    <row r="124" spans="1:1" s="62" customFormat="1" x14ac:dyDescent="0.2">
      <c r="A124" s="77"/>
    </row>
    <row r="125" spans="1:1" s="62" customFormat="1" x14ac:dyDescent="0.2">
      <c r="A125" s="77"/>
    </row>
    <row r="126" spans="1:1" s="62" customFormat="1" x14ac:dyDescent="0.2">
      <c r="A126" s="77"/>
    </row>
    <row r="127" spans="1:1" s="62" customFormat="1" x14ac:dyDescent="0.2">
      <c r="A127" s="77"/>
    </row>
    <row r="128" spans="1:1" s="62" customFormat="1" x14ac:dyDescent="0.2">
      <c r="A128" s="77"/>
    </row>
    <row r="129" spans="1:1" s="62" customFormat="1" x14ac:dyDescent="0.2">
      <c r="A129" s="77"/>
    </row>
    <row r="130" spans="1:1" s="62" customFormat="1" x14ac:dyDescent="0.2">
      <c r="A130" s="77"/>
    </row>
    <row r="131" spans="1:1" s="62" customFormat="1" x14ac:dyDescent="0.2">
      <c r="A131" s="77"/>
    </row>
    <row r="132" spans="1:1" s="62" customFormat="1" x14ac:dyDescent="0.2">
      <c r="A132" s="77"/>
    </row>
    <row r="133" spans="1:1" s="62" customFormat="1" x14ac:dyDescent="0.2">
      <c r="A133" s="77"/>
    </row>
    <row r="134" spans="1:1" s="62" customFormat="1" x14ac:dyDescent="0.2">
      <c r="A134" s="77"/>
    </row>
    <row r="135" spans="1:1" s="62" customFormat="1" x14ac:dyDescent="0.2">
      <c r="A135" s="77"/>
    </row>
    <row r="136" spans="1:1" s="62" customFormat="1" x14ac:dyDescent="0.2">
      <c r="A136" s="77"/>
    </row>
    <row r="137" spans="1:1" s="62" customFormat="1" x14ac:dyDescent="0.2">
      <c r="A137" s="77"/>
    </row>
    <row r="138" spans="1:1" s="62" customFormat="1" x14ac:dyDescent="0.2">
      <c r="A138" s="77"/>
    </row>
    <row r="139" spans="1:1" s="62" customFormat="1" x14ac:dyDescent="0.2">
      <c r="A139" s="77"/>
    </row>
    <row r="140" spans="1:1" s="62" customFormat="1" x14ac:dyDescent="0.2">
      <c r="A140" s="77"/>
    </row>
    <row r="141" spans="1:1" s="62" customFormat="1" x14ac:dyDescent="0.2">
      <c r="A141" s="77"/>
    </row>
    <row r="142" spans="1:1" s="62" customFormat="1" x14ac:dyDescent="0.2">
      <c r="A142" s="77"/>
    </row>
    <row r="143" spans="1:1" s="62" customFormat="1" x14ac:dyDescent="0.2">
      <c r="A143" s="77"/>
    </row>
    <row r="144" spans="1:1" s="62" customFormat="1" x14ac:dyDescent="0.2">
      <c r="A144" s="77"/>
    </row>
    <row r="145" spans="1:1" s="62" customFormat="1" x14ac:dyDescent="0.2">
      <c r="A145" s="77"/>
    </row>
    <row r="146" spans="1:1" s="62" customFormat="1" x14ac:dyDescent="0.2">
      <c r="A146" s="77"/>
    </row>
    <row r="147" spans="1:1" s="62" customFormat="1" x14ac:dyDescent="0.2">
      <c r="A147" s="77"/>
    </row>
    <row r="148" spans="1:1" s="62" customFormat="1" x14ac:dyDescent="0.2">
      <c r="A148" s="77"/>
    </row>
    <row r="149" spans="1:1" s="62" customFormat="1" x14ac:dyDescent="0.2">
      <c r="A149" s="77"/>
    </row>
    <row r="150" spans="1:1" s="62" customFormat="1" x14ac:dyDescent="0.2">
      <c r="A150" s="77"/>
    </row>
    <row r="151" spans="1:1" s="62" customFormat="1" x14ac:dyDescent="0.2">
      <c r="A151" s="77"/>
    </row>
    <row r="152" spans="1:1" s="62" customFormat="1" x14ac:dyDescent="0.2">
      <c r="A152" s="77"/>
    </row>
    <row r="153" spans="1:1" s="62" customFormat="1" x14ac:dyDescent="0.2">
      <c r="A153" s="77"/>
    </row>
    <row r="154" spans="1:1" s="62" customFormat="1" x14ac:dyDescent="0.2">
      <c r="A154" s="77"/>
    </row>
    <row r="155" spans="1:1" s="62" customFormat="1" x14ac:dyDescent="0.2">
      <c r="A155" s="77"/>
    </row>
    <row r="156" spans="1:1" s="62" customFormat="1" x14ac:dyDescent="0.2">
      <c r="A156" s="77"/>
    </row>
    <row r="157" spans="1:1" s="62" customFormat="1" x14ac:dyDescent="0.2">
      <c r="A157" s="77"/>
    </row>
    <row r="158" spans="1:1" s="62" customFormat="1" x14ac:dyDescent="0.2">
      <c r="A158" s="77"/>
    </row>
    <row r="159" spans="1:1" s="62" customFormat="1" x14ac:dyDescent="0.2">
      <c r="A159" s="77"/>
    </row>
    <row r="160" spans="1:1" s="62" customFormat="1" x14ac:dyDescent="0.2">
      <c r="A160" s="77"/>
    </row>
    <row r="161" spans="1:1" s="62" customFormat="1" x14ac:dyDescent="0.2">
      <c r="A161" s="77"/>
    </row>
    <row r="162" spans="1:1" s="62" customFormat="1" x14ac:dyDescent="0.2">
      <c r="A162" s="77"/>
    </row>
    <row r="163" spans="1:1" s="62" customFormat="1" x14ac:dyDescent="0.2">
      <c r="A163" s="77"/>
    </row>
    <row r="164" spans="1:1" s="62" customFormat="1" x14ac:dyDescent="0.2">
      <c r="A164" s="77"/>
    </row>
    <row r="165" spans="1:1" s="62" customFormat="1" x14ac:dyDescent="0.2">
      <c r="A165" s="77"/>
    </row>
    <row r="166" spans="1:1" s="62" customFormat="1" x14ac:dyDescent="0.2">
      <c r="A166" s="77"/>
    </row>
    <row r="167" spans="1:1" s="62" customFormat="1" x14ac:dyDescent="0.2">
      <c r="A167" s="77"/>
    </row>
    <row r="168" spans="1:1" s="62" customFormat="1" x14ac:dyDescent="0.2">
      <c r="A168" s="77"/>
    </row>
    <row r="169" spans="1:1" s="62" customFormat="1" x14ac:dyDescent="0.2">
      <c r="A169" s="77"/>
    </row>
    <row r="170" spans="1:1" s="62" customFormat="1" x14ac:dyDescent="0.2">
      <c r="A170" s="77"/>
    </row>
    <row r="171" spans="1:1" s="62" customFormat="1" x14ac:dyDescent="0.2">
      <c r="A171" s="77"/>
    </row>
    <row r="172" spans="1:1" s="62" customFormat="1" x14ac:dyDescent="0.2">
      <c r="A172" s="77"/>
    </row>
    <row r="173" spans="1:1" s="62" customFormat="1" x14ac:dyDescent="0.2">
      <c r="A173" s="77"/>
    </row>
    <row r="174" spans="1:1" s="62" customFormat="1" x14ac:dyDescent="0.2">
      <c r="A174" s="77"/>
    </row>
    <row r="175" spans="1:1" s="62" customFormat="1" x14ac:dyDescent="0.2">
      <c r="A175" s="77"/>
    </row>
    <row r="176" spans="1:1" s="62" customFormat="1" x14ac:dyDescent="0.2">
      <c r="A176" s="77"/>
    </row>
    <row r="177" spans="1:1" s="62" customFormat="1" x14ac:dyDescent="0.2">
      <c r="A177" s="77"/>
    </row>
    <row r="178" spans="1:1" s="62" customFormat="1" x14ac:dyDescent="0.2">
      <c r="A178" s="77"/>
    </row>
    <row r="179" spans="1:1" s="62" customFormat="1" x14ac:dyDescent="0.2">
      <c r="A179" s="77"/>
    </row>
    <row r="180" spans="1:1" s="62" customFormat="1" x14ac:dyDescent="0.2">
      <c r="A180" s="77"/>
    </row>
    <row r="181" spans="1:1" s="62" customFormat="1" x14ac:dyDescent="0.2">
      <c r="A181" s="77"/>
    </row>
    <row r="182" spans="1:1" s="62" customFormat="1" x14ac:dyDescent="0.2">
      <c r="A182" s="77"/>
    </row>
    <row r="183" spans="1:1" s="62" customFormat="1" x14ac:dyDescent="0.2">
      <c r="A183" s="77"/>
    </row>
    <row r="184" spans="1:1" s="62" customFormat="1" x14ac:dyDescent="0.2">
      <c r="A184" s="77"/>
    </row>
    <row r="185" spans="1:1" s="62" customFormat="1" x14ac:dyDescent="0.2">
      <c r="A185" s="77"/>
    </row>
    <row r="186" spans="1:1" s="62" customFormat="1" x14ac:dyDescent="0.2">
      <c r="A186" s="77"/>
    </row>
    <row r="187" spans="1:1" s="62" customFormat="1" x14ac:dyDescent="0.2">
      <c r="A187" s="77"/>
    </row>
    <row r="188" spans="1:1" s="62" customFormat="1" x14ac:dyDescent="0.2">
      <c r="A188" s="77"/>
    </row>
    <row r="189" spans="1:1" s="62" customFormat="1" x14ac:dyDescent="0.2">
      <c r="A189" s="77"/>
    </row>
    <row r="190" spans="1:1" s="62" customFormat="1" x14ac:dyDescent="0.2">
      <c r="A190" s="77"/>
    </row>
    <row r="191" spans="1:1" s="62" customFormat="1" x14ac:dyDescent="0.2">
      <c r="A191" s="77"/>
    </row>
    <row r="192" spans="1:1" s="62" customFormat="1" x14ac:dyDescent="0.2">
      <c r="A192" s="77"/>
    </row>
    <row r="193" spans="1:1" s="62" customFormat="1" x14ac:dyDescent="0.2">
      <c r="A193" s="77"/>
    </row>
    <row r="194" spans="1:1" s="62" customFormat="1" x14ac:dyDescent="0.2">
      <c r="A194" s="77"/>
    </row>
    <row r="195" spans="1:1" s="62" customFormat="1" x14ac:dyDescent="0.2">
      <c r="A195" s="77"/>
    </row>
    <row r="196" spans="1:1" s="62" customFormat="1" x14ac:dyDescent="0.2">
      <c r="A196" s="77"/>
    </row>
    <row r="197" spans="1:1" s="62" customFormat="1" x14ac:dyDescent="0.2">
      <c r="A197" s="77"/>
    </row>
    <row r="198" spans="1:1" s="62" customFormat="1" x14ac:dyDescent="0.2">
      <c r="A198" s="77"/>
    </row>
    <row r="199" spans="1:1" s="62" customFormat="1" x14ac:dyDescent="0.2">
      <c r="A199" s="77"/>
    </row>
    <row r="200" spans="1:1" s="62" customFormat="1" x14ac:dyDescent="0.2">
      <c r="A200" s="77"/>
    </row>
    <row r="201" spans="1:1" s="62" customFormat="1" x14ac:dyDescent="0.2">
      <c r="A201" s="77"/>
    </row>
    <row r="202" spans="1:1" s="62" customFormat="1" x14ac:dyDescent="0.2">
      <c r="A202" s="77"/>
    </row>
    <row r="203" spans="1:1" s="62" customFormat="1" x14ac:dyDescent="0.2">
      <c r="A203" s="77"/>
    </row>
    <row r="204" spans="1:1" s="62" customFormat="1" x14ac:dyDescent="0.2">
      <c r="A204" s="77"/>
    </row>
    <row r="205" spans="1:1" s="62" customFormat="1" x14ac:dyDescent="0.2">
      <c r="A205" s="77"/>
    </row>
    <row r="206" spans="1:1" s="62" customFormat="1" x14ac:dyDescent="0.2">
      <c r="A206" s="77"/>
    </row>
    <row r="207" spans="1:1" s="62" customFormat="1" x14ac:dyDescent="0.2">
      <c r="A207" s="77"/>
    </row>
    <row r="208" spans="1:1" s="62" customFormat="1" x14ac:dyDescent="0.2">
      <c r="A208" s="77"/>
    </row>
    <row r="209" spans="1:1" s="62" customFormat="1" x14ac:dyDescent="0.2">
      <c r="A209" s="77"/>
    </row>
    <row r="210" spans="1:1" s="62" customFormat="1" x14ac:dyDescent="0.2">
      <c r="A210" s="77"/>
    </row>
    <row r="211" spans="1:1" s="62" customFormat="1" x14ac:dyDescent="0.2">
      <c r="A211" s="77"/>
    </row>
    <row r="212" spans="1:1" s="62" customFormat="1" x14ac:dyDescent="0.2">
      <c r="A212" s="77"/>
    </row>
    <row r="213" spans="1:1" s="62" customFormat="1" x14ac:dyDescent="0.2">
      <c r="A213" s="77"/>
    </row>
    <row r="214" spans="1:1" s="62" customFormat="1" x14ac:dyDescent="0.2">
      <c r="A214" s="77"/>
    </row>
    <row r="215" spans="1:1" s="62" customFormat="1" x14ac:dyDescent="0.2">
      <c r="A215" s="77"/>
    </row>
    <row r="216" spans="1:1" s="62" customFormat="1" x14ac:dyDescent="0.2">
      <c r="A216" s="77"/>
    </row>
    <row r="217" spans="1:1" s="62" customFormat="1" x14ac:dyDescent="0.2">
      <c r="A217" s="77"/>
    </row>
    <row r="218" spans="1:1" s="62" customFormat="1" x14ac:dyDescent="0.2">
      <c r="A218" s="77"/>
    </row>
    <row r="219" spans="1:1" s="62" customFormat="1" x14ac:dyDescent="0.2">
      <c r="A219" s="77"/>
    </row>
    <row r="220" spans="1:1" s="62" customFormat="1" x14ac:dyDescent="0.2">
      <c r="A220" s="77"/>
    </row>
    <row r="221" spans="1:1" s="62" customFormat="1" x14ac:dyDescent="0.2">
      <c r="A221" s="77"/>
    </row>
    <row r="222" spans="1:1" s="62" customFormat="1" x14ac:dyDescent="0.2">
      <c r="A222" s="77"/>
    </row>
    <row r="223" spans="1:1" s="62" customFormat="1" x14ac:dyDescent="0.2">
      <c r="A223" s="77"/>
    </row>
    <row r="224" spans="1:1" s="62" customFormat="1" x14ac:dyDescent="0.2">
      <c r="A224" s="77"/>
    </row>
    <row r="225" spans="1:1" s="62" customFormat="1" x14ac:dyDescent="0.2">
      <c r="A225" s="77"/>
    </row>
    <row r="226" spans="1:1" s="62" customFormat="1" x14ac:dyDescent="0.2">
      <c r="A226" s="77"/>
    </row>
    <row r="227" spans="1:1" s="62" customFormat="1" x14ac:dyDescent="0.2">
      <c r="A227" s="77"/>
    </row>
    <row r="228" spans="1:1" s="62" customFormat="1" x14ac:dyDescent="0.2">
      <c r="A228" s="77"/>
    </row>
    <row r="229" spans="1:1" s="62" customFormat="1" x14ac:dyDescent="0.2">
      <c r="A229" s="77"/>
    </row>
    <row r="230" spans="1:1" s="62" customFormat="1" x14ac:dyDescent="0.2">
      <c r="A230" s="77"/>
    </row>
    <row r="231" spans="1:1" s="62" customFormat="1" x14ac:dyDescent="0.2">
      <c r="A231" s="77"/>
    </row>
    <row r="232" spans="1:1" s="62" customFormat="1" x14ac:dyDescent="0.2">
      <c r="A232" s="77"/>
    </row>
    <row r="233" spans="1:1" s="62" customFormat="1" x14ac:dyDescent="0.2">
      <c r="A233" s="77"/>
    </row>
    <row r="234" spans="1:1" s="62" customFormat="1" x14ac:dyDescent="0.2">
      <c r="A234" s="77"/>
    </row>
    <row r="235" spans="1:1" s="62" customFormat="1" x14ac:dyDescent="0.2">
      <c r="A235" s="77"/>
    </row>
    <row r="236" spans="1:1" s="62" customFormat="1" x14ac:dyDescent="0.2">
      <c r="A236" s="77"/>
    </row>
    <row r="237" spans="1:1" s="62" customFormat="1" x14ac:dyDescent="0.2">
      <c r="A237" s="77"/>
    </row>
    <row r="238" spans="1:1" s="62" customFormat="1" x14ac:dyDescent="0.2">
      <c r="A238" s="77"/>
    </row>
    <row r="239" spans="1:1" s="62" customFormat="1" x14ac:dyDescent="0.2">
      <c r="A239" s="77"/>
    </row>
    <row r="240" spans="1:1" s="62" customFormat="1" x14ac:dyDescent="0.2">
      <c r="A240" s="77"/>
    </row>
    <row r="241" spans="1:1" s="62" customFormat="1" x14ac:dyDescent="0.2">
      <c r="A241" s="77"/>
    </row>
    <row r="242" spans="1:1" s="62" customFormat="1" x14ac:dyDescent="0.2">
      <c r="A242" s="77"/>
    </row>
    <row r="243" spans="1:1" s="62" customFormat="1" x14ac:dyDescent="0.2">
      <c r="A243" s="77"/>
    </row>
    <row r="244" spans="1:1" s="62" customFormat="1" x14ac:dyDescent="0.2">
      <c r="A244" s="77"/>
    </row>
    <row r="245" spans="1:1" s="62" customFormat="1" x14ac:dyDescent="0.2">
      <c r="A245" s="77"/>
    </row>
    <row r="246" spans="1:1" s="62" customFormat="1" x14ac:dyDescent="0.2">
      <c r="A246" s="77"/>
    </row>
    <row r="247" spans="1:1" s="62" customFormat="1" x14ac:dyDescent="0.2">
      <c r="A247" s="77"/>
    </row>
    <row r="248" spans="1:1" s="62" customFormat="1" x14ac:dyDescent="0.2">
      <c r="A248" s="77"/>
    </row>
    <row r="249" spans="1:1" s="62" customFormat="1" x14ac:dyDescent="0.2">
      <c r="A249" s="77"/>
    </row>
    <row r="250" spans="1:1" s="62" customFormat="1" x14ac:dyDescent="0.2">
      <c r="A250" s="77"/>
    </row>
    <row r="251" spans="1:1" s="62" customFormat="1" x14ac:dyDescent="0.2">
      <c r="A251" s="77"/>
    </row>
    <row r="252" spans="1:1" s="62" customFormat="1" x14ac:dyDescent="0.2">
      <c r="A252" s="77"/>
    </row>
    <row r="253" spans="1:1" s="62" customFormat="1" x14ac:dyDescent="0.2">
      <c r="A253" s="77"/>
    </row>
    <row r="254" spans="1:1" s="62" customFormat="1" x14ac:dyDescent="0.2">
      <c r="A254" s="77"/>
    </row>
    <row r="255" spans="1:1" s="62" customFormat="1" x14ac:dyDescent="0.2">
      <c r="A255" s="77"/>
    </row>
    <row r="256" spans="1:1" s="62" customFormat="1" x14ac:dyDescent="0.2">
      <c r="A256" s="77"/>
    </row>
    <row r="257" spans="1:1" s="62" customFormat="1" x14ac:dyDescent="0.2">
      <c r="A257" s="77"/>
    </row>
    <row r="258" spans="1:1" s="62" customFormat="1" x14ac:dyDescent="0.2">
      <c r="A258" s="77"/>
    </row>
    <row r="259" spans="1:1" s="62" customFormat="1" x14ac:dyDescent="0.2">
      <c r="A259" s="77"/>
    </row>
    <row r="260" spans="1:1" s="62" customFormat="1" x14ac:dyDescent="0.2">
      <c r="A260" s="77"/>
    </row>
    <row r="261" spans="1:1" s="62" customFormat="1" x14ac:dyDescent="0.2">
      <c r="A261" s="77"/>
    </row>
    <row r="262" spans="1:1" s="62" customFormat="1" x14ac:dyDescent="0.2">
      <c r="A262" s="77"/>
    </row>
    <row r="263" spans="1:1" s="62" customFormat="1" x14ac:dyDescent="0.2">
      <c r="A263" s="77"/>
    </row>
    <row r="264" spans="1:1" s="62" customFormat="1" x14ac:dyDescent="0.2">
      <c r="A264" s="77"/>
    </row>
    <row r="265" spans="1:1" s="62" customFormat="1" x14ac:dyDescent="0.2">
      <c r="A265" s="77"/>
    </row>
    <row r="266" spans="1:1" s="62" customFormat="1" x14ac:dyDescent="0.2">
      <c r="A266" s="77"/>
    </row>
    <row r="267" spans="1:1" s="62" customFormat="1" x14ac:dyDescent="0.2">
      <c r="A267" s="77"/>
    </row>
    <row r="268" spans="1:1" s="62" customFormat="1" x14ac:dyDescent="0.2">
      <c r="A268" s="77"/>
    </row>
    <row r="269" spans="1:1" s="62" customFormat="1" x14ac:dyDescent="0.2">
      <c r="A269" s="77"/>
    </row>
    <row r="270" spans="1:1" s="62" customFormat="1" x14ac:dyDescent="0.2">
      <c r="A270" s="77"/>
    </row>
    <row r="271" spans="1:1" s="62" customFormat="1" x14ac:dyDescent="0.2">
      <c r="A271" s="77"/>
    </row>
    <row r="272" spans="1:1" s="62" customFormat="1" x14ac:dyDescent="0.2">
      <c r="A272" s="77"/>
    </row>
    <row r="273" spans="1:1" s="62" customFormat="1" x14ac:dyDescent="0.2">
      <c r="A273" s="77"/>
    </row>
    <row r="274" spans="1:1" s="62" customFormat="1" x14ac:dyDescent="0.2">
      <c r="A274" s="77"/>
    </row>
    <row r="275" spans="1:1" s="62" customFormat="1" x14ac:dyDescent="0.2">
      <c r="A275" s="77"/>
    </row>
    <row r="276" spans="1:1" s="62" customFormat="1" x14ac:dyDescent="0.2">
      <c r="A276" s="77"/>
    </row>
    <row r="277" spans="1:1" s="62" customFormat="1" x14ac:dyDescent="0.2">
      <c r="A277" s="77"/>
    </row>
    <row r="278" spans="1:1" s="62" customFormat="1" x14ac:dyDescent="0.2">
      <c r="A278" s="77"/>
    </row>
    <row r="279" spans="1:1" s="62" customFormat="1" x14ac:dyDescent="0.2">
      <c r="A279" s="77"/>
    </row>
    <row r="280" spans="1:1" s="62" customFormat="1" x14ac:dyDescent="0.2">
      <c r="A280" s="77"/>
    </row>
    <row r="281" spans="1:1" s="62" customFormat="1" x14ac:dyDescent="0.2">
      <c r="A281" s="77"/>
    </row>
    <row r="282" spans="1:1" s="62" customFormat="1" x14ac:dyDescent="0.2">
      <c r="A282" s="77"/>
    </row>
    <row r="283" spans="1:1" s="62" customFormat="1" x14ac:dyDescent="0.2">
      <c r="A283" s="77"/>
    </row>
    <row r="284" spans="1:1" s="62" customFormat="1" x14ac:dyDescent="0.2">
      <c r="A284" s="77"/>
    </row>
    <row r="285" spans="1:1" s="62" customFormat="1" x14ac:dyDescent="0.2">
      <c r="A285" s="77"/>
    </row>
    <row r="286" spans="1:1" s="62" customFormat="1" x14ac:dyDescent="0.2">
      <c r="A286" s="77"/>
    </row>
    <row r="287" spans="1:1" s="62" customFormat="1" x14ac:dyDescent="0.2">
      <c r="A287" s="77"/>
    </row>
    <row r="288" spans="1:1" s="62" customFormat="1" x14ac:dyDescent="0.2">
      <c r="A288" s="77"/>
    </row>
    <row r="289" spans="1:1" s="62" customFormat="1" x14ac:dyDescent="0.2">
      <c r="A289" s="77"/>
    </row>
    <row r="290" spans="1:1" s="62" customFormat="1" x14ac:dyDescent="0.2">
      <c r="A290" s="77"/>
    </row>
    <row r="291" spans="1:1" s="62" customFormat="1" x14ac:dyDescent="0.2">
      <c r="A291" s="77"/>
    </row>
    <row r="292" spans="1:1" s="62" customFormat="1" x14ac:dyDescent="0.2">
      <c r="A292" s="77"/>
    </row>
    <row r="293" spans="1:1" s="62" customFormat="1" x14ac:dyDescent="0.2">
      <c r="A293" s="77"/>
    </row>
    <row r="294" spans="1:1" s="62" customFormat="1" x14ac:dyDescent="0.2">
      <c r="A294" s="77"/>
    </row>
    <row r="295" spans="1:1" s="62" customFormat="1" x14ac:dyDescent="0.2">
      <c r="A295" s="77"/>
    </row>
    <row r="296" spans="1:1" s="62" customFormat="1" x14ac:dyDescent="0.2">
      <c r="A296" s="77"/>
    </row>
    <row r="297" spans="1:1" s="62" customFormat="1" x14ac:dyDescent="0.2">
      <c r="A297" s="77"/>
    </row>
    <row r="298" spans="1:1" s="62" customFormat="1" x14ac:dyDescent="0.2">
      <c r="A298" s="77"/>
    </row>
    <row r="299" spans="1:1" s="62" customFormat="1" x14ac:dyDescent="0.2">
      <c r="A299" s="77"/>
    </row>
    <row r="300" spans="1:1" s="62" customFormat="1" x14ac:dyDescent="0.2">
      <c r="A300" s="77"/>
    </row>
    <row r="301" spans="1:1" s="62" customFormat="1" x14ac:dyDescent="0.2">
      <c r="A301" s="77"/>
    </row>
    <row r="302" spans="1:1" s="62" customFormat="1" x14ac:dyDescent="0.2">
      <c r="A302" s="77"/>
    </row>
  </sheetData>
  <autoFilter ref="A6:M30" xr:uid="{00000000-0009-0000-0000-000002000000}"/>
  <mergeCells count="1">
    <mergeCell ref="A1:C4"/>
  </mergeCells>
  <conditionalFormatting sqref="A1:XFD1048576">
    <cfRule type="expression" dxfId="10" priority="7">
      <formula>A1=0</formula>
    </cfRule>
    <cfRule type="notContainsBlanks" dxfId="9" priority="9">
      <formula>LEN(TRIM(A1))&gt;0</formula>
    </cfRule>
  </conditionalFormatting>
  <conditionalFormatting sqref="B1:B1048576">
    <cfRule type="notContainsBlanks" dxfId="8" priority="5">
      <formula>LEN(TRIM(B1))&gt;0</formula>
    </cfRule>
  </conditionalFormatting>
  <conditionalFormatting sqref="C1:E1048576">
    <cfRule type="notContainsBlanks" dxfId="7" priority="4">
      <formula>LEN(TRIM(C1))&gt;0</formula>
    </cfRule>
  </conditionalFormatting>
  <conditionalFormatting sqref="F1:H1048576">
    <cfRule type="notContainsBlanks" dxfId="6" priority="3">
      <formula>LEN(TRIM(F1))&gt;0</formula>
    </cfRule>
  </conditionalFormatting>
  <conditionalFormatting sqref="I1:K1048576">
    <cfRule type="notContainsBlanks" dxfId="5" priority="2">
      <formula>LEN(TRIM(I1))&gt;0</formula>
    </cfRule>
  </conditionalFormatting>
  <conditionalFormatting sqref="L1:M1048576">
    <cfRule type="notContainsBlanks" dxfId="4" priority="1">
      <formula>LEN(TRIM(L1))&gt;0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3"/>
  <sheetViews>
    <sheetView zoomScale="110" zoomScaleNormal="100" workbookViewId="0">
      <selection activeCell="H3" sqref="H3"/>
    </sheetView>
  </sheetViews>
  <sheetFormatPr baseColWidth="10" defaultRowHeight="16" x14ac:dyDescent="0.2"/>
  <cols>
    <col min="1" max="1" width="13.7109375" style="52" customWidth="1"/>
    <col min="2" max="2" width="19.5703125" style="52" customWidth="1"/>
    <col min="3" max="3" width="17" style="52" customWidth="1"/>
    <col min="4" max="4" width="18.140625" style="52" customWidth="1"/>
    <col min="5" max="5" width="20.140625" style="59" customWidth="1"/>
    <col min="6" max="6" width="17.140625" style="59" customWidth="1"/>
    <col min="7" max="8" width="20" style="52" customWidth="1"/>
    <col min="9" max="9" width="14.7109375" style="63" customWidth="1"/>
    <col min="10" max="30" width="10.7109375" style="52" customWidth="1"/>
    <col min="31" max="16384" width="10.7109375" style="52"/>
  </cols>
  <sheetData>
    <row r="1" spans="1:12" s="54" customFormat="1" ht="18" customHeight="1" x14ac:dyDescent="0.2">
      <c r="A1" s="64" t="s">
        <v>76</v>
      </c>
      <c r="B1" s="64" t="s">
        <v>77</v>
      </c>
      <c r="C1" s="64" t="s">
        <v>78</v>
      </c>
      <c r="D1" s="64" t="s">
        <v>79</v>
      </c>
      <c r="E1" s="65" t="s">
        <v>80</v>
      </c>
      <c r="F1" s="65" t="s">
        <v>81</v>
      </c>
      <c r="G1" s="64" t="s">
        <v>82</v>
      </c>
      <c r="H1" s="64" t="s">
        <v>83</v>
      </c>
      <c r="I1" s="65" t="s">
        <v>84</v>
      </c>
    </row>
    <row r="2" spans="1:12" x14ac:dyDescent="0.2">
      <c r="A2" s="61" t="s">
        <v>16</v>
      </c>
      <c r="B2" s="62">
        <v>23683.790360999999</v>
      </c>
      <c r="C2" s="61">
        <v>11410.344722</v>
      </c>
      <c r="D2" s="60">
        <v>12273.445639</v>
      </c>
      <c r="E2" s="63">
        <v>9178.6200000000008</v>
      </c>
      <c r="F2" s="63">
        <v>2067.69</v>
      </c>
      <c r="G2" s="63">
        <v>7110.93</v>
      </c>
      <c r="H2" s="63">
        <v>1</v>
      </c>
      <c r="I2" s="63">
        <v>12.4</v>
      </c>
    </row>
    <row r="3" spans="1:12" x14ac:dyDescent="0.2">
      <c r="A3" s="61" t="s">
        <v>17</v>
      </c>
      <c r="B3" s="62">
        <v>168484.69461332</v>
      </c>
      <c r="C3" s="61">
        <v>86964.549318769976</v>
      </c>
      <c r="D3" s="60">
        <v>81520.145294549991</v>
      </c>
      <c r="E3" s="63">
        <v>5536.11</v>
      </c>
      <c r="F3" s="63">
        <v>531.69999999999993</v>
      </c>
      <c r="G3" s="63">
        <v>5004.41</v>
      </c>
      <c r="H3" s="63"/>
      <c r="I3" s="63">
        <v>-26.88</v>
      </c>
      <c r="L3" s="52" t="s">
        <v>85</v>
      </c>
    </row>
    <row r="4" spans="1:12" x14ac:dyDescent="0.2">
      <c r="A4" s="61" t="s">
        <v>34</v>
      </c>
      <c r="B4" s="62">
        <v>314.50585499999988</v>
      </c>
      <c r="C4" s="61">
        <v>314.913118</v>
      </c>
      <c r="D4" s="60">
        <v>0</v>
      </c>
      <c r="E4" s="63">
        <v>1881.78</v>
      </c>
      <c r="F4" s="63">
        <v>1881.78</v>
      </c>
      <c r="G4" s="63">
        <v>0</v>
      </c>
      <c r="H4" s="63"/>
      <c r="I4" s="63">
        <v>-132.68</v>
      </c>
    </row>
    <row r="5" spans="1:12" x14ac:dyDescent="0.2">
      <c r="A5" s="61" t="s">
        <v>35</v>
      </c>
      <c r="B5" s="62">
        <v>15.34091162</v>
      </c>
      <c r="C5" s="61">
        <v>15.38473508</v>
      </c>
      <c r="D5" s="60">
        <v>0</v>
      </c>
      <c r="E5" s="63">
        <v>602.2600000000001</v>
      </c>
      <c r="F5" s="63">
        <v>602.25999999999988</v>
      </c>
      <c r="G5" s="63">
        <v>0</v>
      </c>
      <c r="H5" s="63"/>
      <c r="I5" s="63">
        <v>-163.41</v>
      </c>
    </row>
    <row r="6" spans="1:12" x14ac:dyDescent="0.2">
      <c r="A6" s="61" t="s">
        <v>36</v>
      </c>
      <c r="B6" s="62">
        <v>7812.7755000000006</v>
      </c>
      <c r="C6" s="61">
        <v>7817.4406089999993</v>
      </c>
      <c r="D6" s="60">
        <v>0</v>
      </c>
      <c r="E6" s="63">
        <v>1326.13</v>
      </c>
      <c r="F6" s="63">
        <v>1326.13</v>
      </c>
      <c r="G6" s="63">
        <v>0</v>
      </c>
      <c r="H6" s="63"/>
      <c r="I6" s="63">
        <v>-154.29</v>
      </c>
    </row>
    <row r="7" spans="1:12" x14ac:dyDescent="0.2">
      <c r="A7" s="61" t="s">
        <v>38</v>
      </c>
      <c r="B7" s="62">
        <v>2500.1205420000001</v>
      </c>
      <c r="C7" s="61">
        <v>2499.9605879999999</v>
      </c>
      <c r="D7" s="60">
        <v>0.15995400000019799</v>
      </c>
      <c r="E7" s="63">
        <v>1502.82</v>
      </c>
      <c r="F7" s="63">
        <v>1502.66</v>
      </c>
      <c r="G7" s="63">
        <v>0.16000000000008191</v>
      </c>
      <c r="H7" s="63"/>
      <c r="I7" s="63">
        <v>-13.15</v>
      </c>
    </row>
    <row r="8" spans="1:12" x14ac:dyDescent="0.2">
      <c r="A8" s="61" t="s">
        <v>41</v>
      </c>
      <c r="B8" s="62">
        <v>6.9329730500000002</v>
      </c>
      <c r="C8" s="61">
        <v>6.932657279999999</v>
      </c>
      <c r="D8" s="60">
        <v>3.1577000000115868E-4</v>
      </c>
      <c r="E8" s="63">
        <v>6123.7600000000039</v>
      </c>
      <c r="F8" s="63">
        <v>6123.3900000000012</v>
      </c>
      <c r="G8" s="63">
        <v>0.37000000000261929</v>
      </c>
      <c r="H8" s="63"/>
      <c r="I8" s="63">
        <v>169.1599999999998</v>
      </c>
    </row>
    <row r="9" spans="1:12" x14ac:dyDescent="0.2">
      <c r="A9" s="61" t="s">
        <v>42</v>
      </c>
      <c r="B9" s="62">
        <v>1.111822E-2</v>
      </c>
      <c r="C9" s="61">
        <v>1.111823E-2</v>
      </c>
      <c r="D9" s="60">
        <v>0</v>
      </c>
      <c r="E9" s="63">
        <v>459.33</v>
      </c>
      <c r="F9" s="63">
        <v>459.33</v>
      </c>
      <c r="G9" s="63">
        <v>0</v>
      </c>
      <c r="H9" s="63"/>
      <c r="I9" s="63">
        <v>-29.31</v>
      </c>
    </row>
    <row r="10" spans="1:12" x14ac:dyDescent="0.2">
      <c r="A10" s="61" t="s">
        <v>44</v>
      </c>
      <c r="B10" s="62">
        <v>21143.138177159999</v>
      </c>
      <c r="C10" s="61">
        <v>21143.13817717</v>
      </c>
      <c r="D10" s="60">
        <v>0</v>
      </c>
      <c r="E10" s="63">
        <v>900.28</v>
      </c>
      <c r="F10" s="63">
        <v>900.28</v>
      </c>
      <c r="G10" s="63">
        <v>0</v>
      </c>
      <c r="H10" s="63"/>
      <c r="I10" s="63">
        <v>-164.51</v>
      </c>
    </row>
    <row r="11" spans="1:12" x14ac:dyDescent="0.2">
      <c r="A11" s="61" t="s">
        <v>39</v>
      </c>
      <c r="B11" s="62">
        <v>2.36</v>
      </c>
      <c r="C11" s="61">
        <v>2.3085714300000002</v>
      </c>
      <c r="D11" s="60">
        <v>5.1428569999999667E-2</v>
      </c>
      <c r="E11" s="63">
        <v>0.16</v>
      </c>
      <c r="F11" s="63">
        <v>0.16</v>
      </c>
      <c r="G11" s="63">
        <v>0</v>
      </c>
      <c r="H11" s="63"/>
      <c r="I11" s="63">
        <v>0</v>
      </c>
    </row>
    <row r="12" spans="1:12" x14ac:dyDescent="0.2">
      <c r="A12" s="61" t="s">
        <v>43</v>
      </c>
      <c r="B12" s="62">
        <v>416.48075627999998</v>
      </c>
      <c r="C12" s="61">
        <v>416.48075627999998</v>
      </c>
      <c r="D12" s="60">
        <v>0</v>
      </c>
      <c r="E12" s="63">
        <v>2503.2100000000009</v>
      </c>
      <c r="F12" s="63">
        <v>2503.21</v>
      </c>
      <c r="G12" s="63">
        <v>0</v>
      </c>
      <c r="H12" s="63"/>
      <c r="I12" s="63">
        <v>-221.99</v>
      </c>
    </row>
    <row r="13" spans="1:12" x14ac:dyDescent="0.2">
      <c r="A13" s="61" t="s">
        <v>45</v>
      </c>
      <c r="B13" s="62">
        <v>10996.823198</v>
      </c>
      <c r="C13" s="61">
        <v>11007.762099</v>
      </c>
      <c r="D13" s="60">
        <v>0</v>
      </c>
      <c r="E13" s="63">
        <v>2499.8200000000002</v>
      </c>
      <c r="F13" s="63">
        <v>2499.8200000000002</v>
      </c>
      <c r="G13" s="63">
        <v>0</v>
      </c>
      <c r="H13" s="63"/>
      <c r="I13" s="63">
        <v>-74.48</v>
      </c>
    </row>
    <row r="14" spans="1:12" x14ac:dyDescent="0.2">
      <c r="A14" s="61" t="s">
        <v>47</v>
      </c>
      <c r="B14" s="62">
        <v>314.03690116000001</v>
      </c>
      <c r="C14" s="61">
        <v>314.03690116000001</v>
      </c>
      <c r="D14" s="60">
        <v>0</v>
      </c>
      <c r="E14" s="63">
        <v>389.68</v>
      </c>
      <c r="F14" s="63">
        <v>389.68</v>
      </c>
      <c r="G14" s="63">
        <v>0</v>
      </c>
      <c r="H14" s="63"/>
      <c r="I14" s="63">
        <v>-26.45</v>
      </c>
    </row>
    <row r="15" spans="1:12" x14ac:dyDescent="0.2">
      <c r="A15" s="61" t="s">
        <v>48</v>
      </c>
      <c r="B15" s="62">
        <v>288.75017883999999</v>
      </c>
      <c r="C15" s="61">
        <v>288.75017883999999</v>
      </c>
      <c r="D15" s="60">
        <v>0</v>
      </c>
      <c r="E15" s="63">
        <v>765.76</v>
      </c>
      <c r="F15" s="63">
        <v>765.76</v>
      </c>
      <c r="G15" s="63">
        <v>0</v>
      </c>
      <c r="H15" s="63"/>
      <c r="I15" s="63">
        <v>-172.53</v>
      </c>
    </row>
    <row r="16" spans="1:12" x14ac:dyDescent="0.2">
      <c r="A16" s="61" t="s">
        <v>49</v>
      </c>
      <c r="B16" s="62">
        <v>33.367037410000002</v>
      </c>
      <c r="C16" s="61">
        <v>33.367037410000002</v>
      </c>
      <c r="D16" s="60">
        <v>0</v>
      </c>
      <c r="E16" s="63">
        <v>200</v>
      </c>
      <c r="F16" s="63">
        <v>200</v>
      </c>
      <c r="G16" s="63">
        <v>0</v>
      </c>
      <c r="H16" s="63"/>
      <c r="I16" s="63">
        <v>-5.61</v>
      </c>
    </row>
    <row r="17" spans="1:9" x14ac:dyDescent="0.2">
      <c r="A17" s="61" t="s">
        <v>46</v>
      </c>
      <c r="B17" s="62">
        <v>4970.8263010000001</v>
      </c>
      <c r="C17" s="61">
        <v>4970.826301000001</v>
      </c>
      <c r="D17" s="60">
        <v>0</v>
      </c>
      <c r="E17" s="63">
        <v>476.22</v>
      </c>
      <c r="F17" s="63">
        <v>476.22</v>
      </c>
      <c r="G17" s="63">
        <v>0</v>
      </c>
      <c r="H17" s="63"/>
      <c r="I17" s="63">
        <v>-26.740000000000009</v>
      </c>
    </row>
    <row r="18" spans="1:9" x14ac:dyDescent="0.2">
      <c r="A18" s="61" t="s">
        <v>50</v>
      </c>
      <c r="B18" s="62">
        <v>5.8445141200000004</v>
      </c>
      <c r="C18" s="61">
        <v>5.8445141199999986</v>
      </c>
      <c r="D18" s="60">
        <v>8.8817841970012523E-16</v>
      </c>
      <c r="E18" s="63">
        <v>783.06</v>
      </c>
      <c r="F18" s="63">
        <v>783.06000000000006</v>
      </c>
      <c r="G18" s="63">
        <v>0</v>
      </c>
      <c r="H18" s="63"/>
      <c r="I18" s="63">
        <v>-43.75</v>
      </c>
    </row>
    <row r="19" spans="1:9" x14ac:dyDescent="0.2">
      <c r="A19" s="61" t="s">
        <v>51</v>
      </c>
      <c r="B19" s="62">
        <v>4.5437105100000004</v>
      </c>
      <c r="C19" s="61">
        <v>4.5437105100000004</v>
      </c>
      <c r="D19" s="60">
        <v>0</v>
      </c>
      <c r="E19" s="63">
        <v>60.000000000000007</v>
      </c>
      <c r="F19" s="63">
        <v>60</v>
      </c>
      <c r="G19" s="63">
        <v>0</v>
      </c>
      <c r="H19" s="63"/>
      <c r="I19" s="63">
        <v>20.53</v>
      </c>
    </row>
    <row r="20" spans="1:9" x14ac:dyDescent="0.2">
      <c r="A20" s="61" t="s">
        <v>52</v>
      </c>
      <c r="B20" s="62">
        <v>342.91233002000001</v>
      </c>
      <c r="C20" s="61">
        <v>342.91233002000001</v>
      </c>
      <c r="D20" s="60">
        <v>0</v>
      </c>
      <c r="E20" s="63">
        <v>383.61</v>
      </c>
      <c r="F20" s="63">
        <v>383.61</v>
      </c>
      <c r="G20" s="63">
        <v>0</v>
      </c>
      <c r="H20" s="63"/>
      <c r="I20" s="63">
        <v>-12.11</v>
      </c>
    </row>
    <row r="21" spans="1:9" x14ac:dyDescent="0.2">
      <c r="A21" s="61" t="s">
        <v>54</v>
      </c>
      <c r="B21" s="62">
        <v>56.116802880000002</v>
      </c>
      <c r="C21" s="61">
        <v>56.116802880000002</v>
      </c>
      <c r="D21" s="60">
        <v>0</v>
      </c>
      <c r="E21" s="63">
        <v>19.37</v>
      </c>
      <c r="F21" s="63">
        <v>19.37</v>
      </c>
      <c r="G21" s="63">
        <v>0</v>
      </c>
      <c r="H21" s="63"/>
      <c r="I21" s="63">
        <v>-0.49</v>
      </c>
    </row>
    <row r="22" spans="1:9" x14ac:dyDescent="0.2">
      <c r="A22" s="61" t="s">
        <v>56</v>
      </c>
      <c r="B22" s="62">
        <v>3.853386</v>
      </c>
      <c r="C22" s="61">
        <v>3.853386</v>
      </c>
      <c r="D22" s="60">
        <v>0</v>
      </c>
      <c r="E22" s="63">
        <v>13.74</v>
      </c>
      <c r="F22" s="63">
        <v>13.74</v>
      </c>
      <c r="G22" s="63">
        <v>0</v>
      </c>
      <c r="H22" s="63"/>
      <c r="I22" s="63">
        <v>-1.6</v>
      </c>
    </row>
    <row r="23" spans="1:9" x14ac:dyDescent="0.2">
      <c r="A23" s="61" t="s">
        <v>53</v>
      </c>
      <c r="B23" s="62">
        <v>0.80862630000000002</v>
      </c>
      <c r="C23" s="61">
        <v>0.80862630999999996</v>
      </c>
      <c r="D23" s="60">
        <v>0</v>
      </c>
      <c r="E23" s="63">
        <v>2.98</v>
      </c>
      <c r="F23" s="63">
        <v>2.98</v>
      </c>
      <c r="G23" s="63">
        <v>0</v>
      </c>
      <c r="H23" s="63"/>
      <c r="I23" s="63">
        <v>-1.08</v>
      </c>
    </row>
    <row r="24" spans="1:9" x14ac:dyDescent="0.2">
      <c r="A24" s="61" t="s">
        <v>55</v>
      </c>
      <c r="B24" s="62">
        <v>36.42306705</v>
      </c>
      <c r="C24" s="61">
        <v>36.42306705</v>
      </c>
      <c r="D24" s="60">
        <v>0</v>
      </c>
      <c r="E24" s="63">
        <v>9.8699999999999992</v>
      </c>
      <c r="F24" s="63">
        <v>9.8699999999999992</v>
      </c>
      <c r="G24" s="63">
        <v>0</v>
      </c>
      <c r="H24" s="63"/>
      <c r="I24" s="63">
        <v>-0.55000000000000004</v>
      </c>
    </row>
    <row r="25" spans="1:9" x14ac:dyDescent="0.2">
      <c r="A25" s="61" t="s">
        <v>59</v>
      </c>
      <c r="B25" s="62">
        <v>1442.9762798199999</v>
      </c>
      <c r="C25" s="61">
        <v>1442.9762798199999</v>
      </c>
      <c r="D25" s="60">
        <v>0</v>
      </c>
      <c r="E25" s="63">
        <v>52.39</v>
      </c>
      <c r="F25" s="63">
        <v>52.39</v>
      </c>
      <c r="G25" s="63">
        <v>0</v>
      </c>
      <c r="H25" s="63"/>
      <c r="I25" s="63">
        <v>-1.22</v>
      </c>
    </row>
    <row r="26" spans="1:9" x14ac:dyDescent="0.2">
      <c r="A26" s="61" t="s">
        <v>58</v>
      </c>
      <c r="B26" s="62">
        <v>37.85224736</v>
      </c>
      <c r="C26" s="61">
        <v>37.85224736</v>
      </c>
      <c r="D26" s="60">
        <v>0</v>
      </c>
      <c r="E26" s="63">
        <v>24.45</v>
      </c>
      <c r="F26" s="63">
        <v>24.45</v>
      </c>
      <c r="G26" s="63">
        <v>0</v>
      </c>
      <c r="H26" s="63"/>
      <c r="I26" s="63">
        <v>-2.4700000000000002</v>
      </c>
    </row>
    <row r="27" spans="1:9" x14ac:dyDescent="0.2">
      <c r="A27" s="61" t="s">
        <v>60</v>
      </c>
      <c r="B27" s="62">
        <v>52.526181739999998</v>
      </c>
      <c r="C27" s="61">
        <v>52.526181739999998</v>
      </c>
      <c r="D27" s="60">
        <v>0</v>
      </c>
      <c r="E27" s="63">
        <v>40.04</v>
      </c>
      <c r="F27" s="63">
        <v>40.04</v>
      </c>
      <c r="G27" s="63">
        <v>0</v>
      </c>
      <c r="H27" s="63"/>
      <c r="I27" s="63">
        <v>-16.52</v>
      </c>
    </row>
    <row r="28" spans="1:9" x14ac:dyDescent="0.2">
      <c r="A28" s="61" t="s">
        <v>61</v>
      </c>
      <c r="B28" s="62">
        <v>0.39812682900000002</v>
      </c>
      <c r="C28" s="61">
        <v>0.39812682999999999</v>
      </c>
      <c r="D28" s="60">
        <v>0</v>
      </c>
      <c r="E28" s="63">
        <v>58.91</v>
      </c>
      <c r="F28" s="63">
        <v>58.91</v>
      </c>
      <c r="G28" s="63">
        <v>0</v>
      </c>
      <c r="H28" s="63"/>
      <c r="I28" s="63">
        <v>-18.87</v>
      </c>
    </row>
    <row r="29" spans="1:9" x14ac:dyDescent="0.2">
      <c r="A29" s="61" t="s">
        <v>57</v>
      </c>
      <c r="B29" s="62">
        <v>7.1263997500000009</v>
      </c>
      <c r="C29" s="61">
        <v>7.1263997499999991</v>
      </c>
      <c r="D29" s="60">
        <v>1.7763568394002501E-15</v>
      </c>
      <c r="E29" s="63">
        <v>5</v>
      </c>
      <c r="F29" s="63">
        <v>5</v>
      </c>
      <c r="G29" s="63">
        <v>0</v>
      </c>
      <c r="H29" s="63"/>
      <c r="I29" s="63">
        <v>-0.34</v>
      </c>
    </row>
    <row r="30" spans="1:9" x14ac:dyDescent="0.2">
      <c r="A30" s="61" t="s">
        <v>63</v>
      </c>
      <c r="B30" s="62">
        <v>78.847219999999993</v>
      </c>
      <c r="C30" s="61">
        <v>78.847219999999993</v>
      </c>
      <c r="D30" s="60">
        <v>0</v>
      </c>
      <c r="E30" s="63">
        <v>49.04</v>
      </c>
      <c r="F30" s="63">
        <v>49.04</v>
      </c>
      <c r="G30" s="63">
        <v>0</v>
      </c>
      <c r="H30" s="63"/>
      <c r="I30" s="63">
        <v>-3.09</v>
      </c>
    </row>
    <row r="31" spans="1:9" x14ac:dyDescent="0.2">
      <c r="A31" s="61" t="s">
        <v>62</v>
      </c>
      <c r="B31" s="62">
        <v>13.196624590000001</v>
      </c>
      <c r="C31" s="61">
        <v>13.196624590000001</v>
      </c>
      <c r="D31" s="60">
        <v>0</v>
      </c>
      <c r="E31" s="63">
        <v>49.03</v>
      </c>
      <c r="F31" s="63">
        <v>49.03</v>
      </c>
      <c r="G31" s="63">
        <v>0</v>
      </c>
      <c r="H31" s="63"/>
      <c r="I31" s="63">
        <v>-7.53</v>
      </c>
    </row>
    <row r="32" spans="1:9" x14ac:dyDescent="0.2">
      <c r="A32" s="61" t="s">
        <v>64</v>
      </c>
      <c r="B32" s="62">
        <v>242.62441733</v>
      </c>
      <c r="C32" s="61">
        <v>242.62441733</v>
      </c>
      <c r="D32" s="60">
        <v>0</v>
      </c>
      <c r="E32" s="63">
        <v>23.77</v>
      </c>
      <c r="F32" s="63">
        <v>23.77</v>
      </c>
      <c r="G32" s="63">
        <v>0</v>
      </c>
      <c r="H32" s="63"/>
      <c r="I32" s="63">
        <v>-3.05</v>
      </c>
    </row>
    <row r="33" spans="1:9" x14ac:dyDescent="0.2">
      <c r="A33" s="61" t="s">
        <v>65</v>
      </c>
      <c r="B33" s="62">
        <v>625.34742832000018</v>
      </c>
      <c r="C33" s="61">
        <v>625.34742832000006</v>
      </c>
      <c r="D33" s="60">
        <v>1.13686837721616E-13</v>
      </c>
      <c r="E33" s="63">
        <v>30.25</v>
      </c>
      <c r="F33" s="63">
        <v>30.25</v>
      </c>
      <c r="G33" s="63">
        <v>0</v>
      </c>
      <c r="H33" s="63"/>
      <c r="I33" s="63">
        <v>-3.49</v>
      </c>
    </row>
    <row r="34" spans="1:9" x14ac:dyDescent="0.2">
      <c r="A34" s="61" t="s">
        <v>66</v>
      </c>
      <c r="B34" s="62">
        <v>465.85208392999999</v>
      </c>
      <c r="C34" s="61">
        <v>465.85208394</v>
      </c>
      <c r="D34" s="60">
        <v>0</v>
      </c>
      <c r="E34" s="63">
        <v>29.38</v>
      </c>
      <c r="F34" s="63">
        <v>29.38</v>
      </c>
      <c r="G34" s="63">
        <v>0</v>
      </c>
      <c r="H34" s="63"/>
      <c r="I34" s="63">
        <v>0.6</v>
      </c>
    </row>
    <row r="35" spans="1:9" x14ac:dyDescent="0.2">
      <c r="A35" s="61" t="s">
        <v>67</v>
      </c>
      <c r="B35" s="62">
        <v>132.27014912000001</v>
      </c>
      <c r="C35" s="61">
        <v>132.27014912000001</v>
      </c>
      <c r="D35" s="60">
        <v>0</v>
      </c>
      <c r="E35" s="63">
        <v>19.670000000000002</v>
      </c>
      <c r="F35" s="63">
        <v>19.670000000000002</v>
      </c>
      <c r="G35" s="63">
        <v>0</v>
      </c>
      <c r="H35" s="63"/>
      <c r="I35" s="63">
        <v>-4.46</v>
      </c>
    </row>
    <row r="36" spans="1:9" x14ac:dyDescent="0.2">
      <c r="A36" s="61" t="s">
        <v>68</v>
      </c>
      <c r="B36" s="62">
        <v>256.62583761000002</v>
      </c>
      <c r="C36" s="61">
        <v>256.62583761000002</v>
      </c>
      <c r="D36" s="60">
        <v>0</v>
      </c>
      <c r="E36" s="63">
        <v>43.400000000000013</v>
      </c>
      <c r="F36" s="63">
        <v>43.4</v>
      </c>
      <c r="G36" s="63">
        <v>0</v>
      </c>
      <c r="H36" s="63"/>
      <c r="I36" s="63">
        <v>3.69</v>
      </c>
    </row>
    <row r="37" spans="1:9" x14ac:dyDescent="0.2">
      <c r="A37" s="61" t="s">
        <v>69</v>
      </c>
      <c r="B37" s="62">
        <v>2853.6429327400001</v>
      </c>
      <c r="C37" s="61">
        <v>2853.6429327400001</v>
      </c>
      <c r="D37" s="60">
        <v>0</v>
      </c>
      <c r="E37" s="63">
        <v>51.66</v>
      </c>
      <c r="F37" s="63">
        <v>51.66</v>
      </c>
      <c r="G37" s="63">
        <v>0</v>
      </c>
      <c r="H37" s="63"/>
      <c r="I37" s="63">
        <v>-11.29</v>
      </c>
    </row>
    <row r="38" spans="1:9" x14ac:dyDescent="0.2">
      <c r="A38" s="61" t="s">
        <v>70</v>
      </c>
      <c r="B38" s="62">
        <v>27.310846389999998</v>
      </c>
      <c r="C38" s="61">
        <v>27.310846389999998</v>
      </c>
      <c r="D38" s="60">
        <v>0</v>
      </c>
      <c r="E38" s="63">
        <v>9.6999999999999993</v>
      </c>
      <c r="F38" s="63">
        <v>9.6999999999999993</v>
      </c>
      <c r="G38" s="63">
        <v>0</v>
      </c>
      <c r="H38" s="63"/>
      <c r="I38" s="63">
        <v>-0.23</v>
      </c>
    </row>
    <row r="39" spans="1:9" x14ac:dyDescent="0.2">
      <c r="A39" s="61" t="s">
        <v>71</v>
      </c>
      <c r="B39" s="62">
        <v>16.80154576</v>
      </c>
      <c r="C39" s="61">
        <v>16.801545770000001</v>
      </c>
      <c r="D39" s="60">
        <v>0</v>
      </c>
      <c r="E39" s="63">
        <v>2.98</v>
      </c>
      <c r="F39" s="63">
        <v>2.98</v>
      </c>
      <c r="G39" s="63">
        <v>0</v>
      </c>
      <c r="H39" s="63"/>
      <c r="I39" s="63">
        <v>0.02</v>
      </c>
    </row>
    <row r="40" spans="1:9" x14ac:dyDescent="0.2">
      <c r="A40" s="61" t="s">
        <v>72</v>
      </c>
      <c r="B40" s="62">
        <v>4.4508185500000002</v>
      </c>
      <c r="C40" s="61">
        <v>4.4508185500000002</v>
      </c>
      <c r="D40" s="60">
        <v>0</v>
      </c>
      <c r="E40" s="63">
        <v>3</v>
      </c>
      <c r="F40" s="63">
        <v>3</v>
      </c>
      <c r="G40" s="63">
        <v>0</v>
      </c>
      <c r="H40" s="63"/>
      <c r="I40" s="63">
        <v>-0.01</v>
      </c>
    </row>
    <row r="41" spans="1:9" x14ac:dyDescent="0.2">
      <c r="A41" s="61" t="s">
        <v>73</v>
      </c>
      <c r="B41" s="62">
        <v>25.615779320000001</v>
      </c>
      <c r="C41" s="61">
        <v>25.615779329999999</v>
      </c>
      <c r="D41" s="60">
        <v>0</v>
      </c>
      <c r="E41" s="63">
        <v>4</v>
      </c>
      <c r="F41" s="63">
        <v>4</v>
      </c>
      <c r="G41" s="63">
        <v>0</v>
      </c>
      <c r="H41" s="63"/>
      <c r="I41" s="63">
        <v>-0.14000000000000001</v>
      </c>
    </row>
    <row r="42" spans="1:9" x14ac:dyDescent="0.2">
      <c r="A42" s="61" t="s">
        <v>74</v>
      </c>
      <c r="B42" s="62">
        <v>4.3668122</v>
      </c>
      <c r="C42" s="61">
        <v>4.3668122199999999</v>
      </c>
      <c r="D42" s="60">
        <v>0</v>
      </c>
      <c r="E42" s="63">
        <v>5</v>
      </c>
      <c r="F42" s="63">
        <v>5</v>
      </c>
      <c r="G42" s="63">
        <v>0</v>
      </c>
      <c r="H42" s="63"/>
      <c r="I42" s="63">
        <v>-0.13</v>
      </c>
    </row>
    <row r="43" spans="1:9" x14ac:dyDescent="0.2">
      <c r="C43" s="53"/>
    </row>
  </sheetData>
  <conditionalFormatting sqref="B1:D1048576">
    <cfRule type="notContainsBlanks" dxfId="3" priority="4">
      <formula>LEN(TRIM(B1))&gt;0</formula>
    </cfRule>
  </conditionalFormatting>
  <conditionalFormatting sqref="E1:H1048576">
    <cfRule type="notContainsBlanks" dxfId="2" priority="3">
      <formula>LEN(TRIM(E1))&gt;0</formula>
    </cfRule>
  </conditionalFormatting>
  <conditionalFormatting sqref="I1:I42">
    <cfRule type="notContainsBlanks" dxfId="1" priority="6">
      <formula>LEN(TRIM(I1))&gt;0</formula>
    </cfRule>
  </conditionalFormatting>
  <conditionalFormatting sqref="A1:A1048576">
    <cfRule type="notContainsBlanks" dxfId="0" priority="1">
      <formula>LEN(TRIM(A1))&gt;0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X1903"/>
  <sheetViews>
    <sheetView tabSelected="1" zoomScale="114" workbookViewId="0">
      <selection activeCell="A5" sqref="A5:G5"/>
    </sheetView>
  </sheetViews>
  <sheetFormatPr baseColWidth="10" defaultRowHeight="16" x14ac:dyDescent="0.2"/>
  <cols>
    <col min="1" max="1" width="9.7109375" style="99" customWidth="1"/>
    <col min="2" max="2" width="10.7109375" style="58" customWidth="1"/>
    <col min="3" max="3" width="13.5703125" style="58" customWidth="1"/>
    <col min="4" max="4" width="10.7109375" style="51" customWidth="1"/>
    <col min="5" max="5" width="10.7109375" style="52" customWidth="1"/>
    <col min="6" max="6" width="9.5703125" style="81" customWidth="1"/>
    <col min="7" max="7" width="13.5703125" style="97" customWidth="1"/>
    <col min="8" max="8" width="14.140625" style="52" customWidth="1"/>
    <col min="9" max="9" width="16" style="52" customWidth="1"/>
    <col min="10" max="10" width="12.140625" style="52" customWidth="1"/>
    <col min="11" max="11" width="14.42578125" style="52" customWidth="1"/>
    <col min="12" max="12" width="11.85546875" style="52" customWidth="1"/>
    <col min="13" max="13" width="14" style="52" customWidth="1"/>
    <col min="14" max="14" width="14.42578125" style="52" customWidth="1"/>
    <col min="15" max="15" width="14.85546875" style="52" customWidth="1"/>
    <col min="16" max="16" width="12" style="52" customWidth="1"/>
    <col min="17" max="17" width="16.7109375" style="52" customWidth="1"/>
    <col min="18" max="50" width="10.7109375" style="52" customWidth="1"/>
    <col min="51" max="71" width="10.7109375" style="39" customWidth="1"/>
    <col min="72" max="16384" width="10.7109375" style="39"/>
  </cols>
  <sheetData>
    <row r="1" spans="1:9" x14ac:dyDescent="0.2">
      <c r="A1" s="118" t="s">
        <v>86</v>
      </c>
      <c r="B1" s="119"/>
      <c r="C1" s="119"/>
      <c r="G1" s="115"/>
      <c r="H1" s="116"/>
      <c r="I1" s="116"/>
    </row>
    <row r="2" spans="1:9" x14ac:dyDescent="0.2">
      <c r="A2" s="120"/>
      <c r="B2" s="119"/>
      <c r="C2" s="119"/>
      <c r="D2" s="51" t="s">
        <v>87</v>
      </c>
      <c r="E2" s="52" t="s">
        <v>88</v>
      </c>
      <c r="G2" s="117"/>
      <c r="H2" s="116"/>
      <c r="I2" s="116"/>
    </row>
    <row r="3" spans="1:9" x14ac:dyDescent="0.2">
      <c r="A3" s="120"/>
      <c r="B3" s="119"/>
      <c r="C3" s="119"/>
      <c r="D3" s="80">
        <v>365</v>
      </c>
      <c r="E3" s="52">
        <v>1</v>
      </c>
      <c r="G3" s="117"/>
      <c r="H3" s="116"/>
      <c r="I3" s="116"/>
    </row>
    <row r="5" spans="1:9" x14ac:dyDescent="0.2">
      <c r="A5" s="98" t="s">
        <v>18</v>
      </c>
      <c r="B5" s="82" t="s">
        <v>89</v>
      </c>
      <c r="C5" s="82" t="s">
        <v>90</v>
      </c>
      <c r="E5" s="54" t="s">
        <v>91</v>
      </c>
      <c r="F5" s="85" t="s">
        <v>92</v>
      </c>
      <c r="G5" s="91" t="s">
        <v>83</v>
      </c>
      <c r="H5" s="54"/>
    </row>
    <row r="6" spans="1:9" x14ac:dyDescent="0.2">
      <c r="A6" s="99">
        <f t="array" aca="1" ref="A6:A370" ca="1">_xlfn.SEQUENCE(365, 1, TODAY(), -1)</f>
        <v>45389</v>
      </c>
      <c r="C6" s="84">
        <v>15896.66142495938</v>
      </c>
      <c r="D6" s="66"/>
      <c r="E6" s="100" t="s">
        <v>93</v>
      </c>
      <c r="F6" s="87"/>
      <c r="G6" s="92"/>
      <c r="H6" s="39"/>
    </row>
    <row r="7" spans="1:9" x14ac:dyDescent="0.2">
      <c r="A7" s="99">
        <f ca="1"/>
        <v>45388</v>
      </c>
      <c r="C7" s="84">
        <v>15590.17944502269</v>
      </c>
      <c r="D7" s="66"/>
      <c r="E7" s="101" t="s">
        <v>16</v>
      </c>
      <c r="F7" s="101">
        <v>12273.445639</v>
      </c>
      <c r="G7" s="102">
        <v>7270.2907719162013</v>
      </c>
    </row>
    <row r="8" spans="1:9" x14ac:dyDescent="0.2">
      <c r="A8" s="99">
        <f ca="1"/>
        <v>45387</v>
      </c>
      <c r="C8" s="84">
        <v>16050.516417559809</v>
      </c>
      <c r="D8" s="66"/>
      <c r="E8" s="101" t="s">
        <v>17</v>
      </c>
      <c r="F8" s="101">
        <v>81520.145294550006</v>
      </c>
      <c r="G8" s="102">
        <v>8626.2009106043388</v>
      </c>
    </row>
    <row r="9" spans="1:9" x14ac:dyDescent="0.2">
      <c r="A9" s="99">
        <f ca="1"/>
        <v>45386</v>
      </c>
      <c r="C9" s="84">
        <v>15759.392248216611</v>
      </c>
      <c r="D9" s="66"/>
      <c r="E9" s="88"/>
      <c r="F9" s="88"/>
      <c r="G9" s="94"/>
    </row>
    <row r="10" spans="1:9" x14ac:dyDescent="0.2">
      <c r="A10" s="99">
        <f ca="1"/>
        <v>45385</v>
      </c>
      <c r="C10" s="84">
        <v>15629.601919889919</v>
      </c>
      <c r="D10" s="66"/>
      <c r="E10" s="100" t="s">
        <v>94</v>
      </c>
      <c r="F10" s="88"/>
      <c r="G10" s="94"/>
    </row>
    <row r="11" spans="1:9" x14ac:dyDescent="0.2">
      <c r="A11" s="99">
        <f ca="1"/>
        <v>45384</v>
      </c>
      <c r="C11" s="84">
        <v>16481.899746569219</v>
      </c>
      <c r="E11" s="101" t="s">
        <v>16</v>
      </c>
      <c r="F11" s="101">
        <v>12273.445639</v>
      </c>
      <c r="G11" s="102">
        <v>7130.0522955592287</v>
      </c>
    </row>
    <row r="12" spans="1:9" x14ac:dyDescent="0.2">
      <c r="A12" s="99">
        <f ca="1"/>
        <v>45383</v>
      </c>
      <c r="C12" s="84">
        <v>17154.081820268231</v>
      </c>
      <c r="D12" s="66"/>
      <c r="E12" s="101" t="s">
        <v>17</v>
      </c>
      <c r="F12" s="101">
        <v>81520.145294550006</v>
      </c>
      <c r="G12" s="102">
        <v>8458.9338004817164</v>
      </c>
    </row>
    <row r="13" spans="1:9" x14ac:dyDescent="0.2">
      <c r="A13" s="99">
        <f ca="1"/>
        <v>45382</v>
      </c>
      <c r="C13" s="84">
        <v>16886.572058015401</v>
      </c>
      <c r="D13" s="66"/>
      <c r="E13" s="101" t="s">
        <v>41</v>
      </c>
      <c r="F13" s="101">
        <v>3.1577000000003252E-4</v>
      </c>
      <c r="G13" s="102">
        <v>1.0246295223235851</v>
      </c>
    </row>
    <row r="14" spans="1:9" x14ac:dyDescent="0.2">
      <c r="A14" s="99">
        <f ca="1"/>
        <v>45381</v>
      </c>
      <c r="C14" s="84">
        <v>17219.752576914609</v>
      </c>
      <c r="D14" s="66"/>
      <c r="E14" s="88"/>
      <c r="F14" s="88"/>
      <c r="G14" s="94"/>
    </row>
    <row r="15" spans="1:9" x14ac:dyDescent="0.2">
      <c r="A15" s="99">
        <f ca="1"/>
        <v>45380</v>
      </c>
      <c r="C15" s="84">
        <v>17131.709889326459</v>
      </c>
      <c r="D15" s="66"/>
      <c r="E15" s="100" t="s">
        <v>95</v>
      </c>
      <c r="F15" s="88"/>
      <c r="G15" s="94"/>
    </row>
    <row r="16" spans="1:9" x14ac:dyDescent="0.2">
      <c r="A16" s="99">
        <f ca="1"/>
        <v>45379</v>
      </c>
      <c r="C16" s="84">
        <v>16783.755193622081</v>
      </c>
      <c r="D16" s="66"/>
      <c r="E16" s="101" t="s">
        <v>16</v>
      </c>
      <c r="F16" s="101">
        <v>12273.445639</v>
      </c>
      <c r="G16" s="102">
        <v>7329.9927390069024</v>
      </c>
    </row>
    <row r="17" spans="1:7" x14ac:dyDescent="0.2">
      <c r="A17" s="99">
        <f ca="1"/>
        <v>45378</v>
      </c>
      <c r="C17" s="84">
        <v>17563.691095650669</v>
      </c>
      <c r="D17" s="66"/>
      <c r="E17" s="101" t="s">
        <v>17</v>
      </c>
      <c r="F17" s="101">
        <v>81520.145294550006</v>
      </c>
      <c r="G17" s="102">
        <v>8720.3542328151852</v>
      </c>
    </row>
    <row r="18" spans="1:7" x14ac:dyDescent="0.2">
      <c r="A18" s="99">
        <f ca="1"/>
        <v>45377</v>
      </c>
      <c r="C18" s="84">
        <v>17382.07923548231</v>
      </c>
      <c r="D18" s="66"/>
      <c r="E18" s="90"/>
      <c r="F18" s="90"/>
      <c r="G18" s="93"/>
    </row>
    <row r="19" spans="1:7" x14ac:dyDescent="0.2">
      <c r="A19" s="99">
        <f ca="1"/>
        <v>45376</v>
      </c>
      <c r="C19" s="84">
        <v>16733.439458084071</v>
      </c>
      <c r="D19" s="66"/>
      <c r="E19" s="100" t="s">
        <v>96</v>
      </c>
      <c r="F19" s="88"/>
      <c r="G19" s="94"/>
    </row>
    <row r="20" spans="1:7" x14ac:dyDescent="0.2">
      <c r="A20" s="99">
        <f ca="1"/>
        <v>45375</v>
      </c>
      <c r="C20" s="84">
        <v>16303.265645128189</v>
      </c>
      <c r="D20" s="83"/>
      <c r="E20" s="101" t="s">
        <v>16</v>
      </c>
      <c r="F20" s="101">
        <v>12273.445639</v>
      </c>
      <c r="G20" s="102">
        <v>7062.0241456814874</v>
      </c>
    </row>
    <row r="21" spans="1:7" x14ac:dyDescent="0.2">
      <c r="A21" s="99">
        <f ca="1"/>
        <v>45374</v>
      </c>
      <c r="C21" s="84">
        <v>16148.523424232741</v>
      </c>
      <c r="D21" s="66"/>
      <c r="E21" s="101" t="s">
        <v>17</v>
      </c>
      <c r="F21" s="101">
        <v>81520.145294550006</v>
      </c>
      <c r="G21" s="102">
        <v>8392.6677047746834</v>
      </c>
    </row>
    <row r="22" spans="1:7" x14ac:dyDescent="0.2">
      <c r="A22" s="99">
        <f ca="1"/>
        <v>45373</v>
      </c>
      <c r="C22" s="84">
        <v>16837.892128689691</v>
      </c>
      <c r="D22" s="66"/>
      <c r="E22" s="103" t="s">
        <v>41</v>
      </c>
      <c r="F22" s="101">
        <v>3.1577000000003252E-4</v>
      </c>
      <c r="G22" s="102">
        <v>1.050006003882999</v>
      </c>
    </row>
    <row r="23" spans="1:7" x14ac:dyDescent="0.2">
      <c r="A23" s="99">
        <f ca="1"/>
        <v>45372</v>
      </c>
      <c r="C23" s="84">
        <v>16590.067731159379</v>
      </c>
      <c r="D23" s="66"/>
      <c r="E23" s="90"/>
      <c r="F23" s="90"/>
      <c r="G23" s="93"/>
    </row>
    <row r="24" spans="1:7" x14ac:dyDescent="0.2">
      <c r="A24" s="99">
        <f ca="1"/>
        <v>45371</v>
      </c>
      <c r="C24" s="84">
        <v>15445.784511008371</v>
      </c>
      <c r="D24" s="66"/>
      <c r="E24" s="100" t="s">
        <v>97</v>
      </c>
      <c r="F24" s="88"/>
      <c r="G24" s="94"/>
    </row>
    <row r="25" spans="1:7" x14ac:dyDescent="0.2">
      <c r="A25" s="99">
        <f ca="1"/>
        <v>45370</v>
      </c>
      <c r="C25" s="84">
        <v>17146.76110628252</v>
      </c>
      <c r="D25" s="66"/>
      <c r="E25" s="101" t="s">
        <v>16</v>
      </c>
      <c r="F25" s="101">
        <v>12273.445639</v>
      </c>
      <c r="G25" s="102">
        <v>7182.8770828550278</v>
      </c>
    </row>
    <row r="26" spans="1:7" x14ac:dyDescent="0.2">
      <c r="A26" s="99">
        <f ca="1"/>
        <v>45369</v>
      </c>
      <c r="C26" s="84">
        <v>17090.91060212614</v>
      </c>
      <c r="D26" s="66"/>
      <c r="E26" s="101" t="s">
        <v>17</v>
      </c>
      <c r="F26" s="101">
        <v>81520.145294550006</v>
      </c>
      <c r="G26" s="102">
        <v>8445.5188453720457</v>
      </c>
    </row>
    <row r="27" spans="1:7" x14ac:dyDescent="0.2">
      <c r="A27" s="99">
        <f ca="1"/>
        <v>45368</v>
      </c>
      <c r="C27" s="84">
        <v>16397.226465870539</v>
      </c>
      <c r="D27" s="66"/>
      <c r="E27" s="101" t="s">
        <v>41</v>
      </c>
      <c r="F27" s="101">
        <v>3.1577000000003252E-4</v>
      </c>
      <c r="G27" s="102">
        <v>1.0341155530419319</v>
      </c>
    </row>
    <row r="28" spans="1:7" x14ac:dyDescent="0.2">
      <c r="A28" s="99">
        <f ca="1"/>
        <v>45367</v>
      </c>
      <c r="C28" s="84">
        <v>17598.81378801426</v>
      </c>
      <c r="D28" s="66"/>
      <c r="E28" s="90"/>
      <c r="F28" s="90"/>
      <c r="G28" s="93"/>
    </row>
    <row r="29" spans="1:7" x14ac:dyDescent="0.2">
      <c r="A29" s="99">
        <f ca="1"/>
        <v>45366</v>
      </c>
      <c r="C29" s="84">
        <v>18568.77695535895</v>
      </c>
      <c r="D29" s="66"/>
      <c r="E29" s="100" t="s">
        <v>98</v>
      </c>
      <c r="F29" s="88"/>
      <c r="G29" s="94"/>
    </row>
    <row r="30" spans="1:7" x14ac:dyDescent="0.2">
      <c r="A30" s="99">
        <f ca="1"/>
        <v>45365</v>
      </c>
      <c r="C30" s="84">
        <v>19258.751287666219</v>
      </c>
      <c r="D30" s="66"/>
      <c r="E30" s="101" t="s">
        <v>16</v>
      </c>
      <c r="F30" s="101">
        <v>12273.445639</v>
      </c>
      <c r="G30" s="102">
        <v>7513.2228862170759</v>
      </c>
    </row>
    <row r="31" spans="1:7" x14ac:dyDescent="0.2">
      <c r="A31" s="99">
        <f ca="1"/>
        <v>45364</v>
      </c>
      <c r="C31" s="84">
        <v>19292.682289251639</v>
      </c>
      <c r="D31" s="66"/>
      <c r="E31" s="101" t="s">
        <v>17</v>
      </c>
      <c r="F31" s="101">
        <v>81520.145294550006</v>
      </c>
      <c r="G31" s="102">
        <v>8967.3985875259605</v>
      </c>
    </row>
    <row r="32" spans="1:7" x14ac:dyDescent="0.2">
      <c r="A32" s="99">
        <f ca="1"/>
        <v>45363</v>
      </c>
      <c r="C32" s="84">
        <v>19614.297878030109</v>
      </c>
      <c r="D32" s="66"/>
      <c r="E32" s="101" t="s">
        <v>41</v>
      </c>
      <c r="F32" s="101">
        <v>3.1577000000003252E-4</v>
      </c>
      <c r="G32" s="102">
        <v>1.1077993825792489</v>
      </c>
    </row>
    <row r="33" spans="1:7" x14ac:dyDescent="0.2">
      <c r="A33" s="99">
        <f ca="1"/>
        <v>45362</v>
      </c>
      <c r="C33" s="84">
        <v>17731.984030289841</v>
      </c>
      <c r="D33" s="66"/>
      <c r="E33" s="90"/>
      <c r="F33" s="90"/>
      <c r="G33" s="93"/>
    </row>
    <row r="34" spans="1:7" x14ac:dyDescent="0.2">
      <c r="A34" s="99">
        <f ca="1"/>
        <v>45361</v>
      </c>
      <c r="C34" s="84">
        <v>18287.18761994837</v>
      </c>
      <c r="D34" s="66"/>
      <c r="E34" s="100" t="s">
        <v>99</v>
      </c>
      <c r="F34" s="88"/>
      <c r="G34" s="94"/>
    </row>
    <row r="35" spans="1:7" x14ac:dyDescent="0.2">
      <c r="A35" s="99">
        <f ca="1"/>
        <v>45360</v>
      </c>
      <c r="C35" s="84">
        <v>18276.581127164362</v>
      </c>
      <c r="D35" s="66"/>
      <c r="E35" s="101" t="s">
        <v>16</v>
      </c>
      <c r="F35" s="101">
        <v>12273.445639</v>
      </c>
      <c r="G35" s="102">
        <v>7719.5386482674712</v>
      </c>
    </row>
    <row r="36" spans="1:7" x14ac:dyDescent="0.2">
      <c r="A36" s="99">
        <f ca="1"/>
        <v>45359</v>
      </c>
      <c r="C36" s="84">
        <v>18631.488327355979</v>
      </c>
      <c r="D36" s="66"/>
      <c r="E36" s="101" t="s">
        <v>17</v>
      </c>
      <c r="F36" s="101">
        <v>81520.145294550006</v>
      </c>
      <c r="G36" s="102">
        <v>9433.2210017680791</v>
      </c>
    </row>
    <row r="37" spans="1:7" x14ac:dyDescent="0.2">
      <c r="A37" s="99">
        <f ca="1"/>
        <v>45358</v>
      </c>
      <c r="C37" s="84">
        <v>17790.716381947321</v>
      </c>
      <c r="D37" s="66"/>
      <c r="E37" s="101" t="s">
        <v>41</v>
      </c>
      <c r="F37" s="101">
        <v>3.1577000000003252E-4</v>
      </c>
      <c r="G37" s="102">
        <v>1.1509082646668789</v>
      </c>
    </row>
    <row r="38" spans="1:7" x14ac:dyDescent="0.2">
      <c r="A38" s="99">
        <f ca="1"/>
        <v>45357</v>
      </c>
      <c r="C38" s="84">
        <v>16445.594292428919</v>
      </c>
      <c r="D38" s="66"/>
      <c r="E38" s="90"/>
      <c r="F38" s="90"/>
      <c r="G38" s="93"/>
    </row>
    <row r="39" spans="1:7" x14ac:dyDescent="0.2">
      <c r="A39" s="99">
        <f ca="1"/>
        <v>45356</v>
      </c>
      <c r="C39" s="84">
        <v>17592.649376821879</v>
      </c>
      <c r="D39" s="66"/>
      <c r="E39" s="100" t="s">
        <v>100</v>
      </c>
      <c r="F39" s="88"/>
      <c r="G39" s="94"/>
    </row>
    <row r="40" spans="1:7" x14ac:dyDescent="0.2">
      <c r="A40" s="99">
        <f ca="1"/>
        <v>45355</v>
      </c>
      <c r="C40" s="84">
        <v>16895.220902314511</v>
      </c>
      <c r="D40" s="66"/>
      <c r="E40" s="101" t="s">
        <v>16</v>
      </c>
      <c r="F40" s="101">
        <v>12273.445639</v>
      </c>
      <c r="G40" s="102">
        <v>7621.9375083881032</v>
      </c>
    </row>
    <row r="41" spans="1:7" x14ac:dyDescent="0.2">
      <c r="A41" s="99">
        <f ca="1"/>
        <v>45354</v>
      </c>
      <c r="C41" s="84">
        <v>17307.27923006966</v>
      </c>
      <c r="D41" s="66"/>
      <c r="E41" s="101" t="s">
        <v>17</v>
      </c>
      <c r="F41" s="101">
        <v>81520.145294550006</v>
      </c>
      <c r="G41" s="102">
        <v>9263.3566598163707</v>
      </c>
    </row>
    <row r="42" spans="1:7" x14ac:dyDescent="0.2">
      <c r="A42" s="99">
        <f ca="1"/>
        <v>45353</v>
      </c>
      <c r="C42" s="84">
        <v>16880.967991282199</v>
      </c>
      <c r="D42" s="66"/>
      <c r="E42" s="101" t="s">
        <v>41</v>
      </c>
      <c r="F42" s="101">
        <v>3.1577000000003252E-4</v>
      </c>
      <c r="G42" s="102">
        <v>1.107614005329445</v>
      </c>
    </row>
    <row r="43" spans="1:7" x14ac:dyDescent="0.2">
      <c r="A43" s="99">
        <f ca="1"/>
        <v>45352</v>
      </c>
      <c r="C43" s="84">
        <v>16516.897052187149</v>
      </c>
      <c r="D43" s="66"/>
      <c r="E43" s="90"/>
      <c r="F43" s="90"/>
      <c r="G43" s="93"/>
    </row>
    <row r="44" spans="1:7" x14ac:dyDescent="0.2">
      <c r="A44" s="99">
        <f ca="1"/>
        <v>45351</v>
      </c>
      <c r="C44" s="84">
        <v>16296.84255056845</v>
      </c>
      <c r="D44" s="66"/>
      <c r="E44" s="100" t="s">
        <v>101</v>
      </c>
      <c r="F44" s="88"/>
      <c r="G44" s="94"/>
    </row>
    <row r="45" spans="1:7" x14ac:dyDescent="0.2">
      <c r="A45" s="99">
        <f ca="1"/>
        <v>45350</v>
      </c>
      <c r="C45" s="84">
        <v>16028.59529316258</v>
      </c>
      <c r="D45" s="66"/>
      <c r="E45" s="101" t="s">
        <v>16</v>
      </c>
      <c r="F45" s="101">
        <v>12273.445639</v>
      </c>
      <c r="G45" s="102">
        <v>7739.4491227208828</v>
      </c>
    </row>
    <row r="46" spans="1:7" x14ac:dyDescent="0.2">
      <c r="A46" s="99">
        <f ca="1"/>
        <v>45349</v>
      </c>
      <c r="C46" s="84">
        <v>15877.86661204924</v>
      </c>
      <c r="D46" s="66"/>
      <c r="E46" s="101" t="s">
        <v>17</v>
      </c>
      <c r="F46" s="101">
        <v>81520.145294550006</v>
      </c>
      <c r="G46" s="102">
        <v>9479.0222802003682</v>
      </c>
    </row>
    <row r="47" spans="1:7" x14ac:dyDescent="0.2">
      <c r="A47" s="99">
        <f ca="1"/>
        <v>45348</v>
      </c>
      <c r="C47" s="84">
        <v>15584.219838663361</v>
      </c>
      <c r="D47" s="66"/>
      <c r="E47" s="101" t="s">
        <v>41</v>
      </c>
      <c r="F47" s="101">
        <v>3.1577000000003252E-4</v>
      </c>
      <c r="G47" s="102">
        <v>1.1102776521179389</v>
      </c>
    </row>
    <row r="48" spans="1:7" x14ac:dyDescent="0.2">
      <c r="A48" s="99">
        <f ca="1"/>
        <v>45347</v>
      </c>
      <c r="C48" s="84">
        <v>15650.59970669888</v>
      </c>
      <c r="D48" s="66"/>
      <c r="E48" s="90"/>
      <c r="F48" s="90"/>
      <c r="G48" s="93"/>
    </row>
    <row r="49" spans="1:7" x14ac:dyDescent="0.2">
      <c r="A49" s="99">
        <f ca="1"/>
        <v>45346</v>
      </c>
      <c r="C49" s="84">
        <v>13562.870806000141</v>
      </c>
      <c r="D49" s="66"/>
      <c r="E49" s="100" t="s">
        <v>102</v>
      </c>
      <c r="F49" s="88"/>
      <c r="G49" s="94"/>
    </row>
    <row r="50" spans="1:7" x14ac:dyDescent="0.2">
      <c r="A50" s="99">
        <f ca="1"/>
        <v>45345</v>
      </c>
      <c r="C50" s="84">
        <v>14264.34898791157</v>
      </c>
      <c r="D50" s="66"/>
      <c r="E50" s="101" t="s">
        <v>16</v>
      </c>
      <c r="F50" s="101">
        <v>12273.445639</v>
      </c>
      <c r="G50" s="102">
        <v>7659.6209140024366</v>
      </c>
    </row>
    <row r="51" spans="1:7" x14ac:dyDescent="0.2">
      <c r="A51" s="99">
        <f ca="1"/>
        <v>45344</v>
      </c>
      <c r="C51" s="84">
        <v>13285.264869997211</v>
      </c>
      <c r="D51" s="66"/>
      <c r="E51" s="101" t="s">
        <v>17</v>
      </c>
      <c r="F51" s="101">
        <v>81520.145294550006</v>
      </c>
      <c r="G51" s="102">
        <v>9470.7936367343373</v>
      </c>
    </row>
    <row r="52" spans="1:7" x14ac:dyDescent="0.2">
      <c r="A52" s="99">
        <f ca="1"/>
        <v>45343</v>
      </c>
      <c r="C52" s="84">
        <v>13644.92843222406</v>
      </c>
      <c r="D52" s="66"/>
      <c r="E52" s="101" t="s">
        <v>41</v>
      </c>
      <c r="F52" s="101">
        <v>3.1577000000003252E-4</v>
      </c>
      <c r="G52" s="102">
        <v>1.1242237774769981</v>
      </c>
    </row>
    <row r="53" spans="1:7" x14ac:dyDescent="0.2">
      <c r="A53" s="99">
        <f ca="1"/>
        <v>45342</v>
      </c>
      <c r="C53" s="84">
        <v>13896.96730561493</v>
      </c>
      <c r="D53" s="66"/>
      <c r="E53" s="88"/>
      <c r="F53" s="88"/>
      <c r="G53" s="94"/>
    </row>
    <row r="54" spans="1:7" x14ac:dyDescent="0.2">
      <c r="A54" s="99">
        <f ca="1"/>
        <v>45341</v>
      </c>
      <c r="C54" s="84">
        <v>12138.50552905302</v>
      </c>
      <c r="D54" s="66"/>
      <c r="E54" s="100" t="s">
        <v>103</v>
      </c>
      <c r="F54" s="88"/>
      <c r="G54" s="94"/>
    </row>
    <row r="55" spans="1:7" x14ac:dyDescent="0.2">
      <c r="A55" s="99">
        <f ca="1"/>
        <v>45340</v>
      </c>
      <c r="C55" s="84">
        <v>11564.25310191998</v>
      </c>
      <c r="D55" s="66"/>
      <c r="E55" s="101" t="s">
        <v>16</v>
      </c>
      <c r="F55" s="101">
        <v>12273.445639</v>
      </c>
      <c r="G55" s="102">
        <v>7515.0512614139179</v>
      </c>
    </row>
    <row r="56" spans="1:7" x14ac:dyDescent="0.2">
      <c r="A56" s="99">
        <f ca="1"/>
        <v>45339</v>
      </c>
      <c r="C56" s="84">
        <v>11864.70204844096</v>
      </c>
      <c r="D56" s="66"/>
      <c r="E56" s="101" t="s">
        <v>17</v>
      </c>
      <c r="F56" s="101">
        <v>81520.145294550006</v>
      </c>
      <c r="G56" s="102">
        <v>9267.4269606709295</v>
      </c>
    </row>
    <row r="57" spans="1:7" x14ac:dyDescent="0.2">
      <c r="A57" s="99">
        <f ca="1"/>
        <v>45338</v>
      </c>
      <c r="C57" s="84">
        <v>11614.875578876119</v>
      </c>
      <c r="D57" s="66"/>
      <c r="E57" s="101" t="s">
        <v>41</v>
      </c>
      <c r="F57" s="101">
        <v>3.1577000000003252E-4</v>
      </c>
      <c r="G57" s="102">
        <v>1.106842724546272</v>
      </c>
    </row>
    <row r="58" spans="1:7" x14ac:dyDescent="0.2">
      <c r="A58" s="99">
        <f ca="1"/>
        <v>45337</v>
      </c>
      <c r="C58" s="84">
        <v>11372.679507154209</v>
      </c>
      <c r="D58" s="66"/>
      <c r="E58" s="89"/>
      <c r="F58" s="86"/>
      <c r="G58" s="95"/>
    </row>
    <row r="59" spans="1:7" x14ac:dyDescent="0.2">
      <c r="A59" s="99">
        <f ca="1"/>
        <v>45336</v>
      </c>
      <c r="C59" s="84">
        <v>11194.69993708933</v>
      </c>
      <c r="D59" s="66"/>
      <c r="E59" s="100" t="s">
        <v>104</v>
      </c>
      <c r="F59" s="90"/>
      <c r="G59" s="93"/>
    </row>
    <row r="60" spans="1:7" x14ac:dyDescent="0.2">
      <c r="A60" s="99">
        <f ca="1"/>
        <v>45335</v>
      </c>
      <c r="C60" s="84">
        <v>11121.23313947426</v>
      </c>
      <c r="D60" s="66"/>
      <c r="E60" s="101" t="s">
        <v>16</v>
      </c>
      <c r="F60" s="101">
        <v>12273.445639</v>
      </c>
      <c r="G60" s="102">
        <v>7767.4454658957238</v>
      </c>
    </row>
    <row r="61" spans="1:7" x14ac:dyDescent="0.2">
      <c r="A61" s="99">
        <f ca="1"/>
        <v>45334</v>
      </c>
      <c r="C61" s="84">
        <v>10927.54231735647</v>
      </c>
      <c r="D61" s="66"/>
      <c r="E61" s="101" t="s">
        <v>17</v>
      </c>
      <c r="F61" s="101">
        <v>81520.145294550006</v>
      </c>
      <c r="G61" s="102">
        <v>9794.9421904690553</v>
      </c>
    </row>
    <row r="62" spans="1:7" x14ac:dyDescent="0.2">
      <c r="A62" s="99">
        <f ca="1"/>
        <v>45333</v>
      </c>
      <c r="C62" s="84">
        <v>10961.98817508217</v>
      </c>
      <c r="D62" s="66"/>
      <c r="E62" s="101" t="s">
        <v>41</v>
      </c>
      <c r="F62" s="101">
        <v>3.1577000000003252E-4</v>
      </c>
      <c r="G62" s="102">
        <v>1.1341032786551</v>
      </c>
    </row>
    <row r="63" spans="1:7" x14ac:dyDescent="0.2">
      <c r="A63" s="99">
        <f ca="1"/>
        <v>45332</v>
      </c>
      <c r="C63" s="84">
        <v>11026.320552705271</v>
      </c>
      <c r="D63" s="66"/>
      <c r="E63" s="90"/>
      <c r="F63" s="90"/>
      <c r="G63" s="93"/>
    </row>
    <row r="64" spans="1:7" x14ac:dyDescent="0.2">
      <c r="A64" s="99">
        <f ca="1"/>
        <v>45331</v>
      </c>
      <c r="C64" s="84">
        <v>10652.34094077569</v>
      </c>
      <c r="D64" s="66"/>
      <c r="E64" s="100" t="s">
        <v>105</v>
      </c>
      <c r="F64" s="90"/>
      <c r="G64" s="93"/>
    </row>
    <row r="65" spans="1:7" x14ac:dyDescent="0.2">
      <c r="A65" s="99">
        <f ca="1"/>
        <v>45330</v>
      </c>
      <c r="C65" s="84">
        <v>10636.97647815772</v>
      </c>
      <c r="D65" s="66"/>
      <c r="E65" s="101" t="s">
        <v>16</v>
      </c>
      <c r="F65" s="101">
        <v>12273.445639</v>
      </c>
      <c r="G65" s="102">
        <v>7855.4668132504839</v>
      </c>
    </row>
    <row r="66" spans="1:7" x14ac:dyDescent="0.2">
      <c r="A66" s="99">
        <f ca="1"/>
        <v>45329</v>
      </c>
      <c r="C66" s="84">
        <v>10479.06476603889</v>
      </c>
      <c r="D66" s="66"/>
      <c r="E66" s="101" t="s">
        <v>17</v>
      </c>
      <c r="F66" s="101">
        <v>81520.145294550006</v>
      </c>
      <c r="G66" s="102">
        <v>9525.310233900067</v>
      </c>
    </row>
    <row r="67" spans="1:7" x14ac:dyDescent="0.2">
      <c r="A67" s="99">
        <f ca="1"/>
        <v>45328</v>
      </c>
      <c r="C67" s="84">
        <v>10035.035333092421</v>
      </c>
      <c r="D67" s="66"/>
      <c r="E67" s="101" t="s">
        <v>41</v>
      </c>
      <c r="F67" s="101">
        <v>3.1577000000003252E-4</v>
      </c>
      <c r="G67" s="102">
        <v>1.133138561609653</v>
      </c>
    </row>
    <row r="68" spans="1:7" x14ac:dyDescent="0.2">
      <c r="A68" s="99">
        <f ca="1"/>
        <v>45327</v>
      </c>
      <c r="C68" s="84">
        <v>9938.9665723674225</v>
      </c>
      <c r="D68" s="66"/>
      <c r="E68" s="90"/>
      <c r="F68" s="90"/>
      <c r="G68" s="93"/>
    </row>
    <row r="69" spans="1:7" x14ac:dyDescent="0.2">
      <c r="A69" s="99">
        <f ca="1"/>
        <v>45326</v>
      </c>
      <c r="C69" s="84">
        <v>10143.92249195441</v>
      </c>
      <c r="D69" s="66"/>
      <c r="E69" s="100" t="s">
        <v>106</v>
      </c>
      <c r="F69" s="88"/>
      <c r="G69" s="94"/>
    </row>
    <row r="70" spans="1:7" x14ac:dyDescent="0.2">
      <c r="A70" s="99">
        <f ca="1"/>
        <v>45325</v>
      </c>
      <c r="C70" s="84">
        <v>10056.218962837849</v>
      </c>
      <c r="D70" s="66"/>
      <c r="E70" s="101" t="s">
        <v>16</v>
      </c>
      <c r="F70" s="101">
        <v>12273.445639</v>
      </c>
      <c r="G70" s="102">
        <v>7777.8275735617544</v>
      </c>
    </row>
    <row r="71" spans="1:7" x14ac:dyDescent="0.2">
      <c r="A71" s="99">
        <f ca="1"/>
        <v>45324</v>
      </c>
      <c r="C71" s="84">
        <v>10106.05970524857</v>
      </c>
      <c r="D71" s="66"/>
      <c r="E71" s="101" t="s">
        <v>17</v>
      </c>
      <c r="F71" s="101">
        <v>81520.145294550006</v>
      </c>
      <c r="G71" s="102">
        <v>8954.3521034730202</v>
      </c>
    </row>
    <row r="72" spans="1:7" x14ac:dyDescent="0.2">
      <c r="A72" s="99">
        <f ca="1"/>
        <v>45323</v>
      </c>
      <c r="C72" s="84">
        <v>10017.191934089849</v>
      </c>
      <c r="D72" s="66"/>
      <c r="E72" s="101" t="s">
        <v>41</v>
      </c>
      <c r="F72" s="101">
        <v>3.1577000000003252E-4</v>
      </c>
      <c r="G72" s="102">
        <v>1.090750755432933</v>
      </c>
    </row>
    <row r="73" spans="1:7" x14ac:dyDescent="0.2">
      <c r="A73" s="99">
        <f ca="1"/>
        <v>45322</v>
      </c>
      <c r="C73" s="84">
        <v>10365.244593197031</v>
      </c>
      <c r="D73" s="66"/>
      <c r="E73" s="88"/>
      <c r="F73" s="88"/>
      <c r="G73" s="94"/>
    </row>
    <row r="74" spans="1:7" x14ac:dyDescent="0.2">
      <c r="A74" s="99">
        <f ca="1"/>
        <v>45321</v>
      </c>
      <c r="C74" s="84">
        <v>10692.071171387321</v>
      </c>
      <c r="D74" s="66"/>
      <c r="E74" s="100" t="s">
        <v>107</v>
      </c>
      <c r="F74" s="88"/>
      <c r="G74" s="94"/>
    </row>
    <row r="75" spans="1:7" x14ac:dyDescent="0.2">
      <c r="A75" s="99">
        <f ca="1"/>
        <v>45320</v>
      </c>
      <c r="C75" s="84">
        <v>10511.04597607142</v>
      </c>
      <c r="D75" s="66"/>
      <c r="E75" s="101" t="s">
        <v>16</v>
      </c>
      <c r="F75" s="101">
        <v>12273.445639</v>
      </c>
      <c r="G75" s="102">
        <v>7586.4720371351923</v>
      </c>
    </row>
    <row r="76" spans="1:7" x14ac:dyDescent="0.2">
      <c r="A76" s="99">
        <f ca="1"/>
        <v>45319</v>
      </c>
      <c r="C76" s="84">
        <v>10650.271759729219</v>
      </c>
      <c r="D76" s="66"/>
      <c r="E76" s="101" t="s">
        <v>17</v>
      </c>
      <c r="F76" s="101">
        <v>81520.145294550006</v>
      </c>
      <c r="G76" s="102">
        <v>8715.5665546820364</v>
      </c>
    </row>
    <row r="77" spans="1:7" x14ac:dyDescent="0.2">
      <c r="A77" s="99">
        <f ca="1"/>
        <v>45318</v>
      </c>
      <c r="C77" s="84">
        <v>10668.527140032071</v>
      </c>
      <c r="D77" s="66"/>
      <c r="E77" s="101" t="s">
        <v>41</v>
      </c>
      <c r="F77" s="101">
        <v>3.1577000000003252E-4</v>
      </c>
      <c r="G77" s="102">
        <v>1.058894036941195</v>
      </c>
    </row>
    <row r="78" spans="1:7" x14ac:dyDescent="0.2">
      <c r="A78" s="99">
        <f ca="1"/>
        <v>45317</v>
      </c>
      <c r="C78" s="84">
        <v>10259.805598033199</v>
      </c>
      <c r="D78" s="66"/>
      <c r="E78" s="89"/>
      <c r="F78" s="88"/>
      <c r="G78" s="94"/>
    </row>
    <row r="79" spans="1:7" x14ac:dyDescent="0.2">
      <c r="A79" s="99">
        <f ca="1"/>
        <v>45316</v>
      </c>
      <c r="C79" s="84">
        <v>10371.80389297406</v>
      </c>
      <c r="D79" s="66"/>
      <c r="E79" s="100" t="s">
        <v>108</v>
      </c>
      <c r="F79" s="90"/>
      <c r="G79" s="93"/>
    </row>
    <row r="80" spans="1:7" x14ac:dyDescent="0.2">
      <c r="A80" s="99">
        <f ca="1"/>
        <v>45315</v>
      </c>
      <c r="C80" s="84">
        <v>10235.7452062921</v>
      </c>
      <c r="D80" s="66"/>
      <c r="E80" s="101" t="s">
        <v>16</v>
      </c>
      <c r="F80" s="101">
        <v>12273.445639</v>
      </c>
      <c r="G80" s="102">
        <v>7493.8401699261422</v>
      </c>
    </row>
    <row r="81" spans="1:7" x14ac:dyDescent="0.2">
      <c r="A81" s="99">
        <f ca="1"/>
        <v>45314</v>
      </c>
      <c r="C81" s="84">
        <v>10323.99644986018</v>
      </c>
      <c r="D81" s="66"/>
      <c r="E81" s="101" t="s">
        <v>17</v>
      </c>
      <c r="F81" s="101">
        <v>81520.145294550006</v>
      </c>
      <c r="G81" s="102">
        <v>8653.4661383995535</v>
      </c>
    </row>
    <row r="82" spans="1:7" x14ac:dyDescent="0.2">
      <c r="A82" s="99">
        <f ca="1"/>
        <v>45313</v>
      </c>
      <c r="C82" s="84">
        <v>10886.263423093649</v>
      </c>
      <c r="D82" s="66"/>
      <c r="E82" s="101" t="s">
        <v>41</v>
      </c>
      <c r="F82" s="101">
        <v>3.1577000000003252E-4</v>
      </c>
      <c r="G82" s="102">
        <v>1.049269378639444</v>
      </c>
    </row>
    <row r="83" spans="1:7" x14ac:dyDescent="0.2">
      <c r="A83" s="99">
        <f ca="1"/>
        <v>45312</v>
      </c>
      <c r="C83" s="84">
        <v>10999.723696833251</v>
      </c>
      <c r="D83" s="66"/>
      <c r="E83" s="90"/>
      <c r="F83" s="90"/>
      <c r="G83" s="93"/>
    </row>
    <row r="84" spans="1:7" x14ac:dyDescent="0.2">
      <c r="A84" s="99">
        <f ca="1"/>
        <v>45311</v>
      </c>
      <c r="C84" s="84">
        <v>10869.22776478615</v>
      </c>
      <c r="D84" s="66"/>
      <c r="E84" s="100" t="s">
        <v>109</v>
      </c>
      <c r="F84" s="90"/>
      <c r="G84" s="93"/>
    </row>
    <row r="85" spans="1:7" x14ac:dyDescent="0.2">
      <c r="A85" s="99">
        <f ca="1"/>
        <v>45310</v>
      </c>
      <c r="C85" s="84">
        <v>10899.537817201501</v>
      </c>
      <c r="D85" s="66"/>
      <c r="E85" s="101" t="s">
        <v>16</v>
      </c>
      <c r="F85" s="101">
        <v>12273.445639</v>
      </c>
      <c r="G85" s="102">
        <v>7871.31735462097</v>
      </c>
    </row>
    <row r="86" spans="1:7" x14ac:dyDescent="0.2">
      <c r="A86" s="99">
        <f ca="1"/>
        <v>45309</v>
      </c>
      <c r="C86" s="84">
        <v>11335.25579512798</v>
      </c>
      <c r="D86" s="66"/>
      <c r="E86" s="101" t="s">
        <v>17</v>
      </c>
      <c r="F86" s="101">
        <v>81520.145294550006</v>
      </c>
      <c r="G86" s="102">
        <v>8965.3035197918907</v>
      </c>
    </row>
    <row r="87" spans="1:7" x14ac:dyDescent="0.2">
      <c r="A87" s="99">
        <f ca="1"/>
        <v>45308</v>
      </c>
      <c r="C87" s="84">
        <v>11550.573391148189</v>
      </c>
      <c r="D87" s="66"/>
      <c r="E87" s="101" t="s">
        <v>41</v>
      </c>
      <c r="F87" s="101">
        <v>3.1577000000003252E-4</v>
      </c>
      <c r="G87" s="102">
        <v>1.1031205296536739</v>
      </c>
    </row>
    <row r="88" spans="1:7" x14ac:dyDescent="0.2">
      <c r="A88" s="99">
        <f ca="1"/>
        <v>45307</v>
      </c>
      <c r="C88" s="84">
        <v>11317.264220281309</v>
      </c>
      <c r="D88" s="66"/>
      <c r="E88" s="90"/>
      <c r="F88" s="90"/>
      <c r="G88" s="93"/>
    </row>
    <row r="89" spans="1:7" x14ac:dyDescent="0.2">
      <c r="A89" s="99">
        <f ca="1"/>
        <v>45306</v>
      </c>
      <c r="C89" s="84">
        <v>11259.855659747531</v>
      </c>
      <c r="D89" s="66"/>
      <c r="E89" s="100" t="s">
        <v>110</v>
      </c>
      <c r="F89" s="88"/>
      <c r="G89" s="94"/>
    </row>
    <row r="90" spans="1:7" x14ac:dyDescent="0.2">
      <c r="A90" s="99">
        <f ca="1"/>
        <v>45305</v>
      </c>
      <c r="C90" s="84">
        <v>11595.786385633201</v>
      </c>
      <c r="D90" s="66"/>
      <c r="E90" s="101" t="s">
        <v>16</v>
      </c>
      <c r="F90" s="101">
        <v>12273.445639</v>
      </c>
      <c r="G90" s="102">
        <v>7507.6860894204101</v>
      </c>
    </row>
    <row r="91" spans="1:7" x14ac:dyDescent="0.2">
      <c r="A91" s="99">
        <f ca="1"/>
        <v>45304</v>
      </c>
      <c r="C91" s="84">
        <v>11473.14532213949</v>
      </c>
      <c r="D91" s="66"/>
      <c r="E91" s="101" t="s">
        <v>17</v>
      </c>
      <c r="F91" s="101">
        <v>81520.145294550006</v>
      </c>
      <c r="G91" s="102">
        <v>9081.1037013842524</v>
      </c>
    </row>
    <row r="92" spans="1:7" x14ac:dyDescent="0.2">
      <c r="A92" s="99">
        <f ca="1"/>
        <v>45303</v>
      </c>
      <c r="C92" s="84">
        <v>12051.376845777369</v>
      </c>
      <c r="D92" s="66"/>
      <c r="E92" s="101" t="s">
        <v>41</v>
      </c>
      <c r="F92" s="101">
        <v>3.1577000000003252E-4</v>
      </c>
      <c r="G92" s="102">
        <v>1.1101489361253889</v>
      </c>
    </row>
    <row r="93" spans="1:7" x14ac:dyDescent="0.2">
      <c r="A93" s="99">
        <f ca="1"/>
        <v>45302</v>
      </c>
      <c r="C93" s="84">
        <v>12018.52570506972</v>
      </c>
      <c r="D93" s="66"/>
      <c r="E93" s="88"/>
      <c r="F93" s="88"/>
      <c r="G93" s="94"/>
    </row>
    <row r="94" spans="1:7" x14ac:dyDescent="0.2">
      <c r="A94" s="99">
        <f ca="1"/>
        <v>45301</v>
      </c>
      <c r="C94" s="84">
        <v>11201.097168460239</v>
      </c>
      <c r="D94" s="66"/>
      <c r="E94" s="100" t="s">
        <v>111</v>
      </c>
      <c r="F94" s="88"/>
      <c r="G94" s="94"/>
    </row>
    <row r="95" spans="1:7" x14ac:dyDescent="0.2">
      <c r="A95" s="99">
        <f ca="1"/>
        <v>45300</v>
      </c>
      <c r="C95" s="84">
        <v>11649.2490284826</v>
      </c>
      <c r="D95" s="66"/>
      <c r="E95" s="101" t="s">
        <v>16</v>
      </c>
      <c r="F95" s="101">
        <v>12273.445639</v>
      </c>
      <c r="G95" s="102">
        <v>7182.9113257683603</v>
      </c>
    </row>
    <row r="96" spans="1:7" x14ac:dyDescent="0.2">
      <c r="A96" s="99">
        <f ca="1"/>
        <v>45299</v>
      </c>
      <c r="C96" s="84">
        <v>10905.161494914169</v>
      </c>
      <c r="D96" s="66"/>
      <c r="E96" s="101" t="s">
        <v>17</v>
      </c>
      <c r="F96" s="101">
        <v>81520.145294550006</v>
      </c>
      <c r="G96" s="102">
        <v>8261.7055913589884</v>
      </c>
    </row>
    <row r="97" spans="1:7" x14ac:dyDescent="0.2">
      <c r="A97" s="99">
        <f ca="1"/>
        <v>45298</v>
      </c>
      <c r="C97" s="84">
        <v>11394.06504557377</v>
      </c>
      <c r="D97" s="66"/>
      <c r="E97" s="101" t="s">
        <v>41</v>
      </c>
      <c r="F97" s="101">
        <v>3.1577000000003252E-4</v>
      </c>
      <c r="G97" s="102">
        <v>1.001399454795916</v>
      </c>
    </row>
    <row r="98" spans="1:7" x14ac:dyDescent="0.2">
      <c r="A98" s="99">
        <f ca="1"/>
        <v>45297</v>
      </c>
      <c r="C98" s="84">
        <v>11880.179927518881</v>
      </c>
      <c r="D98" s="66"/>
      <c r="E98" s="89"/>
      <c r="F98" s="88"/>
      <c r="G98" s="94"/>
    </row>
    <row r="99" spans="1:7" x14ac:dyDescent="0.2">
      <c r="A99" s="99">
        <f ca="1"/>
        <v>45296</v>
      </c>
      <c r="C99" s="84">
        <v>12261.525166351619</v>
      </c>
      <c r="D99" s="66"/>
      <c r="E99" s="100" t="s">
        <v>112</v>
      </c>
      <c r="F99" s="90"/>
      <c r="G99" s="93"/>
    </row>
    <row r="100" spans="1:7" x14ac:dyDescent="0.2">
      <c r="A100" s="99">
        <f ca="1"/>
        <v>45295</v>
      </c>
      <c r="C100" s="84">
        <v>12245.99629603193</v>
      </c>
      <c r="D100" s="66"/>
      <c r="E100" s="101" t="s">
        <v>16</v>
      </c>
      <c r="F100" s="101">
        <v>12273.445639</v>
      </c>
      <c r="G100" s="102">
        <v>8025.6873535522309</v>
      </c>
    </row>
    <row r="101" spans="1:7" x14ac:dyDescent="0.2">
      <c r="A101" s="99">
        <f ca="1"/>
        <v>45294</v>
      </c>
      <c r="C101" s="84">
        <v>13348.075468702271</v>
      </c>
      <c r="D101" s="66"/>
      <c r="E101" s="101" t="s">
        <v>17</v>
      </c>
      <c r="F101" s="101">
        <v>81520.145294550006</v>
      </c>
      <c r="G101" s="102">
        <v>9119.7931623410459</v>
      </c>
    </row>
    <row r="102" spans="1:7" x14ac:dyDescent="0.2">
      <c r="A102" s="99">
        <f ca="1"/>
        <v>45293</v>
      </c>
      <c r="C102" s="84">
        <v>12948.737036956611</v>
      </c>
      <c r="D102" s="66"/>
      <c r="E102" s="101" t="s">
        <v>41</v>
      </c>
      <c r="F102" s="101">
        <v>3.1577000000003252E-4</v>
      </c>
      <c r="G102" s="102">
        <v>1.1133714349144801</v>
      </c>
    </row>
    <row r="103" spans="1:7" x14ac:dyDescent="0.2">
      <c r="A103" s="99">
        <f ca="1"/>
        <v>45292</v>
      </c>
      <c r="C103" s="84">
        <v>12291.24644890068</v>
      </c>
      <c r="D103" s="66"/>
      <c r="E103" s="90"/>
      <c r="F103" s="90"/>
      <c r="G103" s="93"/>
    </row>
    <row r="104" spans="1:7" x14ac:dyDescent="0.2">
      <c r="A104" s="99">
        <f ca="1"/>
        <v>45291</v>
      </c>
      <c r="C104" s="84">
        <v>12482.658975516189</v>
      </c>
      <c r="D104" s="66"/>
      <c r="E104" s="100" t="s">
        <v>113</v>
      </c>
      <c r="F104" s="90"/>
      <c r="G104" s="93"/>
    </row>
    <row r="105" spans="1:7" x14ac:dyDescent="0.2">
      <c r="A105" s="99">
        <f ca="1"/>
        <v>45290</v>
      </c>
      <c r="C105" s="84">
        <v>12650.730188813401</v>
      </c>
      <c r="D105" s="66"/>
      <c r="E105" s="101" t="s">
        <v>16</v>
      </c>
      <c r="F105" s="101">
        <v>12273.445639</v>
      </c>
      <c r="G105" s="102">
        <v>7599.0674152533038</v>
      </c>
    </row>
    <row r="106" spans="1:7" x14ac:dyDescent="0.2">
      <c r="A106" s="99">
        <f ca="1"/>
        <v>45289</v>
      </c>
      <c r="C106" s="84">
        <v>12775.78681803152</v>
      </c>
      <c r="D106" s="66"/>
      <c r="E106" s="101" t="s">
        <v>17</v>
      </c>
      <c r="F106" s="101">
        <v>81520.145294550006</v>
      </c>
      <c r="G106" s="102">
        <v>9490.5247727014284</v>
      </c>
    </row>
    <row r="107" spans="1:7" x14ac:dyDescent="0.2">
      <c r="A107" s="99">
        <f ca="1"/>
        <v>45288</v>
      </c>
      <c r="C107" s="84">
        <v>13007.523311903171</v>
      </c>
      <c r="D107" s="66"/>
      <c r="E107" s="101" t="s">
        <v>41</v>
      </c>
      <c r="F107" s="101">
        <v>3.1577000000003252E-4</v>
      </c>
      <c r="G107" s="102">
        <v>1.1504386352923011</v>
      </c>
    </row>
    <row r="108" spans="1:7" x14ac:dyDescent="0.2">
      <c r="A108" s="99">
        <f ca="1"/>
        <v>45287</v>
      </c>
      <c r="C108" s="84">
        <v>12673.39138648981</v>
      </c>
      <c r="D108" s="66"/>
      <c r="E108" s="90"/>
      <c r="F108" s="90"/>
      <c r="G108" s="93"/>
    </row>
    <row r="109" spans="1:7" x14ac:dyDescent="0.2">
      <c r="A109" s="99">
        <f ca="1"/>
        <v>45286</v>
      </c>
      <c r="C109" s="84">
        <v>13143.629082493009</v>
      </c>
      <c r="D109" s="66"/>
      <c r="E109" s="100" t="s">
        <v>114</v>
      </c>
      <c r="F109" s="86"/>
      <c r="G109" s="95"/>
    </row>
    <row r="110" spans="1:7" x14ac:dyDescent="0.2">
      <c r="A110" s="99">
        <f ca="1"/>
        <v>45285</v>
      </c>
      <c r="C110" s="84">
        <v>12658.333751145899</v>
      </c>
      <c r="D110" s="66"/>
      <c r="E110" s="101" t="s">
        <v>16</v>
      </c>
      <c r="F110" s="101">
        <v>12273.445639</v>
      </c>
      <c r="G110" s="102">
        <v>7392.3863954606904</v>
      </c>
    </row>
    <row r="111" spans="1:7" x14ac:dyDescent="0.2">
      <c r="A111" s="99">
        <f ca="1"/>
        <v>45284</v>
      </c>
      <c r="C111" s="84">
        <v>12816.04457335529</v>
      </c>
      <c r="D111" s="66"/>
      <c r="E111" s="101" t="s">
        <v>17</v>
      </c>
      <c r="F111" s="101">
        <v>81520.145294550006</v>
      </c>
      <c r="G111" s="102">
        <v>9003.563369582982</v>
      </c>
    </row>
    <row r="112" spans="1:7" x14ac:dyDescent="0.2">
      <c r="A112" s="99">
        <f ca="1"/>
        <v>45283</v>
      </c>
      <c r="C112" s="84">
        <v>12826.18740115656</v>
      </c>
      <c r="D112" s="66"/>
      <c r="E112" s="101" t="s">
        <v>41</v>
      </c>
      <c r="F112" s="101">
        <v>3.1577000000003252E-4</v>
      </c>
      <c r="G112" s="102">
        <v>1.109686030040393</v>
      </c>
    </row>
    <row r="113" spans="1:7" x14ac:dyDescent="0.2">
      <c r="A113" s="99">
        <f ca="1"/>
        <v>45282</v>
      </c>
      <c r="C113" s="84">
        <v>12823.50710241251</v>
      </c>
      <c r="D113" s="66"/>
      <c r="E113" s="88"/>
      <c r="F113" s="88"/>
      <c r="G113" s="94"/>
    </row>
    <row r="114" spans="1:7" x14ac:dyDescent="0.2">
      <c r="A114" s="99">
        <f ca="1"/>
        <v>45281</v>
      </c>
      <c r="C114" s="84">
        <v>12434.22942290124</v>
      </c>
      <c r="D114" s="66"/>
      <c r="E114" s="100" t="s">
        <v>115</v>
      </c>
      <c r="F114" s="88"/>
      <c r="G114" s="94"/>
    </row>
    <row r="115" spans="1:7" x14ac:dyDescent="0.2">
      <c r="A115" s="99">
        <f ca="1"/>
        <v>45280</v>
      </c>
      <c r="C115" s="84">
        <v>11859.82866137053</v>
      </c>
      <c r="D115" s="66"/>
      <c r="E115" s="101" t="s">
        <v>16</v>
      </c>
      <c r="F115" s="101">
        <v>12273.445639</v>
      </c>
      <c r="G115" s="102">
        <v>7784.6015336788296</v>
      </c>
    </row>
    <row r="116" spans="1:7" x14ac:dyDescent="0.2">
      <c r="A116" s="99">
        <f ca="1"/>
        <v>45279</v>
      </c>
      <c r="C116" s="84">
        <v>11761.27642729018</v>
      </c>
      <c r="D116" s="66"/>
      <c r="E116" s="101" t="s">
        <v>17</v>
      </c>
      <c r="F116" s="101">
        <v>81520.145294550006</v>
      </c>
      <c r="G116" s="102">
        <v>9812.8635792106088</v>
      </c>
    </row>
    <row r="117" spans="1:7" x14ac:dyDescent="0.2">
      <c r="A117" s="99">
        <f ca="1"/>
        <v>45278</v>
      </c>
      <c r="C117" s="84">
        <v>11664.282496052971</v>
      </c>
      <c r="D117" s="66"/>
      <c r="E117" s="101" t="s">
        <v>41</v>
      </c>
      <c r="F117" s="101">
        <v>3.1577000000003252E-4</v>
      </c>
      <c r="G117" s="102">
        <v>1.1804686266170561</v>
      </c>
    </row>
    <row r="118" spans="1:7" x14ac:dyDescent="0.2">
      <c r="A118" s="99">
        <f ca="1"/>
        <v>45277</v>
      </c>
      <c r="C118" s="84">
        <v>11861.98151618751</v>
      </c>
      <c r="D118" s="66"/>
      <c r="E118" s="89"/>
      <c r="F118" s="88"/>
      <c r="G118" s="94"/>
    </row>
    <row r="119" spans="1:7" x14ac:dyDescent="0.2">
      <c r="A119" s="99">
        <f ca="1"/>
        <v>45276</v>
      </c>
      <c r="C119" s="84">
        <v>11836.57568853816</v>
      </c>
      <c r="D119" s="66"/>
      <c r="E119" s="100" t="s">
        <v>116</v>
      </c>
      <c r="F119" s="90"/>
      <c r="G119" s="93"/>
    </row>
    <row r="120" spans="1:7" x14ac:dyDescent="0.2">
      <c r="A120" s="99">
        <f ca="1"/>
        <v>45275</v>
      </c>
      <c r="C120" s="84">
        <v>12283.82164464597</v>
      </c>
      <c r="D120" s="66"/>
      <c r="E120" s="101" t="s">
        <v>16</v>
      </c>
      <c r="F120" s="101">
        <v>12273.445639</v>
      </c>
      <c r="G120" s="102">
        <v>8213.0880175905386</v>
      </c>
    </row>
    <row r="121" spans="1:7" x14ac:dyDescent="0.2">
      <c r="A121" s="99">
        <f ca="1"/>
        <v>45274</v>
      </c>
      <c r="C121" s="84">
        <v>11684.805095707999</v>
      </c>
      <c r="D121" s="66"/>
      <c r="E121" s="101" t="s">
        <v>17</v>
      </c>
      <c r="F121" s="101">
        <v>81520.145294550006</v>
      </c>
      <c r="G121" s="102">
        <v>10354.295113011971</v>
      </c>
    </row>
    <row r="122" spans="1:7" x14ac:dyDescent="0.2">
      <c r="A122" s="99">
        <f ca="1"/>
        <v>45273</v>
      </c>
      <c r="C122" s="84">
        <v>11509.334358589569</v>
      </c>
      <c r="D122" s="66"/>
      <c r="E122" s="101" t="s">
        <v>41</v>
      </c>
      <c r="F122" s="101">
        <v>3.1577000000003252E-4</v>
      </c>
      <c r="G122" s="102">
        <v>1.224883945034039</v>
      </c>
    </row>
    <row r="123" spans="1:7" x14ac:dyDescent="0.2">
      <c r="A123" s="99">
        <f ca="1"/>
        <v>45272</v>
      </c>
      <c r="C123" s="84">
        <v>11143.67354406722</v>
      </c>
      <c r="D123" s="66"/>
      <c r="E123" s="90"/>
      <c r="F123" s="90"/>
      <c r="G123" s="93"/>
    </row>
    <row r="124" spans="1:7" x14ac:dyDescent="0.2">
      <c r="A124" s="99">
        <f ca="1"/>
        <v>45271</v>
      </c>
      <c r="C124" s="84">
        <v>11837.745270514361</v>
      </c>
      <c r="D124" s="66"/>
      <c r="E124" s="100" t="s">
        <v>117</v>
      </c>
      <c r="F124" s="90"/>
      <c r="G124" s="93"/>
    </row>
    <row r="125" spans="1:7" x14ac:dyDescent="0.2">
      <c r="A125" s="99">
        <f ca="1"/>
        <v>45270</v>
      </c>
      <c r="C125" s="84">
        <v>11765.759269934601</v>
      </c>
      <c r="D125" s="66"/>
      <c r="E125" s="101" t="s">
        <v>16</v>
      </c>
      <c r="F125" s="101">
        <v>12273.445639</v>
      </c>
      <c r="G125" s="102">
        <v>8464.4377518484653</v>
      </c>
    </row>
    <row r="126" spans="1:7" x14ac:dyDescent="0.2">
      <c r="A126" s="99">
        <f ca="1"/>
        <v>45269</v>
      </c>
      <c r="C126" s="84">
        <v>11877.04951281282</v>
      </c>
      <c r="D126" s="66"/>
      <c r="E126" s="101" t="s">
        <v>17</v>
      </c>
      <c r="F126" s="101">
        <v>81520.145294550006</v>
      </c>
      <c r="G126" s="102">
        <v>10792.87920110682</v>
      </c>
    </row>
    <row r="127" spans="1:7" x14ac:dyDescent="0.2">
      <c r="A127" s="99">
        <f ca="1"/>
        <v>45268</v>
      </c>
      <c r="C127" s="84">
        <v>11199.40851459642</v>
      </c>
      <c r="D127" s="66"/>
      <c r="E127" s="101" t="s">
        <v>41</v>
      </c>
      <c r="F127" s="101">
        <v>3.1577000000003252E-4</v>
      </c>
      <c r="G127" s="102">
        <v>1.2655784120524121</v>
      </c>
    </row>
    <row r="128" spans="1:7" x14ac:dyDescent="0.2">
      <c r="A128" s="99">
        <f ca="1"/>
        <v>45267</v>
      </c>
      <c r="C128" s="84">
        <v>11141.287595344291</v>
      </c>
      <c r="D128" s="66"/>
      <c r="E128" s="90"/>
      <c r="F128" s="90"/>
      <c r="G128" s="93"/>
    </row>
    <row r="129" spans="1:7" x14ac:dyDescent="0.2">
      <c r="A129" s="99">
        <f ca="1"/>
        <v>45266</v>
      </c>
      <c r="C129" s="84">
        <v>10738.917406181739</v>
      </c>
      <c r="D129" s="66"/>
      <c r="E129" s="100" t="s">
        <v>118</v>
      </c>
      <c r="F129" s="88"/>
      <c r="G129" s="94"/>
    </row>
    <row r="130" spans="1:7" x14ac:dyDescent="0.2">
      <c r="A130" s="99">
        <f ca="1"/>
        <v>45265</v>
      </c>
      <c r="C130" s="84">
        <v>10605.75365714904</v>
      </c>
      <c r="D130" s="66"/>
      <c r="E130" s="101" t="s">
        <v>16</v>
      </c>
      <c r="F130" s="101">
        <v>12273.445639</v>
      </c>
      <c r="G130" s="102">
        <v>8452.638674883412</v>
      </c>
    </row>
    <row r="131" spans="1:7" x14ac:dyDescent="0.2">
      <c r="A131" s="99">
        <f ca="1"/>
        <v>45264</v>
      </c>
      <c r="C131" s="84">
        <v>10454.588457734681</v>
      </c>
      <c r="D131" s="66"/>
      <c r="E131" s="101" t="s">
        <v>17</v>
      </c>
      <c r="F131" s="101">
        <v>81520.145294550006</v>
      </c>
      <c r="G131" s="102">
        <v>10838.618524228679</v>
      </c>
    </row>
    <row r="132" spans="1:7" x14ac:dyDescent="0.2">
      <c r="A132" s="99">
        <f ca="1"/>
        <v>45263</v>
      </c>
      <c r="C132" s="84">
        <v>10447.03116448232</v>
      </c>
      <c r="D132" s="66"/>
      <c r="E132" s="101" t="s">
        <v>41</v>
      </c>
      <c r="F132" s="101">
        <v>3.1577000000003252E-4</v>
      </c>
      <c r="G132" s="102">
        <v>1.256349606028792</v>
      </c>
    </row>
    <row r="133" spans="1:7" x14ac:dyDescent="0.2">
      <c r="A133" s="99">
        <f ca="1"/>
        <v>45262</v>
      </c>
      <c r="C133" s="84">
        <v>10250.4825926171</v>
      </c>
      <c r="D133" s="66"/>
      <c r="E133" s="88"/>
      <c r="F133" s="88"/>
      <c r="G133" s="94"/>
    </row>
    <row r="134" spans="1:7" x14ac:dyDescent="0.2">
      <c r="A134" s="99">
        <f ca="1"/>
        <v>45261</v>
      </c>
      <c r="C134" s="84">
        <v>10137.00309317655</v>
      </c>
      <c r="D134" s="66"/>
      <c r="E134" s="100" t="s">
        <v>119</v>
      </c>
      <c r="F134" s="88"/>
      <c r="G134" s="94"/>
    </row>
    <row r="135" spans="1:7" x14ac:dyDescent="0.2">
      <c r="A135" s="99">
        <f ca="1"/>
        <v>45260</v>
      </c>
      <c r="C135" s="84">
        <v>10155.780710215909</v>
      </c>
      <c r="D135" s="66"/>
      <c r="E135" s="101" t="s">
        <v>16</v>
      </c>
      <c r="F135" s="101">
        <v>12273.445639</v>
      </c>
      <c r="G135" s="102">
        <v>8800.6649903607213</v>
      </c>
    </row>
    <row r="136" spans="1:7" x14ac:dyDescent="0.2">
      <c r="A136" s="99">
        <f ca="1"/>
        <v>45259</v>
      </c>
      <c r="C136" s="84">
        <v>10253.74441426498</v>
      </c>
      <c r="D136" s="66"/>
      <c r="E136" s="101" t="s">
        <v>17</v>
      </c>
      <c r="F136" s="101">
        <v>81520.145294550006</v>
      </c>
      <c r="G136" s="102">
        <v>10812.17828030385</v>
      </c>
    </row>
    <row r="137" spans="1:7" x14ac:dyDescent="0.2">
      <c r="A137" s="99">
        <f ca="1"/>
        <v>45258</v>
      </c>
      <c r="C137" s="84">
        <v>10241.14713789268</v>
      </c>
      <c r="D137" s="66"/>
      <c r="E137" s="101" t="s">
        <v>41</v>
      </c>
      <c r="F137" s="101">
        <v>3.1577000000003252E-4</v>
      </c>
      <c r="G137" s="102">
        <v>1.285374648759724</v>
      </c>
    </row>
    <row r="138" spans="1:7" x14ac:dyDescent="0.2">
      <c r="A138" s="99">
        <f ca="1"/>
        <v>45257</v>
      </c>
      <c r="C138" s="84">
        <v>10457.43218519702</v>
      </c>
      <c r="D138" s="66"/>
      <c r="E138" s="89"/>
      <c r="F138" s="88"/>
      <c r="G138" s="94"/>
    </row>
    <row r="139" spans="1:7" x14ac:dyDescent="0.2">
      <c r="A139" s="99">
        <f ca="1"/>
        <v>45256</v>
      </c>
      <c r="C139" s="84">
        <v>10564.76258280585</v>
      </c>
      <c r="D139" s="66"/>
      <c r="E139" s="100" t="s">
        <v>120</v>
      </c>
      <c r="F139" s="90"/>
      <c r="G139" s="93"/>
    </row>
    <row r="140" spans="1:7" x14ac:dyDescent="0.2">
      <c r="A140" s="99">
        <f ca="1"/>
        <v>45255</v>
      </c>
      <c r="C140" s="84">
        <v>10454.756653624831</v>
      </c>
      <c r="D140" s="66"/>
      <c r="E140" s="101" t="s">
        <v>16</v>
      </c>
      <c r="F140" s="101">
        <v>12273.445639</v>
      </c>
      <c r="G140" s="102">
        <v>7469.0795979595669</v>
      </c>
    </row>
    <row r="141" spans="1:7" x14ac:dyDescent="0.2">
      <c r="A141" s="99">
        <f ca="1"/>
        <v>45254</v>
      </c>
      <c r="C141" s="84">
        <v>10371.37350110419</v>
      </c>
      <c r="D141" s="66"/>
      <c r="E141" s="101" t="s">
        <v>17</v>
      </c>
      <c r="F141" s="101">
        <v>81520.145294550006</v>
      </c>
      <c r="G141" s="102">
        <v>10261.50806843626</v>
      </c>
    </row>
    <row r="142" spans="1:7" x14ac:dyDescent="0.2">
      <c r="A142" s="99">
        <f ca="1"/>
        <v>45253</v>
      </c>
      <c r="C142" s="84">
        <v>10378.02592814024</v>
      </c>
      <c r="D142" s="66"/>
      <c r="E142" s="101" t="s">
        <v>41</v>
      </c>
      <c r="F142" s="101">
        <v>3.1577000000003252E-4</v>
      </c>
      <c r="G142" s="102">
        <v>1.2275473822807179</v>
      </c>
    </row>
    <row r="143" spans="1:7" x14ac:dyDescent="0.2">
      <c r="A143" s="99">
        <f ca="1"/>
        <v>45252</v>
      </c>
      <c r="C143" s="84">
        <v>9801.1198929471884</v>
      </c>
      <c r="D143" s="66"/>
      <c r="E143" s="90"/>
      <c r="F143" s="90"/>
      <c r="G143" s="93"/>
    </row>
    <row r="144" spans="1:7" x14ac:dyDescent="0.2">
      <c r="A144" s="99">
        <f ca="1"/>
        <v>45251</v>
      </c>
      <c r="C144" s="84">
        <v>10667.494452331939</v>
      </c>
      <c r="D144" s="66"/>
      <c r="E144" s="100" t="s">
        <v>121</v>
      </c>
      <c r="F144" s="90"/>
      <c r="G144" s="93"/>
    </row>
    <row r="145" spans="1:7" x14ac:dyDescent="0.2">
      <c r="A145" s="99">
        <f ca="1"/>
        <v>45250</v>
      </c>
      <c r="C145" s="84">
        <v>10520.44165890301</v>
      </c>
      <c r="D145" s="66"/>
      <c r="E145" s="101" t="s">
        <v>16</v>
      </c>
      <c r="F145" s="101">
        <v>12273.445639</v>
      </c>
      <c r="G145" s="102">
        <v>7640.3945614089434</v>
      </c>
    </row>
    <row r="146" spans="1:7" x14ac:dyDescent="0.2">
      <c r="A146" s="99">
        <f ca="1"/>
        <v>45249</v>
      </c>
      <c r="C146" s="84">
        <v>10299.80379702123</v>
      </c>
      <c r="D146" s="66"/>
      <c r="E146" s="101" t="s">
        <v>17</v>
      </c>
      <c r="F146" s="101">
        <v>81520.145294550006</v>
      </c>
      <c r="G146" s="102">
        <v>10645.387247829751</v>
      </c>
    </row>
    <row r="147" spans="1:7" x14ac:dyDescent="0.2">
      <c r="A147" s="99">
        <f ca="1"/>
        <v>45248</v>
      </c>
      <c r="C147" s="84">
        <v>10481.43621697663</v>
      </c>
      <c r="D147" s="66"/>
      <c r="E147" s="101" t="s">
        <v>41</v>
      </c>
      <c r="F147" s="101">
        <v>3.1577000000003252E-4</v>
      </c>
      <c r="G147" s="102">
        <v>1.2365683258401561</v>
      </c>
    </row>
    <row r="148" spans="1:7" x14ac:dyDescent="0.2">
      <c r="A148" s="99">
        <f ca="1"/>
        <v>45247</v>
      </c>
      <c r="C148" s="84">
        <v>10244.87784008832</v>
      </c>
      <c r="D148" s="66"/>
      <c r="E148" s="90"/>
      <c r="F148" s="90"/>
      <c r="G148" s="93"/>
    </row>
    <row r="149" spans="1:7" x14ac:dyDescent="0.2">
      <c r="A149" s="99">
        <f ca="1"/>
        <v>45246</v>
      </c>
      <c r="C149" s="84">
        <v>10657.878686507391</v>
      </c>
      <c r="D149" s="66"/>
      <c r="E149" s="100" t="s">
        <v>122</v>
      </c>
      <c r="F149" s="86"/>
      <c r="G149" s="95"/>
    </row>
    <row r="150" spans="1:7" x14ac:dyDescent="0.2">
      <c r="A150" s="99">
        <f ca="1"/>
        <v>45245</v>
      </c>
      <c r="C150" s="84">
        <v>10214.85838285767</v>
      </c>
      <c r="D150" s="66"/>
      <c r="E150" s="101" t="s">
        <v>16</v>
      </c>
      <c r="F150" s="101">
        <v>12273.445639</v>
      </c>
      <c r="G150" s="102">
        <v>7627.7309429330799</v>
      </c>
    </row>
    <row r="151" spans="1:7" x14ac:dyDescent="0.2">
      <c r="A151" s="99">
        <f ca="1"/>
        <v>45244</v>
      </c>
      <c r="C151" s="84">
        <v>10622.431111426969</v>
      </c>
      <c r="D151" s="66"/>
      <c r="E151" s="101" t="s">
        <v>17</v>
      </c>
      <c r="F151" s="101">
        <v>81520.145294550006</v>
      </c>
      <c r="G151" s="102">
        <v>10647.45215311006</v>
      </c>
    </row>
    <row r="152" spans="1:7" x14ac:dyDescent="0.2">
      <c r="A152" s="99">
        <f ca="1"/>
        <v>45243</v>
      </c>
      <c r="C152" s="84">
        <v>10792.493662459439</v>
      </c>
      <c r="D152" s="66"/>
      <c r="E152" s="101" t="s">
        <v>41</v>
      </c>
      <c r="F152" s="101">
        <v>3.1577000000003252E-4</v>
      </c>
      <c r="G152" s="102">
        <v>1.22948645621396</v>
      </c>
    </row>
    <row r="153" spans="1:7" x14ac:dyDescent="0.2">
      <c r="A153" s="99">
        <f ca="1"/>
        <v>45242</v>
      </c>
      <c r="C153" s="84">
        <v>10776.98175683137</v>
      </c>
      <c r="D153" s="66"/>
      <c r="E153" s="88"/>
      <c r="F153" s="88"/>
      <c r="G153" s="94"/>
    </row>
    <row r="154" spans="1:7" x14ac:dyDescent="0.2">
      <c r="A154" s="99">
        <f ca="1"/>
        <v>45241</v>
      </c>
      <c r="C154" s="84">
        <v>10827.386328693879</v>
      </c>
      <c r="D154" s="66"/>
      <c r="E154" s="100" t="s">
        <v>123</v>
      </c>
      <c r="F154" s="88"/>
      <c r="G154" s="94"/>
    </row>
    <row r="155" spans="1:7" x14ac:dyDescent="0.2">
      <c r="A155" s="99">
        <f ca="1"/>
        <v>45240</v>
      </c>
      <c r="C155" s="84">
        <v>10642.07779770076</v>
      </c>
      <c r="D155" s="66"/>
      <c r="E155" s="101" t="s">
        <v>16</v>
      </c>
      <c r="F155" s="101">
        <v>12273.445639</v>
      </c>
      <c r="G155" s="102">
        <v>7712.3899798550356</v>
      </c>
    </row>
    <row r="156" spans="1:7" x14ac:dyDescent="0.2">
      <c r="A156" s="99">
        <f ca="1"/>
        <v>45239</v>
      </c>
      <c r="C156" s="84">
        <v>10887.284281922601</v>
      </c>
      <c r="D156" s="66"/>
      <c r="E156" s="101" t="s">
        <v>17</v>
      </c>
      <c r="F156" s="101">
        <v>81520.145294550006</v>
      </c>
      <c r="G156" s="102">
        <v>10917.71099959636</v>
      </c>
    </row>
    <row r="157" spans="1:7" x14ac:dyDescent="0.2">
      <c r="A157" s="99">
        <f ca="1"/>
        <v>45238</v>
      </c>
      <c r="C157" s="84">
        <v>10613.92611244995</v>
      </c>
      <c r="D157" s="66"/>
      <c r="E157" s="101" t="s">
        <v>41</v>
      </c>
      <c r="F157" s="101">
        <v>3.1577000000003252E-4</v>
      </c>
      <c r="G157" s="102">
        <v>1.2194724784575131</v>
      </c>
    </row>
    <row r="158" spans="1:7" x14ac:dyDescent="0.2">
      <c r="A158" s="99">
        <f ca="1"/>
        <v>45237</v>
      </c>
      <c r="C158" s="84">
        <v>10961.759800294851</v>
      </c>
      <c r="D158" s="66"/>
      <c r="E158" s="89"/>
      <c r="F158" s="88"/>
      <c r="G158" s="94"/>
    </row>
    <row r="159" spans="1:7" x14ac:dyDescent="0.2">
      <c r="A159" s="99">
        <f ca="1"/>
        <v>45236</v>
      </c>
      <c r="C159" s="84">
        <v>10253.556817257049</v>
      </c>
      <c r="D159" s="66"/>
      <c r="E159" s="100" t="s">
        <v>124</v>
      </c>
      <c r="F159" s="90"/>
      <c r="G159" s="93"/>
    </row>
    <row r="160" spans="1:7" x14ac:dyDescent="0.2">
      <c r="A160" s="99">
        <f ca="1"/>
        <v>45235</v>
      </c>
      <c r="C160" s="84">
        <v>9859.3489898732987</v>
      </c>
      <c r="D160" s="66"/>
      <c r="E160" s="101" t="s">
        <v>16</v>
      </c>
      <c r="F160" s="101">
        <v>12273.445639</v>
      </c>
      <c r="G160" s="102">
        <v>7522.5905936010431</v>
      </c>
    </row>
    <row r="161" spans="1:7" x14ac:dyDescent="0.2">
      <c r="A161" s="99">
        <f ca="1"/>
        <v>45234</v>
      </c>
      <c r="C161" s="84">
        <v>9759.4849507701911</v>
      </c>
      <c r="D161" s="66"/>
      <c r="E161" s="101" t="s">
        <v>17</v>
      </c>
      <c r="F161" s="101">
        <v>81520.145294550006</v>
      </c>
      <c r="G161" s="102">
        <v>10266.750628980149</v>
      </c>
    </row>
    <row r="162" spans="1:7" x14ac:dyDescent="0.2">
      <c r="A162" s="99">
        <f ca="1"/>
        <v>45233</v>
      </c>
      <c r="C162" s="84">
        <v>9759.0341983617618</v>
      </c>
      <c r="D162" s="66"/>
      <c r="E162" s="101" t="s">
        <v>41</v>
      </c>
      <c r="F162" s="101">
        <v>3.1577000000003252E-4</v>
      </c>
      <c r="G162" s="102">
        <v>1.2069884544005069</v>
      </c>
    </row>
    <row r="163" spans="1:7" x14ac:dyDescent="0.2">
      <c r="A163" s="99">
        <f ca="1"/>
        <v>45232</v>
      </c>
      <c r="C163" s="84">
        <v>9634.7850000596245</v>
      </c>
      <c r="D163" s="66"/>
      <c r="E163" s="90"/>
      <c r="F163" s="90"/>
      <c r="G163" s="93"/>
    </row>
    <row r="164" spans="1:7" x14ac:dyDescent="0.2">
      <c r="A164" s="99">
        <f ca="1"/>
        <v>45231</v>
      </c>
      <c r="C164" s="84">
        <v>9466.4788035241781</v>
      </c>
      <c r="D164" s="66"/>
      <c r="E164" s="100" t="s">
        <v>125</v>
      </c>
      <c r="F164" s="90"/>
      <c r="G164" s="93"/>
    </row>
    <row r="165" spans="1:7" x14ac:dyDescent="0.2">
      <c r="A165" s="99">
        <f ca="1"/>
        <v>45230</v>
      </c>
      <c r="C165" s="84">
        <v>9379.6476197785687</v>
      </c>
      <c r="D165" s="66"/>
      <c r="E165" s="101" t="s">
        <v>16</v>
      </c>
      <c r="F165" s="101">
        <v>12273.445639</v>
      </c>
      <c r="G165" s="102">
        <v>7306.176854151161</v>
      </c>
    </row>
    <row r="166" spans="1:7" x14ac:dyDescent="0.2">
      <c r="A166" s="99">
        <f ca="1"/>
        <v>45229</v>
      </c>
      <c r="C166" s="84">
        <v>9084.1285906609646</v>
      </c>
      <c r="D166" s="66"/>
      <c r="E166" s="101" t="s">
        <v>17</v>
      </c>
      <c r="F166" s="101">
        <v>81520.145294550006</v>
      </c>
      <c r="G166" s="102">
        <v>9138.1180758018072</v>
      </c>
    </row>
    <row r="167" spans="1:7" x14ac:dyDescent="0.2">
      <c r="A167" s="99">
        <f ca="1"/>
        <v>45228</v>
      </c>
      <c r="C167" s="84">
        <v>8939.5712473592812</v>
      </c>
      <c r="D167" s="66"/>
      <c r="E167" s="101" t="s">
        <v>41</v>
      </c>
      <c r="F167" s="101">
        <v>3.1577000000003252E-4</v>
      </c>
      <c r="G167" s="102">
        <v>1.130941270608147</v>
      </c>
    </row>
    <row r="168" spans="1:7" x14ac:dyDescent="0.2">
      <c r="A168" s="99">
        <f ca="1"/>
        <v>45227</v>
      </c>
      <c r="C168" s="84">
        <v>8870.4636426279721</v>
      </c>
      <c r="D168" s="66"/>
      <c r="E168" s="90"/>
      <c r="F168" s="90"/>
      <c r="G168" s="93"/>
    </row>
    <row r="169" spans="1:7" x14ac:dyDescent="0.2">
      <c r="A169" s="99">
        <f ca="1"/>
        <v>45226</v>
      </c>
      <c r="C169" s="84">
        <v>9100.0197755644604</v>
      </c>
      <c r="D169" s="66"/>
      <c r="E169" s="100" t="s">
        <v>126</v>
      </c>
      <c r="F169" s="88"/>
      <c r="G169" s="94"/>
    </row>
    <row r="170" spans="1:7" x14ac:dyDescent="0.2">
      <c r="A170" s="99">
        <f ca="1"/>
        <v>45225</v>
      </c>
      <c r="C170" s="84">
        <v>9030.2865376008012</v>
      </c>
      <c r="D170" s="66"/>
      <c r="E170" s="101" t="s">
        <v>16</v>
      </c>
      <c r="F170" s="101">
        <v>12273.445639</v>
      </c>
      <c r="G170" s="102">
        <v>7992.1956978269836</v>
      </c>
    </row>
    <row r="171" spans="1:7" x14ac:dyDescent="0.2">
      <c r="A171" s="99">
        <f ca="1"/>
        <v>45224</v>
      </c>
      <c r="C171" s="84">
        <v>9008.1776420501064</v>
      </c>
      <c r="D171" s="66"/>
      <c r="E171" s="101" t="s">
        <v>17</v>
      </c>
      <c r="F171" s="101">
        <v>81520.145294550006</v>
      </c>
      <c r="G171" s="102">
        <v>9599.1365078817162</v>
      </c>
    </row>
    <row r="172" spans="1:7" x14ac:dyDescent="0.2">
      <c r="A172" s="99">
        <f ca="1"/>
        <v>45223</v>
      </c>
      <c r="C172" s="84">
        <v>8927.6306035990638</v>
      </c>
      <c r="D172" s="66"/>
      <c r="E172" s="101" t="s">
        <v>41</v>
      </c>
      <c r="F172" s="101">
        <v>3.1577000000003252E-4</v>
      </c>
      <c r="G172" s="102">
        <v>1.1476064058035389</v>
      </c>
    </row>
    <row r="173" spans="1:7" x14ac:dyDescent="0.2">
      <c r="A173" s="99">
        <f ca="1"/>
        <v>45222</v>
      </c>
      <c r="C173" s="84">
        <v>8590.0320181206516</v>
      </c>
      <c r="D173" s="66"/>
      <c r="E173" s="88"/>
      <c r="F173" s="88"/>
      <c r="G173" s="94"/>
    </row>
    <row r="174" spans="1:7" x14ac:dyDescent="0.2">
      <c r="A174" s="99">
        <f ca="1"/>
        <v>45221</v>
      </c>
      <c r="C174" s="84">
        <v>8491.6687831041891</v>
      </c>
      <c r="D174" s="66"/>
      <c r="E174" s="100" t="s">
        <v>127</v>
      </c>
      <c r="F174" s="87"/>
      <c r="G174" s="96"/>
    </row>
    <row r="175" spans="1:7" x14ac:dyDescent="0.2">
      <c r="A175" s="99">
        <f ca="1"/>
        <v>45220</v>
      </c>
      <c r="C175" s="84">
        <v>8314.7617834625489</v>
      </c>
      <c r="D175" s="66"/>
      <c r="E175" s="101" t="s">
        <v>16</v>
      </c>
      <c r="F175" s="101">
        <v>12273.445639</v>
      </c>
      <c r="G175" s="102">
        <v>7691.7621225040257</v>
      </c>
    </row>
    <row r="176" spans="1:7" x14ac:dyDescent="0.2">
      <c r="A176" s="99">
        <f ca="1"/>
        <v>45219</v>
      </c>
      <c r="C176" s="84">
        <v>8213.2002534377334</v>
      </c>
      <c r="D176" s="66"/>
      <c r="E176" s="101" t="s">
        <v>17</v>
      </c>
      <c r="F176" s="101">
        <v>81520.145294550006</v>
      </c>
      <c r="G176" s="102">
        <v>9202.1896491975112</v>
      </c>
    </row>
    <row r="177" spans="1:7" x14ac:dyDescent="0.2">
      <c r="A177" s="99">
        <f ca="1"/>
        <v>45218</v>
      </c>
      <c r="C177" s="84">
        <v>8066.1558448972019</v>
      </c>
      <c r="D177" s="66"/>
      <c r="E177" s="101" t="s">
        <v>41</v>
      </c>
      <c r="F177" s="101">
        <v>3.1577000000003252E-4</v>
      </c>
      <c r="G177" s="102">
        <v>1.1011502805567031</v>
      </c>
    </row>
    <row r="178" spans="1:7" x14ac:dyDescent="0.2">
      <c r="A178" s="99">
        <f ca="1"/>
        <v>45217</v>
      </c>
      <c r="C178" s="84">
        <v>8043.6270854445111</v>
      </c>
      <c r="D178" s="66"/>
      <c r="E178" s="89"/>
      <c r="F178" s="88"/>
      <c r="G178" s="94"/>
    </row>
    <row r="179" spans="1:7" x14ac:dyDescent="0.2">
      <c r="A179" s="99">
        <f ca="1"/>
        <v>45216</v>
      </c>
      <c r="C179" s="84">
        <v>8163.139323419261</v>
      </c>
      <c r="D179" s="66"/>
      <c r="E179" s="100" t="s">
        <v>128</v>
      </c>
      <c r="F179" s="90"/>
      <c r="G179" s="93"/>
    </row>
    <row r="180" spans="1:7" x14ac:dyDescent="0.2">
      <c r="A180" s="99">
        <f ca="1"/>
        <v>45215</v>
      </c>
      <c r="C180" s="84">
        <v>8009.4419377696049</v>
      </c>
      <c r="D180" s="66"/>
      <c r="E180" s="101" t="s">
        <v>16</v>
      </c>
      <c r="F180" s="101">
        <v>12273.445639</v>
      </c>
      <c r="G180" s="102">
        <v>7898.8846181362705</v>
      </c>
    </row>
    <row r="181" spans="1:7" x14ac:dyDescent="0.2">
      <c r="A181" s="99">
        <f ca="1"/>
        <v>45214</v>
      </c>
      <c r="C181" s="84">
        <v>8004.3371991126824</v>
      </c>
      <c r="D181" s="66"/>
      <c r="E181" s="101" t="s">
        <v>17</v>
      </c>
      <c r="F181" s="101">
        <v>81520.145294550006</v>
      </c>
      <c r="G181" s="102">
        <v>9407.146783295615</v>
      </c>
    </row>
    <row r="182" spans="1:7" x14ac:dyDescent="0.2">
      <c r="A182" s="99">
        <f ca="1"/>
        <v>45213</v>
      </c>
      <c r="C182" s="84">
        <v>7977.7105324117001</v>
      </c>
      <c r="D182" s="66"/>
      <c r="E182" s="101" t="s">
        <v>41</v>
      </c>
      <c r="F182" s="101">
        <v>3.1577000000003252E-4</v>
      </c>
      <c r="G182" s="102">
        <v>1.08053088323304</v>
      </c>
    </row>
    <row r="183" spans="1:7" x14ac:dyDescent="0.2">
      <c r="A183" s="99">
        <f ca="1"/>
        <v>45212</v>
      </c>
      <c r="C183" s="84">
        <v>7869.9889822074811</v>
      </c>
      <c r="D183" s="66"/>
      <c r="E183" s="90"/>
      <c r="F183" s="90"/>
      <c r="G183" s="93"/>
    </row>
    <row r="184" spans="1:7" x14ac:dyDescent="0.2">
      <c r="A184" s="99">
        <f ca="1"/>
        <v>45211</v>
      </c>
      <c r="C184" s="84">
        <v>8005.0436727485667</v>
      </c>
      <c r="D184" s="66"/>
      <c r="E184" s="100" t="s">
        <v>129</v>
      </c>
      <c r="F184" s="90"/>
      <c r="G184" s="93"/>
    </row>
    <row r="185" spans="1:7" x14ac:dyDescent="0.2">
      <c r="A185" s="99">
        <f ca="1"/>
        <v>45210</v>
      </c>
      <c r="C185" s="84">
        <v>8104.810571173628</v>
      </c>
      <c r="D185" s="66"/>
      <c r="E185" s="101" t="s">
        <v>16</v>
      </c>
      <c r="F185" s="101">
        <v>12273.445639</v>
      </c>
      <c r="G185" s="102">
        <v>7383.9232410203194</v>
      </c>
    </row>
    <row r="186" spans="1:7" x14ac:dyDescent="0.2">
      <c r="A186" s="99">
        <f ca="1"/>
        <v>45209</v>
      </c>
      <c r="C186" s="84">
        <v>8119.2965564762608</v>
      </c>
      <c r="D186" s="66"/>
      <c r="E186" s="101" t="s">
        <v>17</v>
      </c>
      <c r="F186" s="101">
        <v>81520.145294550006</v>
      </c>
      <c r="G186" s="102">
        <v>9495.7942348932684</v>
      </c>
    </row>
    <row r="187" spans="1:7" x14ac:dyDescent="0.2">
      <c r="A187" s="99">
        <f ca="1"/>
        <v>45208</v>
      </c>
      <c r="C187" s="84">
        <v>8376.8457121019455</v>
      </c>
      <c r="D187" s="66"/>
      <c r="E187" s="101" t="s">
        <v>41</v>
      </c>
      <c r="F187" s="101">
        <v>3.1577000000003252E-4</v>
      </c>
      <c r="G187" s="102">
        <v>1.083644328320156</v>
      </c>
    </row>
    <row r="188" spans="1:7" x14ac:dyDescent="0.2">
      <c r="A188" s="99">
        <f ca="1"/>
        <v>45207</v>
      </c>
      <c r="C188" s="84">
        <v>8427.2523184222573</v>
      </c>
      <c r="D188" s="66"/>
      <c r="E188" s="90"/>
      <c r="F188" s="90"/>
      <c r="G188" s="93"/>
    </row>
    <row r="189" spans="1:7" x14ac:dyDescent="0.2">
      <c r="A189" s="99">
        <f ca="1"/>
        <v>45206</v>
      </c>
      <c r="C189" s="84">
        <v>8481.9791116369597</v>
      </c>
      <c r="D189" s="66"/>
      <c r="E189" s="100" t="s">
        <v>130</v>
      </c>
      <c r="F189" s="88"/>
      <c r="G189" s="94"/>
    </row>
    <row r="190" spans="1:7" x14ac:dyDescent="0.2">
      <c r="A190" s="99">
        <f ca="1"/>
        <v>45205</v>
      </c>
      <c r="C190" s="84">
        <v>8426.6148111757648</v>
      </c>
      <c r="D190" s="66"/>
      <c r="E190" s="101" t="s">
        <v>16</v>
      </c>
      <c r="F190" s="101">
        <v>12273.445639</v>
      </c>
      <c r="G190" s="102">
        <v>7208.031632426615</v>
      </c>
    </row>
    <row r="191" spans="1:7" x14ac:dyDescent="0.2">
      <c r="A191" s="99">
        <f ca="1"/>
        <v>45204</v>
      </c>
      <c r="C191" s="84">
        <v>8569.3844594952661</v>
      </c>
      <c r="D191" s="66"/>
      <c r="E191" s="101" t="s">
        <v>17</v>
      </c>
      <c r="F191" s="101">
        <v>81520.145294550006</v>
      </c>
      <c r="G191" s="102">
        <v>9307.6424787476353</v>
      </c>
    </row>
    <row r="192" spans="1:7" x14ac:dyDescent="0.2">
      <c r="A192" s="99">
        <f ca="1"/>
        <v>45203</v>
      </c>
      <c r="C192" s="84">
        <v>8650.9346064469264</v>
      </c>
      <c r="D192" s="66"/>
      <c r="E192" s="101" t="s">
        <v>41</v>
      </c>
      <c r="F192" s="101">
        <v>3.1577000000003252E-4</v>
      </c>
      <c r="G192" s="102">
        <v>1.0571002204761719</v>
      </c>
    </row>
    <row r="193" spans="1:7" x14ac:dyDescent="0.2">
      <c r="A193" s="99">
        <f ca="1"/>
        <v>45202</v>
      </c>
      <c r="C193" s="84">
        <v>8491.9307486962989</v>
      </c>
      <c r="D193" s="66"/>
      <c r="E193" s="88"/>
      <c r="F193" s="88"/>
      <c r="G193" s="94"/>
    </row>
    <row r="194" spans="1:7" x14ac:dyDescent="0.2">
      <c r="A194" s="99">
        <f ca="1"/>
        <v>45201</v>
      </c>
      <c r="C194" s="84">
        <v>8649.0532283705343</v>
      </c>
      <c r="D194" s="66"/>
      <c r="E194" s="100" t="s">
        <v>131</v>
      </c>
      <c r="F194" s="88"/>
      <c r="G194" s="94"/>
    </row>
    <row r="195" spans="1:7" x14ac:dyDescent="0.2">
      <c r="A195" s="99">
        <f ca="1"/>
        <v>45200</v>
      </c>
      <c r="C195" s="84">
        <v>8492.947879419542</v>
      </c>
      <c r="D195" s="66"/>
      <c r="E195" s="101" t="s">
        <v>16</v>
      </c>
      <c r="F195" s="101">
        <v>12273.445639</v>
      </c>
      <c r="G195" s="102">
        <v>7076.000040965072</v>
      </c>
    </row>
    <row r="196" spans="1:7" x14ac:dyDescent="0.2">
      <c r="A196" s="99">
        <f ca="1"/>
        <v>45199</v>
      </c>
      <c r="C196" s="84">
        <v>8523.0950656569239</v>
      </c>
      <c r="D196" s="66"/>
      <c r="E196" s="101" t="s">
        <v>17</v>
      </c>
      <c r="F196" s="101">
        <v>81520.145294550006</v>
      </c>
      <c r="G196" s="102">
        <v>9219.6088738440503</v>
      </c>
    </row>
    <row r="197" spans="1:7" x14ac:dyDescent="0.2">
      <c r="A197" s="99">
        <f ca="1"/>
        <v>45198</v>
      </c>
      <c r="C197" s="84">
        <v>8449.6228253174286</v>
      </c>
      <c r="D197" s="66"/>
      <c r="E197" s="101" t="s">
        <v>41</v>
      </c>
      <c r="F197" s="101">
        <v>3.1577000000003252E-4</v>
      </c>
      <c r="G197" s="102">
        <v>1.0675564650409759</v>
      </c>
    </row>
    <row r="198" spans="1:7" x14ac:dyDescent="0.2">
      <c r="A198" s="99">
        <f ca="1"/>
        <v>45197</v>
      </c>
      <c r="C198" s="84">
        <v>8325.5090546895881</v>
      </c>
      <c r="D198" s="66"/>
      <c r="E198" s="89"/>
      <c r="F198" s="87"/>
      <c r="G198" s="96"/>
    </row>
    <row r="199" spans="1:7" x14ac:dyDescent="0.2">
      <c r="A199" s="99">
        <f ca="1"/>
        <v>45196</v>
      </c>
      <c r="C199" s="84">
        <v>8342.7351110499585</v>
      </c>
      <c r="D199" s="66"/>
      <c r="E199" s="100" t="s">
        <v>132</v>
      </c>
      <c r="F199" s="90"/>
      <c r="G199" s="93"/>
    </row>
    <row r="200" spans="1:7" x14ac:dyDescent="0.2">
      <c r="A200" s="99">
        <f ca="1"/>
        <v>45195</v>
      </c>
      <c r="C200" s="84">
        <v>8465.5190731737694</v>
      </c>
      <c r="D200" s="66"/>
      <c r="E200" s="101" t="s">
        <v>16</v>
      </c>
      <c r="F200" s="101">
        <v>12273.445639</v>
      </c>
      <c r="G200" s="102">
        <v>7209.1196733825118</v>
      </c>
    </row>
    <row r="201" spans="1:7" x14ac:dyDescent="0.2">
      <c r="A201" s="99">
        <f ca="1"/>
        <v>45194</v>
      </c>
      <c r="C201" s="84">
        <v>8382.6994532338413</v>
      </c>
      <c r="D201" s="66"/>
      <c r="E201" s="101" t="s">
        <v>17</v>
      </c>
      <c r="F201" s="101">
        <v>81520.145294550006</v>
      </c>
      <c r="G201" s="102">
        <v>8818.2868289618873</v>
      </c>
    </row>
    <row r="202" spans="1:7" x14ac:dyDescent="0.2">
      <c r="A202" s="99">
        <f ca="1"/>
        <v>45193</v>
      </c>
      <c r="C202" s="84">
        <v>8596.2689348245331</v>
      </c>
      <c r="D202" s="66"/>
      <c r="E202" s="101" t="s">
        <v>41</v>
      </c>
      <c r="F202" s="101">
        <v>3.1577000000003252E-4</v>
      </c>
      <c r="G202" s="102">
        <v>1.0237413876468471</v>
      </c>
    </row>
    <row r="203" spans="1:7" x14ac:dyDescent="0.2">
      <c r="A203" s="99">
        <f ca="1"/>
        <v>45192</v>
      </c>
      <c r="C203" s="84">
        <v>8516.829279261472</v>
      </c>
      <c r="D203" s="66"/>
      <c r="E203" s="90"/>
      <c r="F203" s="90"/>
      <c r="G203" s="93"/>
    </row>
    <row r="204" spans="1:7" x14ac:dyDescent="0.2">
      <c r="A204" s="99">
        <f ca="1"/>
        <v>45191</v>
      </c>
      <c r="C204" s="84">
        <v>8469.076897237459</v>
      </c>
      <c r="D204" s="66"/>
      <c r="E204" s="100" t="s">
        <v>133</v>
      </c>
      <c r="F204" s="90"/>
      <c r="G204" s="93"/>
    </row>
    <row r="205" spans="1:7" x14ac:dyDescent="0.2">
      <c r="A205" s="99">
        <f ca="1"/>
        <v>45190</v>
      </c>
      <c r="C205" s="84">
        <v>8609.4360482594748</v>
      </c>
      <c r="D205" s="66"/>
      <c r="E205" s="101" t="s">
        <v>16</v>
      </c>
      <c r="F205" s="101">
        <v>12273.445639</v>
      </c>
      <c r="G205" s="102">
        <v>6766.3542628143923</v>
      </c>
    </row>
    <row r="206" spans="1:7" x14ac:dyDescent="0.2">
      <c r="A206" s="99">
        <f ca="1"/>
        <v>45189</v>
      </c>
      <c r="C206" s="84">
        <v>8578.3154904431121</v>
      </c>
      <c r="D206" s="66"/>
      <c r="E206" s="101" t="s">
        <v>17</v>
      </c>
      <c r="F206" s="101">
        <v>81520.145294550006</v>
      </c>
      <c r="G206" s="102">
        <v>9110.3457927028594</v>
      </c>
    </row>
    <row r="207" spans="1:7" x14ac:dyDescent="0.2">
      <c r="A207" s="99">
        <f ca="1"/>
        <v>45188</v>
      </c>
      <c r="C207" s="84">
        <v>8402.8772578218468</v>
      </c>
      <c r="D207" s="66"/>
      <c r="E207" s="101" t="s">
        <v>41</v>
      </c>
      <c r="F207" s="101">
        <v>3.1577000000003252E-4</v>
      </c>
      <c r="G207" s="102">
        <v>1.0021371283137701</v>
      </c>
    </row>
    <row r="208" spans="1:7" x14ac:dyDescent="0.2">
      <c r="A208" s="99">
        <f ca="1"/>
        <v>45187</v>
      </c>
      <c r="C208" s="84">
        <v>8285.3061582897062</v>
      </c>
      <c r="D208" s="66"/>
      <c r="E208" s="90"/>
      <c r="F208" s="90"/>
      <c r="G208" s="93"/>
    </row>
    <row r="209" spans="1:7" x14ac:dyDescent="0.2">
      <c r="A209" s="99">
        <f ca="1"/>
        <v>45186</v>
      </c>
      <c r="C209" s="84">
        <v>8507.0871205755229</v>
      </c>
      <c r="D209" s="66"/>
      <c r="E209" s="100" t="s">
        <v>134</v>
      </c>
      <c r="F209" s="88"/>
      <c r="G209" s="94"/>
    </row>
    <row r="210" spans="1:7" x14ac:dyDescent="0.2">
      <c r="A210" s="99">
        <f ca="1"/>
        <v>45185</v>
      </c>
      <c r="C210" s="84">
        <v>8542.2476070745761</v>
      </c>
      <c r="D210" s="66"/>
      <c r="E210" s="101" t="s">
        <v>16</v>
      </c>
      <c r="F210" s="101">
        <v>12273.445639</v>
      </c>
      <c r="G210" s="102">
        <v>6659.6685639419493</v>
      </c>
    </row>
    <row r="211" spans="1:7" x14ac:dyDescent="0.2">
      <c r="A211" s="99">
        <f ca="1"/>
        <v>45184</v>
      </c>
      <c r="C211" s="84">
        <v>8403.7613951557869</v>
      </c>
      <c r="D211" s="66"/>
      <c r="E211" s="101" t="s">
        <v>17</v>
      </c>
      <c r="F211" s="101">
        <v>81520.145294550006</v>
      </c>
      <c r="G211" s="102">
        <v>8923.4037955133972</v>
      </c>
    </row>
    <row r="212" spans="1:7" x14ac:dyDescent="0.2">
      <c r="A212" s="99">
        <f ca="1"/>
        <v>45183</v>
      </c>
      <c r="C212" s="84">
        <v>8213.3399982164246</v>
      </c>
      <c r="D212" s="66"/>
      <c r="E212" s="90"/>
      <c r="F212" s="90"/>
      <c r="G212" s="93"/>
    </row>
    <row r="213" spans="1:7" x14ac:dyDescent="0.2">
      <c r="A213" s="99">
        <f ca="1"/>
        <v>45182</v>
      </c>
      <c r="C213" s="84">
        <v>7973.4170399223458</v>
      </c>
      <c r="D213" s="66"/>
      <c r="E213" s="100" t="s">
        <v>135</v>
      </c>
      <c r="F213" s="88"/>
      <c r="G213" s="94"/>
    </row>
    <row r="214" spans="1:7" x14ac:dyDescent="0.2">
      <c r="A214" s="99">
        <f ca="1"/>
        <v>45181</v>
      </c>
      <c r="C214" s="84">
        <v>7862.5504417101902</v>
      </c>
      <c r="D214" s="66"/>
      <c r="E214" s="101" t="s">
        <v>16</v>
      </c>
      <c r="F214" s="101">
        <v>12273.445639</v>
      </c>
      <c r="G214" s="102">
        <v>6686.3143371586739</v>
      </c>
    </row>
    <row r="215" spans="1:7" x14ac:dyDescent="0.2">
      <c r="A215" s="99">
        <f ca="1"/>
        <v>45180</v>
      </c>
      <c r="C215" s="84">
        <v>8182.6183237392124</v>
      </c>
      <c r="D215" s="66"/>
      <c r="E215" s="101" t="s">
        <v>17</v>
      </c>
      <c r="F215" s="101">
        <v>81520.145294550006</v>
      </c>
      <c r="G215" s="102">
        <v>8963.1774744026079</v>
      </c>
    </row>
    <row r="216" spans="1:7" x14ac:dyDescent="0.2">
      <c r="A216" s="99">
        <f ca="1"/>
        <v>45179</v>
      </c>
      <c r="C216" s="84">
        <v>8327.9940979001731</v>
      </c>
      <c r="D216" s="66"/>
      <c r="E216" s="90"/>
      <c r="F216" s="90"/>
      <c r="G216" s="93"/>
    </row>
    <row r="217" spans="1:7" x14ac:dyDescent="0.2">
      <c r="A217" s="99">
        <f ca="1"/>
        <v>45178</v>
      </c>
      <c r="C217" s="84">
        <v>8408.2158661503217</v>
      </c>
      <c r="D217" s="66"/>
      <c r="E217" s="100" t="s">
        <v>136</v>
      </c>
      <c r="F217" s="88"/>
      <c r="G217" s="94"/>
    </row>
    <row r="218" spans="1:7" x14ac:dyDescent="0.2">
      <c r="A218" s="99">
        <f ca="1"/>
        <v>45177</v>
      </c>
      <c r="C218" s="84">
        <v>8409.0910025473986</v>
      </c>
      <c r="D218" s="66"/>
      <c r="E218" s="101" t="s">
        <v>17</v>
      </c>
      <c r="F218" s="101">
        <v>81520.145294550006</v>
      </c>
      <c r="G218" s="102">
        <v>8931.6462974041297</v>
      </c>
    </row>
    <row r="219" spans="1:7" x14ac:dyDescent="0.2">
      <c r="A219" s="99">
        <f ca="1"/>
        <v>45176</v>
      </c>
      <c r="C219" s="84">
        <v>8338.0107528058197</v>
      </c>
      <c r="D219" s="66"/>
      <c r="E219" s="101" t="s">
        <v>16</v>
      </c>
      <c r="F219" s="101">
        <v>8656.7882490000011</v>
      </c>
      <c r="G219" s="102">
        <v>4630.1361745217346</v>
      </c>
    </row>
    <row r="220" spans="1:7" x14ac:dyDescent="0.2">
      <c r="A220" s="99">
        <f ca="1"/>
        <v>45175</v>
      </c>
      <c r="C220" s="84">
        <v>8374.9244142866937</v>
      </c>
      <c r="D220" s="66"/>
      <c r="E220" s="90"/>
      <c r="F220" s="90"/>
      <c r="G220" s="93"/>
    </row>
    <row r="221" spans="1:7" x14ac:dyDescent="0.2">
      <c r="A221" s="99">
        <f ca="1"/>
        <v>45174</v>
      </c>
      <c r="C221" s="84">
        <v>8326.678073811132</v>
      </c>
      <c r="D221" s="66"/>
      <c r="E221" s="100" t="s">
        <v>137</v>
      </c>
      <c r="F221" s="88"/>
      <c r="G221" s="94"/>
    </row>
    <row r="222" spans="1:7" x14ac:dyDescent="0.2">
      <c r="A222" s="99">
        <f ca="1"/>
        <v>45173</v>
      </c>
      <c r="C222" s="84">
        <v>8305.8607654056323</v>
      </c>
      <c r="D222" s="66"/>
      <c r="E222" s="101" t="s">
        <v>17</v>
      </c>
      <c r="F222" s="101">
        <v>81520.145294550006</v>
      </c>
      <c r="G222" s="102">
        <v>9578.2746874993882</v>
      </c>
    </row>
    <row r="223" spans="1:7" x14ac:dyDescent="0.2">
      <c r="A223" s="99">
        <f ca="1"/>
        <v>45172</v>
      </c>
      <c r="C223" s="84">
        <v>8343.2661025568959</v>
      </c>
      <c r="D223" s="66"/>
      <c r="E223" s="101" t="s">
        <v>16</v>
      </c>
      <c r="F223" s="101">
        <v>8656.7882490000011</v>
      </c>
      <c r="G223" s="102">
        <v>4684.9707817594926</v>
      </c>
    </row>
    <row r="224" spans="1:7" x14ac:dyDescent="0.2">
      <c r="A224" s="99">
        <f ca="1"/>
        <v>45171</v>
      </c>
      <c r="C224" s="84">
        <v>8355.0579023724586</v>
      </c>
      <c r="D224" s="66"/>
      <c r="E224" s="90"/>
      <c r="F224" s="90"/>
      <c r="G224" s="93"/>
    </row>
    <row r="225" spans="1:7" x14ac:dyDescent="0.2">
      <c r="A225" s="99">
        <f ca="1"/>
        <v>45170</v>
      </c>
      <c r="C225" s="84">
        <v>8662.7132422270406</v>
      </c>
      <c r="D225" s="66"/>
      <c r="E225" s="100" t="s">
        <v>138</v>
      </c>
      <c r="F225" s="88"/>
      <c r="G225" s="94"/>
    </row>
    <row r="226" spans="1:7" x14ac:dyDescent="0.2">
      <c r="A226" s="99">
        <f ca="1"/>
        <v>45169</v>
      </c>
      <c r="C226" s="84">
        <v>8911.4705478211818</v>
      </c>
      <c r="D226" s="66"/>
      <c r="E226" s="101" t="s">
        <v>17</v>
      </c>
      <c r="F226" s="101">
        <v>81520.145294550006</v>
      </c>
      <c r="G226" s="102">
        <v>8527.4196897451202</v>
      </c>
    </row>
    <row r="227" spans="1:7" x14ac:dyDescent="0.2">
      <c r="A227" s="99">
        <f ca="1"/>
        <v>45168</v>
      </c>
      <c r="C227" s="84">
        <v>9231.8958286296383</v>
      </c>
      <c r="D227" s="66"/>
      <c r="E227" s="101" t="s">
        <v>16</v>
      </c>
      <c r="F227" s="101">
        <v>8656.7882490000011</v>
      </c>
      <c r="G227" s="102">
        <v>4756.7406638487691</v>
      </c>
    </row>
    <row r="228" spans="1:7" x14ac:dyDescent="0.2">
      <c r="A228" s="99">
        <f ca="1"/>
        <v>45167</v>
      </c>
      <c r="C228" s="84">
        <v>9073.7431354289056</v>
      </c>
      <c r="D228" s="66"/>
      <c r="E228" s="90"/>
      <c r="F228" s="90"/>
      <c r="G228" s="93"/>
    </row>
    <row r="229" spans="1:7" x14ac:dyDescent="0.2">
      <c r="A229" s="99">
        <f ca="1"/>
        <v>45166</v>
      </c>
      <c r="C229" s="84">
        <v>9241.1064046635001</v>
      </c>
      <c r="D229" s="66"/>
      <c r="E229" s="100" t="s">
        <v>139</v>
      </c>
      <c r="F229" s="88"/>
      <c r="G229" s="94"/>
    </row>
    <row r="230" spans="1:7" x14ac:dyDescent="0.2">
      <c r="A230" s="99">
        <f ca="1"/>
        <v>45165</v>
      </c>
      <c r="C230" s="84">
        <v>9213.033769070953</v>
      </c>
      <c r="D230" s="66"/>
      <c r="E230" s="101" t="s">
        <v>17</v>
      </c>
      <c r="F230" s="101">
        <v>81520.145294550006</v>
      </c>
      <c r="G230" s="102">
        <v>8767.5193432782526</v>
      </c>
    </row>
    <row r="231" spans="1:7" x14ac:dyDescent="0.2">
      <c r="A231" s="99">
        <f ca="1"/>
        <v>45164</v>
      </c>
      <c r="C231" s="84">
        <v>9326.9474214175243</v>
      </c>
      <c r="D231" s="66"/>
      <c r="E231" s="101" t="s">
        <v>16</v>
      </c>
      <c r="F231" s="101">
        <v>8656.7882490000011</v>
      </c>
      <c r="G231" s="102">
        <v>4876.2923812214613</v>
      </c>
    </row>
    <row r="232" spans="1:7" x14ac:dyDescent="0.2">
      <c r="A232" s="99">
        <f ca="1"/>
        <v>45163</v>
      </c>
      <c r="C232" s="84">
        <v>9277.4342331046755</v>
      </c>
      <c r="D232" s="66"/>
      <c r="E232" s="90"/>
      <c r="F232" s="90"/>
      <c r="G232" s="93"/>
    </row>
    <row r="233" spans="1:7" x14ac:dyDescent="0.2">
      <c r="A233" s="99">
        <f ca="1"/>
        <v>45162</v>
      </c>
      <c r="C233" s="84">
        <v>9595.5290997782613</v>
      </c>
      <c r="D233" s="66"/>
      <c r="E233" s="100" t="s">
        <v>140</v>
      </c>
      <c r="F233" s="88"/>
      <c r="G233" s="94"/>
    </row>
    <row r="234" spans="1:7" x14ac:dyDescent="0.2">
      <c r="A234" s="99">
        <f ca="1"/>
        <v>45161</v>
      </c>
      <c r="C234" s="84">
        <v>9279.0134301440594</v>
      </c>
      <c r="D234" s="66"/>
      <c r="E234" s="101" t="s">
        <v>17</v>
      </c>
      <c r="F234" s="101">
        <v>81520.145294550006</v>
      </c>
      <c r="G234" s="102">
        <v>9027.6330076826507</v>
      </c>
    </row>
    <row r="235" spans="1:7" x14ac:dyDescent="0.2">
      <c r="A235" s="99">
        <f ca="1"/>
        <v>45160</v>
      </c>
      <c r="C235" s="84">
        <v>9491.8154265628418</v>
      </c>
      <c r="D235" s="66"/>
      <c r="E235" s="101" t="s">
        <v>16</v>
      </c>
      <c r="F235" s="101">
        <v>8656.7882490000011</v>
      </c>
      <c r="G235" s="102">
        <v>4868.2402696316549</v>
      </c>
    </row>
    <row r="236" spans="1:7" x14ac:dyDescent="0.2">
      <c r="A236" s="99">
        <f ca="1"/>
        <v>45159</v>
      </c>
      <c r="C236" s="84">
        <v>9634.453345477812</v>
      </c>
      <c r="D236" s="66"/>
      <c r="E236" s="90"/>
      <c r="F236" s="90"/>
      <c r="G236" s="93"/>
    </row>
    <row r="237" spans="1:7" x14ac:dyDescent="0.2">
      <c r="A237" s="99">
        <f ca="1"/>
        <v>45158</v>
      </c>
      <c r="C237" s="84">
        <v>9778.928944172123</v>
      </c>
      <c r="D237" s="66"/>
      <c r="E237" s="100" t="s">
        <v>141</v>
      </c>
      <c r="F237" s="88"/>
      <c r="G237" s="94"/>
    </row>
    <row r="238" spans="1:7" x14ac:dyDescent="0.2">
      <c r="A238" s="99">
        <f ca="1"/>
        <v>45157</v>
      </c>
      <c r="C238" s="84">
        <v>9159.2007666079298</v>
      </c>
      <c r="D238" s="66"/>
      <c r="E238" s="101" t="s">
        <v>17</v>
      </c>
      <c r="F238" s="101">
        <v>81520.145294550006</v>
      </c>
      <c r="G238" s="102">
        <v>7315.6113171212937</v>
      </c>
    </row>
    <row r="239" spans="1:7" x14ac:dyDescent="0.2">
      <c r="A239" s="99">
        <f ca="1"/>
        <v>45156</v>
      </c>
      <c r="C239" s="84">
        <v>9034.8106631490609</v>
      </c>
      <c r="D239" s="66"/>
      <c r="E239" s="101" t="s">
        <v>16</v>
      </c>
      <c r="F239" s="101">
        <v>8656.7882490000011</v>
      </c>
      <c r="G239" s="102">
        <v>4821.8219650653391</v>
      </c>
    </row>
    <row r="240" spans="1:7" x14ac:dyDescent="0.2">
      <c r="A240" s="99">
        <f ca="1"/>
        <v>45155</v>
      </c>
      <c r="C240" s="84">
        <v>10212.29222321576</v>
      </c>
      <c r="D240" s="66"/>
      <c r="E240" s="90"/>
      <c r="F240" s="90"/>
      <c r="G240" s="93"/>
    </row>
    <row r="241" spans="1:7" x14ac:dyDescent="0.2">
      <c r="A241" s="99">
        <f ca="1"/>
        <v>45154</v>
      </c>
      <c r="C241" s="84">
        <v>10779.512362837329</v>
      </c>
      <c r="D241" s="66"/>
      <c r="E241" s="100" t="s">
        <v>142</v>
      </c>
      <c r="F241" s="88"/>
      <c r="G241" s="94"/>
    </row>
    <row r="242" spans="1:7" x14ac:dyDescent="0.2">
      <c r="A242" s="99">
        <f ca="1"/>
        <v>45153</v>
      </c>
      <c r="C242" s="84">
        <v>10811.008157999389</v>
      </c>
      <c r="D242" s="66"/>
      <c r="E242" s="101" t="s">
        <v>17</v>
      </c>
      <c r="F242" s="101">
        <v>81520.145294550006</v>
      </c>
      <c r="G242" s="102">
        <v>6802.3816775845844</v>
      </c>
    </row>
    <row r="243" spans="1:7" x14ac:dyDescent="0.2">
      <c r="A243" s="99">
        <f ca="1"/>
        <v>45152</v>
      </c>
      <c r="C243" s="84">
        <v>10036.8295124416</v>
      </c>
      <c r="D243" s="66"/>
      <c r="E243" s="101" t="s">
        <v>16</v>
      </c>
      <c r="F243" s="101">
        <v>8656.7882490000011</v>
      </c>
      <c r="G243" s="102">
        <v>4760.8267544701794</v>
      </c>
    </row>
    <row r="244" spans="1:7" x14ac:dyDescent="0.2">
      <c r="A244" s="99">
        <f ca="1"/>
        <v>45151</v>
      </c>
      <c r="C244" s="84">
        <v>9981.0493011841663</v>
      </c>
      <c r="D244" s="66"/>
      <c r="E244" s="90"/>
      <c r="F244" s="90"/>
      <c r="G244" s="93"/>
    </row>
    <row r="245" spans="1:7" x14ac:dyDescent="0.2">
      <c r="A245" s="99">
        <f ca="1"/>
        <v>45150</v>
      </c>
      <c r="C245" s="84">
        <v>10049.10352938703</v>
      </c>
      <c r="D245" s="66"/>
      <c r="E245" s="100" t="s">
        <v>143</v>
      </c>
      <c r="F245" s="88"/>
      <c r="G245" s="94"/>
    </row>
    <row r="246" spans="1:7" x14ac:dyDescent="0.2">
      <c r="A246" s="99">
        <f ca="1"/>
        <v>45149</v>
      </c>
      <c r="C246" s="84">
        <v>10150.198854219359</v>
      </c>
      <c r="D246" s="66"/>
      <c r="E246" s="101" t="s">
        <v>17</v>
      </c>
      <c r="F246" s="101">
        <v>81520.145294550006</v>
      </c>
      <c r="G246" s="102">
        <v>6971.5033710126572</v>
      </c>
    </row>
    <row r="247" spans="1:7" x14ac:dyDescent="0.2">
      <c r="A247" s="99">
        <f ca="1"/>
        <v>45148</v>
      </c>
      <c r="C247" s="84">
        <v>10413.399878712509</v>
      </c>
      <c r="D247" s="66"/>
      <c r="E247" s="101" t="s">
        <v>16</v>
      </c>
      <c r="F247" s="101">
        <v>8656.7882490000011</v>
      </c>
      <c r="G247" s="102">
        <v>4892.1478948746826</v>
      </c>
    </row>
    <row r="248" spans="1:7" x14ac:dyDescent="0.2">
      <c r="A248" s="99">
        <f ca="1"/>
        <v>45147</v>
      </c>
      <c r="C248" s="84">
        <v>10510.55687386542</v>
      </c>
      <c r="D248" s="66"/>
      <c r="E248" s="90"/>
      <c r="F248" s="90"/>
      <c r="G248" s="93"/>
    </row>
    <row r="249" spans="1:7" x14ac:dyDescent="0.2">
      <c r="A249" s="99">
        <f ca="1"/>
        <v>45146</v>
      </c>
      <c r="C249" s="84">
        <v>10081.22864763803</v>
      </c>
      <c r="D249" s="66"/>
      <c r="E249" s="100" t="s">
        <v>144</v>
      </c>
      <c r="F249" s="88"/>
      <c r="G249" s="94"/>
    </row>
    <row r="250" spans="1:7" x14ac:dyDescent="0.2">
      <c r="A250" s="99">
        <f ca="1"/>
        <v>45145</v>
      </c>
      <c r="C250" s="84">
        <v>10129.34710552718</v>
      </c>
      <c r="D250" s="66"/>
      <c r="E250" s="101" t="s">
        <v>17</v>
      </c>
      <c r="F250" s="101">
        <v>81520.145294550006</v>
      </c>
      <c r="G250" s="102">
        <v>6742.8964275631524</v>
      </c>
    </row>
    <row r="251" spans="1:7" x14ac:dyDescent="0.2">
      <c r="A251" s="99">
        <f ca="1"/>
        <v>45144</v>
      </c>
      <c r="C251" s="84">
        <v>10017.253037507589</v>
      </c>
      <c r="D251" s="66"/>
      <c r="E251" s="101" t="s">
        <v>16</v>
      </c>
      <c r="F251" s="101">
        <v>8656.7882490000011</v>
      </c>
      <c r="G251" s="102">
        <v>4870.9222291990773</v>
      </c>
    </row>
    <row r="252" spans="1:7" x14ac:dyDescent="0.2">
      <c r="A252" s="99">
        <f ca="1"/>
        <v>45143</v>
      </c>
      <c r="C252" s="84">
        <v>10099.71135970121</v>
      </c>
      <c r="D252" s="66"/>
      <c r="E252" s="90"/>
      <c r="F252" s="90"/>
      <c r="G252" s="93"/>
    </row>
    <row r="253" spans="1:7" x14ac:dyDescent="0.2">
      <c r="A253" s="99">
        <f ca="1"/>
        <v>45142</v>
      </c>
      <c r="C253" s="84">
        <v>10360.889064051689</v>
      </c>
      <c r="D253" s="66"/>
      <c r="E253" s="100" t="s">
        <v>145</v>
      </c>
      <c r="F253" s="90"/>
      <c r="G253" s="93"/>
    </row>
    <row r="254" spans="1:7" x14ac:dyDescent="0.2">
      <c r="A254" s="99">
        <f ca="1"/>
        <v>45141</v>
      </c>
      <c r="C254" s="84">
        <v>10512.37084778431</v>
      </c>
      <c r="D254" s="66"/>
      <c r="E254" s="101" t="s">
        <v>17</v>
      </c>
      <c r="F254" s="101">
        <v>81520.145294550006</v>
      </c>
      <c r="G254" s="102">
        <v>6712.8562540221092</v>
      </c>
    </row>
    <row r="255" spans="1:7" x14ac:dyDescent="0.2">
      <c r="A255" s="99">
        <f ca="1"/>
        <v>45140</v>
      </c>
      <c r="C255" s="84">
        <v>10720.468776631509</v>
      </c>
      <c r="D255" s="66"/>
      <c r="E255" s="101" t="s">
        <v>16</v>
      </c>
      <c r="F255" s="101">
        <v>8656.7882490000011</v>
      </c>
      <c r="G255" s="102">
        <v>4658.781140566145</v>
      </c>
    </row>
    <row r="256" spans="1:7" x14ac:dyDescent="0.2">
      <c r="A256" s="99">
        <f ca="1"/>
        <v>45139</v>
      </c>
      <c r="C256" s="84">
        <v>10654.51402733601</v>
      </c>
      <c r="D256" s="66"/>
      <c r="E256" s="90"/>
      <c r="F256" s="90"/>
      <c r="G256" s="93"/>
    </row>
    <row r="257" spans="1:7" x14ac:dyDescent="0.2">
      <c r="A257" s="99">
        <f ca="1"/>
        <v>45138</v>
      </c>
      <c r="C257" s="84">
        <v>10733.76511282735</v>
      </c>
      <c r="D257" s="66"/>
      <c r="E257" s="100" t="s">
        <v>146</v>
      </c>
      <c r="F257" s="90"/>
      <c r="G257" s="93"/>
    </row>
    <row r="258" spans="1:7" x14ac:dyDescent="0.2">
      <c r="A258" s="99">
        <f ca="1"/>
        <v>45137</v>
      </c>
      <c r="C258" s="84">
        <v>10861.68596787983</v>
      </c>
      <c r="D258" s="66"/>
      <c r="E258" s="101" t="s">
        <v>17</v>
      </c>
      <c r="F258" s="101">
        <v>81520.145294550006</v>
      </c>
      <c r="G258" s="102">
        <v>6648.3852319144607</v>
      </c>
    </row>
    <row r="259" spans="1:7" x14ac:dyDescent="0.2">
      <c r="A259" s="99">
        <f ca="1"/>
        <v>45136</v>
      </c>
      <c r="C259" s="84">
        <v>10805.34403737795</v>
      </c>
      <c r="D259" s="66"/>
      <c r="E259" s="101" t="s">
        <v>16</v>
      </c>
      <c r="F259" s="101">
        <v>8656.7882490000011</v>
      </c>
      <c r="G259" s="102">
        <v>4545.3161841470892</v>
      </c>
    </row>
    <row r="260" spans="1:7" x14ac:dyDescent="0.2">
      <c r="A260" s="99">
        <f ca="1"/>
        <v>45135</v>
      </c>
      <c r="C260" s="84">
        <v>10762.141818350379</v>
      </c>
      <c r="D260" s="66"/>
      <c r="E260" s="89"/>
      <c r="F260" s="88"/>
      <c r="G260" s="94"/>
    </row>
    <row r="261" spans="1:7" x14ac:dyDescent="0.2">
      <c r="A261" s="99">
        <f ca="1"/>
        <v>45134</v>
      </c>
      <c r="C261" s="84">
        <v>10825.50317050661</v>
      </c>
      <c r="D261" s="66"/>
      <c r="E261" s="100" t="s">
        <v>147</v>
      </c>
      <c r="F261" s="90"/>
      <c r="G261" s="93"/>
    </row>
    <row r="262" spans="1:7" x14ac:dyDescent="0.2">
      <c r="A262" s="99">
        <f ca="1"/>
        <v>45133</v>
      </c>
      <c r="C262" s="84">
        <v>10749.509308899191</v>
      </c>
      <c r="D262" s="66"/>
      <c r="E262" s="101" t="s">
        <v>17</v>
      </c>
      <c r="F262" s="101">
        <v>81520.145294550006</v>
      </c>
      <c r="G262" s="102">
        <v>6513.3960233212156</v>
      </c>
    </row>
    <row r="263" spans="1:7" x14ac:dyDescent="0.2">
      <c r="A263" s="99">
        <f ca="1"/>
        <v>45132</v>
      </c>
      <c r="C263" s="84">
        <v>9674.4183603885303</v>
      </c>
      <c r="D263" s="66"/>
      <c r="E263" s="101" t="s">
        <v>16</v>
      </c>
      <c r="F263" s="101">
        <v>8656.7882490000011</v>
      </c>
      <c r="G263" s="102">
        <v>4606.8336587773119</v>
      </c>
    </row>
    <row r="264" spans="1:7" x14ac:dyDescent="0.2">
      <c r="A264" s="99">
        <f ca="1"/>
        <v>45131</v>
      </c>
      <c r="C264" s="84">
        <v>10028.71524983097</v>
      </c>
      <c r="D264" s="66"/>
      <c r="E264" s="88"/>
      <c r="F264" s="88"/>
      <c r="G264" s="94"/>
    </row>
    <row r="265" spans="1:7" x14ac:dyDescent="0.2">
      <c r="A265" s="99">
        <f ca="1"/>
        <v>45130</v>
      </c>
      <c r="C265" s="84">
        <v>9937.4671263655273</v>
      </c>
      <c r="D265" s="66"/>
      <c r="E265" s="100" t="s">
        <v>148</v>
      </c>
      <c r="F265" s="88"/>
      <c r="G265" s="94"/>
    </row>
    <row r="266" spans="1:7" x14ac:dyDescent="0.2">
      <c r="A266" s="99">
        <f ca="1"/>
        <v>45129</v>
      </c>
      <c r="C266" s="84">
        <v>10360.85779526135</v>
      </c>
      <c r="D266" s="66"/>
      <c r="E266" s="101" t="s">
        <v>17</v>
      </c>
      <c r="F266" s="101">
        <v>81520.145294550006</v>
      </c>
      <c r="G266" s="102">
        <v>6374.1563543523134</v>
      </c>
    </row>
    <row r="267" spans="1:7" x14ac:dyDescent="0.2">
      <c r="A267" s="99">
        <f ca="1"/>
        <v>45128</v>
      </c>
      <c r="C267" s="84">
        <v>10571.813374117601</v>
      </c>
      <c r="D267" s="66"/>
      <c r="E267" s="101" t="s">
        <v>16</v>
      </c>
      <c r="F267" s="101">
        <v>8656.7882490000011</v>
      </c>
      <c r="G267" s="102">
        <v>4552.4307655695302</v>
      </c>
    </row>
    <row r="268" spans="1:7" x14ac:dyDescent="0.2">
      <c r="A268" s="99">
        <f ca="1"/>
        <v>45127</v>
      </c>
      <c r="C268" s="84">
        <v>10738.789990451351</v>
      </c>
      <c r="D268" s="66"/>
      <c r="E268" s="90"/>
      <c r="F268" s="90"/>
      <c r="G268" s="93"/>
    </row>
    <row r="269" spans="1:7" x14ac:dyDescent="0.2">
      <c r="A269" s="99">
        <f ca="1"/>
        <v>45126</v>
      </c>
      <c r="C269" s="84">
        <v>10324.558648995901</v>
      </c>
      <c r="D269" s="66"/>
      <c r="E269" s="100" t="s">
        <v>149</v>
      </c>
      <c r="F269" s="88"/>
      <c r="G269" s="94"/>
    </row>
    <row r="270" spans="1:7" x14ac:dyDescent="0.2">
      <c r="A270" s="99">
        <f ca="1"/>
        <v>45125</v>
      </c>
      <c r="C270" s="84">
        <v>10089.277506094641</v>
      </c>
      <c r="D270" s="66"/>
      <c r="E270" s="101" t="s">
        <v>17</v>
      </c>
      <c r="F270" s="101">
        <v>81520.145294550006</v>
      </c>
      <c r="G270" s="102">
        <v>6426.4759836023541</v>
      </c>
    </row>
    <row r="271" spans="1:7" x14ac:dyDescent="0.2">
      <c r="A271" s="99">
        <f ca="1"/>
        <v>45124</v>
      </c>
      <c r="C271" s="84">
        <v>10041.776093284399</v>
      </c>
      <c r="D271" s="66"/>
      <c r="E271" s="101" t="s">
        <v>16</v>
      </c>
      <c r="F271" s="101">
        <v>8656.7882490000011</v>
      </c>
      <c r="G271" s="102">
        <v>4534.5588262294696</v>
      </c>
    </row>
    <row r="272" spans="1:7" x14ac:dyDescent="0.2">
      <c r="A272" s="99">
        <f ca="1"/>
        <v>45123</v>
      </c>
      <c r="C272" s="84">
        <v>10026.983437495361</v>
      </c>
      <c r="D272" s="66"/>
      <c r="E272" s="90"/>
      <c r="F272" s="90"/>
      <c r="G272" s="93"/>
    </row>
    <row r="273" spans="1:7" x14ac:dyDescent="0.2">
      <c r="A273" s="99">
        <f ca="1"/>
        <v>45122</v>
      </c>
      <c r="C273" s="84">
        <v>10038.17622382791</v>
      </c>
      <c r="D273" s="66"/>
      <c r="E273" s="100" t="s">
        <v>150</v>
      </c>
      <c r="F273" s="90"/>
      <c r="G273" s="93"/>
    </row>
    <row r="274" spans="1:7" x14ac:dyDescent="0.2">
      <c r="A274" s="99">
        <f ca="1"/>
        <v>45121</v>
      </c>
      <c r="C274" s="84">
        <v>10669.596382680589</v>
      </c>
      <c r="D274" s="66"/>
      <c r="E274" s="101" t="s">
        <v>17</v>
      </c>
      <c r="F274" s="101">
        <v>81520.145294550006</v>
      </c>
      <c r="G274" s="102">
        <v>6474.5899885566514</v>
      </c>
    </row>
    <row r="275" spans="1:7" x14ac:dyDescent="0.2">
      <c r="A275" s="99">
        <f ca="1"/>
        <v>45120</v>
      </c>
      <c r="C275" s="84">
        <v>8557.1716975588024</v>
      </c>
      <c r="D275" s="66"/>
      <c r="E275" s="101" t="s">
        <v>16</v>
      </c>
      <c r="F275" s="101">
        <v>8656.7882490000011</v>
      </c>
      <c r="G275" s="102">
        <v>4550.7808682971536</v>
      </c>
    </row>
    <row r="276" spans="1:7" x14ac:dyDescent="0.2">
      <c r="A276" s="99">
        <f ca="1"/>
        <v>45119</v>
      </c>
      <c r="C276" s="84">
        <v>8587.5647238187139</v>
      </c>
      <c r="D276" s="66"/>
      <c r="E276" s="90"/>
      <c r="F276" s="90"/>
      <c r="G276" s="93"/>
    </row>
    <row r="277" spans="1:7" x14ac:dyDescent="0.2">
      <c r="A277" s="99">
        <f ca="1"/>
        <v>45118</v>
      </c>
      <c r="C277" s="84">
        <v>8552.4693748483551</v>
      </c>
      <c r="D277" s="66"/>
      <c r="E277" s="100" t="s">
        <v>151</v>
      </c>
      <c r="F277" s="88"/>
      <c r="G277" s="94"/>
    </row>
    <row r="278" spans="1:7" x14ac:dyDescent="0.2">
      <c r="A278" s="99">
        <f ca="1"/>
        <v>45117</v>
      </c>
      <c r="C278" s="84">
        <v>8479.9260160795311</v>
      </c>
      <c r="D278" s="66"/>
      <c r="E278" s="101" t="s">
        <v>17</v>
      </c>
      <c r="F278" s="101">
        <v>81520.145294550006</v>
      </c>
      <c r="G278" s="102">
        <v>6201.2129965128306</v>
      </c>
    </row>
    <row r="279" spans="1:7" x14ac:dyDescent="0.2">
      <c r="A279" s="99">
        <f ca="1"/>
        <v>45116</v>
      </c>
      <c r="C279" s="84">
        <v>8512.4051039362457</v>
      </c>
      <c r="D279" s="66"/>
      <c r="E279" s="101" t="s">
        <v>16</v>
      </c>
      <c r="F279" s="101">
        <v>8656.7882490000011</v>
      </c>
      <c r="G279" s="102">
        <v>4450.1994635575547</v>
      </c>
    </row>
    <row r="280" spans="1:7" x14ac:dyDescent="0.2">
      <c r="A280" s="99">
        <f ca="1"/>
        <v>45115</v>
      </c>
      <c r="C280" s="84">
        <v>8492.1537553791131</v>
      </c>
      <c r="D280" s="66"/>
      <c r="E280" s="90"/>
      <c r="F280" s="90"/>
      <c r="G280" s="93"/>
    </row>
    <row r="281" spans="1:7" x14ac:dyDescent="0.2">
      <c r="A281" s="99">
        <f ca="1"/>
        <v>45114</v>
      </c>
      <c r="C281" s="84">
        <v>8396.6009095183217</v>
      </c>
      <c r="D281" s="66"/>
      <c r="E281" s="100" t="s">
        <v>152</v>
      </c>
      <c r="F281" s="90"/>
      <c r="G281" s="93"/>
    </row>
    <row r="282" spans="1:7" x14ac:dyDescent="0.2">
      <c r="A282" s="99">
        <f ca="1"/>
        <v>45113</v>
      </c>
      <c r="C282" s="84">
        <v>8616.1281276784721</v>
      </c>
      <c r="D282" s="66"/>
      <c r="E282" s="101" t="s">
        <v>17</v>
      </c>
      <c r="F282" s="101">
        <v>81520.145294550006</v>
      </c>
      <c r="G282" s="102">
        <v>6191.671878707557</v>
      </c>
    </row>
    <row r="283" spans="1:7" x14ac:dyDescent="0.2">
      <c r="A283" s="99">
        <f ca="1"/>
        <v>45112</v>
      </c>
      <c r="C283" s="84">
        <v>8811.0400531915438</v>
      </c>
      <c r="D283" s="66"/>
      <c r="E283" s="101" t="s">
        <v>16</v>
      </c>
      <c r="F283" s="101">
        <v>8656.7882490000011</v>
      </c>
      <c r="G283" s="102">
        <v>4444.3750898557464</v>
      </c>
    </row>
    <row r="284" spans="1:7" x14ac:dyDescent="0.2">
      <c r="A284" s="99">
        <f ca="1"/>
        <v>45111</v>
      </c>
      <c r="C284" s="84">
        <v>8930.0511570199815</v>
      </c>
      <c r="D284" s="66"/>
      <c r="E284" s="90"/>
      <c r="F284" s="90"/>
      <c r="G284" s="93"/>
    </row>
    <row r="285" spans="1:7" x14ac:dyDescent="0.2">
      <c r="A285" s="99">
        <f ca="1"/>
        <v>45110</v>
      </c>
      <c r="C285" s="84">
        <v>8845.2613822187941</v>
      </c>
      <c r="D285" s="66"/>
      <c r="E285" s="100" t="s">
        <v>153</v>
      </c>
      <c r="F285" s="90"/>
      <c r="G285" s="93"/>
    </row>
    <row r="286" spans="1:7" x14ac:dyDescent="0.2">
      <c r="A286" s="99">
        <f ca="1"/>
        <v>45109</v>
      </c>
      <c r="C286" s="84">
        <v>8802.5303293015277</v>
      </c>
      <c r="D286" s="66"/>
      <c r="E286" s="101" t="s">
        <v>17</v>
      </c>
      <c r="F286" s="101">
        <v>81520.145294550006</v>
      </c>
      <c r="G286" s="102">
        <v>6105.5254651675396</v>
      </c>
    </row>
    <row r="287" spans="1:7" x14ac:dyDescent="0.2">
      <c r="A287" s="99">
        <f ca="1"/>
        <v>45108</v>
      </c>
      <c r="C287" s="84">
        <v>8752.5854816098908</v>
      </c>
      <c r="D287" s="66"/>
      <c r="E287" s="101" t="s">
        <v>16</v>
      </c>
      <c r="F287" s="101">
        <v>8656.7882490000011</v>
      </c>
      <c r="G287" s="102">
        <v>4372.6260706261492</v>
      </c>
    </row>
    <row r="288" spans="1:7" x14ac:dyDescent="0.2">
      <c r="A288" s="99">
        <f ca="1"/>
        <v>45107</v>
      </c>
      <c r="C288" s="84">
        <v>8489.7411277976607</v>
      </c>
      <c r="D288" s="66"/>
      <c r="E288" s="90"/>
      <c r="F288" s="90"/>
      <c r="G288" s="93"/>
    </row>
    <row r="289" spans="1:7" x14ac:dyDescent="0.2">
      <c r="A289" s="99">
        <f ca="1"/>
        <v>45106</v>
      </c>
      <c r="C289" s="84">
        <v>8356.0627409458466</v>
      </c>
      <c r="D289" s="66"/>
      <c r="E289" s="100" t="s">
        <v>154</v>
      </c>
      <c r="F289" s="90"/>
      <c r="G289" s="93"/>
    </row>
    <row r="290" spans="1:7" x14ac:dyDescent="0.2">
      <c r="A290" s="99">
        <f ca="1"/>
        <v>45105</v>
      </c>
      <c r="C290" s="84">
        <v>8754.4914070434716</v>
      </c>
      <c r="D290" s="66"/>
      <c r="E290" s="101" t="s">
        <v>17</v>
      </c>
      <c r="F290" s="101">
        <v>81509.269995989991</v>
      </c>
      <c r="G290" s="102">
        <v>5653.1642656761805</v>
      </c>
    </row>
    <row r="291" spans="1:7" x14ac:dyDescent="0.2">
      <c r="A291" s="99">
        <f ca="1"/>
        <v>45104</v>
      </c>
      <c r="C291" s="84">
        <v>8627.8259949003568</v>
      </c>
      <c r="D291" s="66"/>
      <c r="E291" s="101" t="s">
        <v>16</v>
      </c>
      <c r="F291" s="101">
        <v>8656.7882490000011</v>
      </c>
      <c r="G291" s="102">
        <v>4380.9811698046706</v>
      </c>
    </row>
    <row r="292" spans="1:7" x14ac:dyDescent="0.2">
      <c r="A292" s="99">
        <f ca="1"/>
        <v>45103</v>
      </c>
      <c r="C292" s="84">
        <v>8854.7247623398889</v>
      </c>
      <c r="D292" s="66"/>
      <c r="E292" s="90"/>
      <c r="F292" s="90"/>
      <c r="G292" s="93"/>
    </row>
    <row r="293" spans="1:7" x14ac:dyDescent="0.2">
      <c r="A293" s="99">
        <f ca="1"/>
        <v>45102</v>
      </c>
      <c r="C293" s="84">
        <v>8768.2716571384699</v>
      </c>
      <c r="D293" s="66"/>
      <c r="E293" s="100" t="s">
        <v>155</v>
      </c>
      <c r="F293" s="90"/>
      <c r="G293" s="93"/>
    </row>
    <row r="294" spans="1:7" x14ac:dyDescent="0.2">
      <c r="A294" s="99">
        <f ca="1"/>
        <v>45101</v>
      </c>
      <c r="C294" s="84">
        <v>8877.6633817913098</v>
      </c>
      <c r="D294" s="66"/>
      <c r="E294" s="101" t="s">
        <v>17</v>
      </c>
      <c r="F294" s="101">
        <v>81509.269995989991</v>
      </c>
      <c r="G294" s="102">
        <v>5580.9454222743343</v>
      </c>
    </row>
    <row r="295" spans="1:7" x14ac:dyDescent="0.2">
      <c r="A295" s="99">
        <f ca="1"/>
        <v>45100</v>
      </c>
      <c r="C295" s="84">
        <v>8711.3034819310869</v>
      </c>
      <c r="D295" s="66"/>
      <c r="E295" s="101" t="s">
        <v>16</v>
      </c>
      <c r="F295" s="101">
        <v>8656.7882490000011</v>
      </c>
      <c r="G295" s="102">
        <v>4357.1339689436209</v>
      </c>
    </row>
    <row r="296" spans="1:7" x14ac:dyDescent="0.2">
      <c r="A296" s="99">
        <f ca="1"/>
        <v>45099</v>
      </c>
      <c r="C296" s="84">
        <v>8763.5084549334424</v>
      </c>
      <c r="D296" s="66"/>
      <c r="E296" s="89"/>
      <c r="F296" s="88"/>
      <c r="G296" s="94"/>
    </row>
    <row r="297" spans="1:7" x14ac:dyDescent="0.2">
      <c r="A297" s="99">
        <f ca="1"/>
        <v>45098</v>
      </c>
      <c r="C297" s="84">
        <v>8430.6619816464663</v>
      </c>
      <c r="D297" s="66"/>
      <c r="E297" s="100" t="s">
        <v>156</v>
      </c>
      <c r="F297" s="90"/>
      <c r="G297" s="93"/>
    </row>
    <row r="298" spans="1:7" x14ac:dyDescent="0.2">
      <c r="A298" s="99">
        <f ca="1"/>
        <v>45097</v>
      </c>
      <c r="C298" s="84">
        <v>8262.8802025016194</v>
      </c>
      <c r="D298" s="66"/>
      <c r="E298" s="101" t="s">
        <v>17</v>
      </c>
      <c r="F298" s="101">
        <v>81509.269995989991</v>
      </c>
      <c r="G298" s="102">
        <v>5649.9495400675387</v>
      </c>
    </row>
    <row r="299" spans="1:7" x14ac:dyDescent="0.2">
      <c r="A299" s="99">
        <f ca="1"/>
        <v>45096</v>
      </c>
      <c r="C299" s="84">
        <v>8237.6017833054102</v>
      </c>
      <c r="D299" s="66"/>
      <c r="E299" s="101" t="s">
        <v>16</v>
      </c>
      <c r="F299" s="101">
        <v>8656.7882490000011</v>
      </c>
      <c r="G299" s="102">
        <v>4493.0843268642766</v>
      </c>
    </row>
    <row r="300" spans="1:7" x14ac:dyDescent="0.2">
      <c r="A300" s="99">
        <f ca="1"/>
        <v>45095</v>
      </c>
      <c r="C300" s="84">
        <v>8266.6487200238789</v>
      </c>
      <c r="D300" s="66"/>
      <c r="E300" s="90"/>
      <c r="F300" s="90"/>
      <c r="G300" s="93"/>
    </row>
    <row r="301" spans="1:7" x14ac:dyDescent="0.2">
      <c r="A301" s="99">
        <f ca="1"/>
        <v>45094</v>
      </c>
      <c r="C301" s="84">
        <v>8195.9939966179154</v>
      </c>
      <c r="D301" s="66"/>
      <c r="E301" s="100" t="s">
        <v>157</v>
      </c>
      <c r="F301" s="90"/>
      <c r="G301" s="93"/>
    </row>
    <row r="302" spans="1:7" x14ac:dyDescent="0.2">
      <c r="A302" s="99">
        <f ca="1"/>
        <v>45093</v>
      </c>
      <c r="C302" s="84">
        <v>8073.0387752198712</v>
      </c>
      <c r="D302" s="66"/>
      <c r="E302" s="101" t="s">
        <v>17</v>
      </c>
      <c r="F302" s="101">
        <v>81509.269995989991</v>
      </c>
      <c r="G302" s="102">
        <v>5639.7877793771386</v>
      </c>
    </row>
    <row r="303" spans="1:7" x14ac:dyDescent="0.2">
      <c r="A303" s="99">
        <f ca="1"/>
        <v>45092</v>
      </c>
      <c r="C303" s="84">
        <v>8110.5618131829706</v>
      </c>
      <c r="D303" s="66"/>
      <c r="E303" s="101" t="s">
        <v>16</v>
      </c>
      <c r="F303" s="101">
        <v>8656.7882490000011</v>
      </c>
      <c r="G303" s="102">
        <v>4415.5384625195011</v>
      </c>
    </row>
    <row r="304" spans="1:7" x14ac:dyDescent="0.2">
      <c r="A304" s="99">
        <f ca="1"/>
        <v>45091</v>
      </c>
      <c r="C304" s="84">
        <v>8511.1917910747216</v>
      </c>
      <c r="D304" s="66"/>
      <c r="E304" s="88"/>
      <c r="F304" s="88"/>
      <c r="G304" s="94"/>
    </row>
    <row r="305" spans="1:7" x14ac:dyDescent="0.2">
      <c r="A305" s="99">
        <f ca="1"/>
        <v>45090</v>
      </c>
      <c r="C305" s="84">
        <v>8483.7018604436416</v>
      </c>
      <c r="D305" s="66"/>
      <c r="E305" s="100" t="s">
        <v>158</v>
      </c>
      <c r="F305" s="88"/>
      <c r="G305" s="94"/>
    </row>
    <row r="306" spans="1:7" x14ac:dyDescent="0.2">
      <c r="A306" s="99">
        <f ca="1"/>
        <v>45089</v>
      </c>
      <c r="C306" s="84">
        <v>8443.1098100356958</v>
      </c>
      <c r="D306" s="66"/>
      <c r="E306" s="101" t="s">
        <v>17</v>
      </c>
      <c r="F306" s="101">
        <v>81509.269995989991</v>
      </c>
      <c r="G306" s="102">
        <v>5725.2388376701356</v>
      </c>
    </row>
    <row r="307" spans="1:7" x14ac:dyDescent="0.2">
      <c r="A307" s="99">
        <f ca="1"/>
        <v>45088</v>
      </c>
      <c r="C307" s="84">
        <v>8435.6326275295178</v>
      </c>
      <c r="D307" s="66"/>
      <c r="E307" s="101" t="s">
        <v>16</v>
      </c>
      <c r="F307" s="101">
        <v>8656.7882490000011</v>
      </c>
      <c r="G307" s="102">
        <v>4379.9299760075965</v>
      </c>
    </row>
    <row r="308" spans="1:7" x14ac:dyDescent="0.2">
      <c r="A308" s="99">
        <f ca="1"/>
        <v>45087</v>
      </c>
      <c r="C308" s="84">
        <v>8965.7891728925933</v>
      </c>
      <c r="D308" s="66"/>
      <c r="E308" s="90"/>
      <c r="F308" s="90"/>
      <c r="G308" s="93"/>
    </row>
    <row r="309" spans="1:7" x14ac:dyDescent="0.2">
      <c r="A309" s="99">
        <f ca="1"/>
        <v>45086</v>
      </c>
      <c r="C309" s="84">
        <v>9016.0024601550303</v>
      </c>
      <c r="D309" s="66"/>
      <c r="E309" s="100" t="s">
        <v>159</v>
      </c>
      <c r="F309" s="90"/>
      <c r="G309" s="93"/>
    </row>
    <row r="310" spans="1:7" x14ac:dyDescent="0.2">
      <c r="A310" s="99">
        <f ca="1"/>
        <v>45085</v>
      </c>
      <c r="C310" s="84">
        <v>8955.2433317950636</v>
      </c>
      <c r="D310" s="66"/>
      <c r="E310" s="101" t="s">
        <v>17</v>
      </c>
      <c r="F310" s="101">
        <v>81509.269995989991</v>
      </c>
      <c r="G310" s="102">
        <v>5663.699338823164</v>
      </c>
    </row>
    <row r="311" spans="1:7" x14ac:dyDescent="0.2">
      <c r="A311" s="99">
        <f ca="1"/>
        <v>45084</v>
      </c>
      <c r="C311" s="84">
        <v>9269.6708102585253</v>
      </c>
      <c r="D311" s="66"/>
      <c r="E311" s="101" t="s">
        <v>16</v>
      </c>
      <c r="F311" s="101">
        <v>8656.7882490000011</v>
      </c>
      <c r="G311" s="102">
        <v>4352.6079403433951</v>
      </c>
    </row>
    <row r="312" spans="1:7" x14ac:dyDescent="0.2">
      <c r="A312" s="99">
        <f ca="1"/>
        <v>45083</v>
      </c>
      <c r="C312" s="84">
        <v>8997.1453027371172</v>
      </c>
      <c r="D312" s="66"/>
      <c r="E312" s="90"/>
      <c r="F312" s="90"/>
      <c r="G312" s="93"/>
    </row>
    <row r="313" spans="1:7" x14ac:dyDescent="0.2">
      <c r="A313" s="99">
        <f ca="1"/>
        <v>45082</v>
      </c>
      <c r="C313" s="84">
        <v>9455.3205090103529</v>
      </c>
      <c r="D313" s="66"/>
      <c r="E313" s="100" t="s">
        <v>160</v>
      </c>
      <c r="F313" s="88"/>
      <c r="G313" s="94"/>
    </row>
    <row r="314" spans="1:7" x14ac:dyDescent="0.2">
      <c r="A314" s="99">
        <f ca="1"/>
        <v>45081</v>
      </c>
      <c r="C314" s="84">
        <v>8386.3911744512225</v>
      </c>
      <c r="D314" s="66"/>
      <c r="E314" s="101" t="s">
        <v>17</v>
      </c>
      <c r="F314" s="101">
        <v>81509.269995989991</v>
      </c>
      <c r="G314" s="102">
        <v>5941.462553651998</v>
      </c>
    </row>
    <row r="315" spans="1:7" x14ac:dyDescent="0.2">
      <c r="A315" s="99">
        <f ca="1"/>
        <v>45080</v>
      </c>
      <c r="C315" s="84">
        <v>8463.8889118810494</v>
      </c>
      <c r="D315" s="66"/>
      <c r="E315" s="101" t="s">
        <v>16</v>
      </c>
      <c r="F315" s="101">
        <v>8656.7882490000011</v>
      </c>
      <c r="G315" s="102">
        <v>4422.8776010291213</v>
      </c>
    </row>
    <row r="316" spans="1:7" x14ac:dyDescent="0.2">
      <c r="A316" s="99">
        <f ca="1"/>
        <v>45079</v>
      </c>
      <c r="C316" s="84">
        <v>8258.763354353825</v>
      </c>
      <c r="D316" s="66"/>
      <c r="E316" s="90"/>
      <c r="F316" s="90"/>
      <c r="G316" s="93"/>
    </row>
    <row r="317" spans="1:7" x14ac:dyDescent="0.2">
      <c r="A317" s="99">
        <f ca="1"/>
        <v>45078</v>
      </c>
      <c r="C317" s="84">
        <v>8404.7439271303592</v>
      </c>
      <c r="D317" s="66"/>
      <c r="E317" s="100" t="s">
        <v>161</v>
      </c>
      <c r="F317" s="90"/>
      <c r="G317" s="93"/>
    </row>
    <row r="318" spans="1:7" x14ac:dyDescent="0.2">
      <c r="A318" s="99">
        <f ca="1"/>
        <v>45077</v>
      </c>
      <c r="C318" s="84">
        <v>8527.0876310262429</v>
      </c>
      <c r="D318" s="66"/>
      <c r="E318" s="101" t="s">
        <v>17</v>
      </c>
      <c r="F318" s="101">
        <v>81436.587381429985</v>
      </c>
      <c r="G318" s="102">
        <v>6057.2916446268318</v>
      </c>
    </row>
    <row r="319" spans="1:7" x14ac:dyDescent="0.2">
      <c r="A319" s="99">
        <f ca="1"/>
        <v>45076</v>
      </c>
      <c r="C319" s="84">
        <v>8394.2388275321664</v>
      </c>
      <c r="D319" s="66"/>
      <c r="E319" s="101" t="s">
        <v>16</v>
      </c>
      <c r="F319" s="101">
        <v>8656.7882490000011</v>
      </c>
      <c r="G319" s="102">
        <v>4633.8844772656694</v>
      </c>
    </row>
    <row r="320" spans="1:7" x14ac:dyDescent="0.2">
      <c r="A320" s="99">
        <f ca="1"/>
        <v>45075</v>
      </c>
      <c r="C320" s="84">
        <v>8411.401564320835</v>
      </c>
      <c r="D320" s="66"/>
      <c r="E320" s="88"/>
      <c r="F320" s="88"/>
      <c r="G320" s="94"/>
    </row>
    <row r="321" spans="1:7" x14ac:dyDescent="0.2">
      <c r="A321" s="99">
        <f ca="1"/>
        <v>45074</v>
      </c>
      <c r="C321" s="84">
        <v>8134.3887913267718</v>
      </c>
      <c r="D321" s="66"/>
      <c r="E321" s="100" t="s">
        <v>162</v>
      </c>
      <c r="F321" s="88"/>
      <c r="G321" s="94"/>
    </row>
    <row r="322" spans="1:7" x14ac:dyDescent="0.2">
      <c r="A322" s="99">
        <f ca="1"/>
        <v>45073</v>
      </c>
      <c r="C322" s="84">
        <v>8105.6113805863724</v>
      </c>
      <c r="D322" s="66"/>
      <c r="E322" s="101" t="s">
        <v>17</v>
      </c>
      <c r="F322" s="101">
        <v>81436.587381429985</v>
      </c>
      <c r="G322" s="102">
        <v>5973.5666891399833</v>
      </c>
    </row>
    <row r="323" spans="1:7" x14ac:dyDescent="0.2">
      <c r="A323" s="99">
        <f ca="1"/>
        <v>45072</v>
      </c>
      <c r="C323" s="84">
        <v>7928.4124556276947</v>
      </c>
      <c r="D323" s="66"/>
      <c r="E323" s="101" t="s">
        <v>16</v>
      </c>
      <c r="F323" s="101">
        <v>8656.7882490000011</v>
      </c>
      <c r="G323" s="102">
        <v>4536.6025207992943</v>
      </c>
    </row>
    <row r="324" spans="1:7" x14ac:dyDescent="0.2">
      <c r="A324" s="99">
        <f ca="1"/>
        <v>45071</v>
      </c>
      <c r="C324" s="84">
        <v>7950.3934819647056</v>
      </c>
      <c r="D324" s="66"/>
      <c r="E324" s="90"/>
      <c r="F324" s="90"/>
      <c r="G324" s="93"/>
    </row>
    <row r="325" spans="1:7" x14ac:dyDescent="0.2">
      <c r="A325" s="99">
        <f ca="1"/>
        <v>45070</v>
      </c>
      <c r="C325" s="84">
        <v>8163.9746313003543</v>
      </c>
      <c r="D325" s="66"/>
      <c r="E325" s="100" t="s">
        <v>163</v>
      </c>
      <c r="F325" s="90"/>
      <c r="G325" s="93"/>
    </row>
    <row r="326" spans="1:7" x14ac:dyDescent="0.2">
      <c r="A326" s="99">
        <f ca="1"/>
        <v>45069</v>
      </c>
      <c r="C326" s="84">
        <v>8088.5584377076539</v>
      </c>
      <c r="D326" s="66"/>
      <c r="E326" s="101" t="s">
        <v>17</v>
      </c>
      <c r="F326" s="101">
        <v>81436.587381429985</v>
      </c>
      <c r="G326" s="102">
        <v>6061.1843135036643</v>
      </c>
    </row>
    <row r="327" spans="1:7" x14ac:dyDescent="0.2">
      <c r="A327" s="99">
        <f ca="1"/>
        <v>45068</v>
      </c>
      <c r="C327" s="84">
        <v>8035.7251590863971</v>
      </c>
      <c r="D327" s="66"/>
      <c r="E327" s="101" t="s">
        <v>16</v>
      </c>
      <c r="F327" s="101">
        <v>8656.7882490000011</v>
      </c>
      <c r="G327" s="102">
        <v>4588.2072803413503</v>
      </c>
    </row>
    <row r="328" spans="1:7" x14ac:dyDescent="0.2">
      <c r="A328" s="99">
        <f ca="1"/>
        <v>45067</v>
      </c>
      <c r="C328" s="84">
        <v>8151.2120327049906</v>
      </c>
      <c r="D328" s="66"/>
      <c r="E328" s="89"/>
      <c r="F328" s="86"/>
      <c r="G328" s="95"/>
    </row>
    <row r="329" spans="1:7" x14ac:dyDescent="0.2">
      <c r="A329" s="99">
        <f ca="1"/>
        <v>45066</v>
      </c>
      <c r="C329" s="84">
        <v>8132.7311614708906</v>
      </c>
      <c r="D329" s="66"/>
      <c r="E329" s="100" t="s">
        <v>164</v>
      </c>
      <c r="F329" s="90"/>
      <c r="G329" s="93"/>
    </row>
    <row r="330" spans="1:7" x14ac:dyDescent="0.2">
      <c r="A330" s="99">
        <f ca="1"/>
        <v>45065</v>
      </c>
      <c r="C330" s="84">
        <v>8076.5857498192372</v>
      </c>
      <c r="D330" s="66"/>
      <c r="E330" s="101" t="s">
        <v>17</v>
      </c>
      <c r="F330" s="101">
        <v>81436.587381429985</v>
      </c>
      <c r="G330" s="102">
        <v>6061.2600495299284</v>
      </c>
    </row>
    <row r="331" spans="1:7" x14ac:dyDescent="0.2">
      <c r="A331" s="99">
        <f ca="1"/>
        <v>45064</v>
      </c>
      <c r="C331" s="84">
        <v>8108.7980052710554</v>
      </c>
      <c r="D331" s="66"/>
      <c r="E331" s="101" t="s">
        <v>16</v>
      </c>
      <c r="F331" s="101">
        <v>8656.7882490000011</v>
      </c>
      <c r="G331" s="102">
        <v>4606.38653566425</v>
      </c>
    </row>
    <row r="332" spans="1:7" x14ac:dyDescent="0.2">
      <c r="A332" s="99">
        <f ca="1"/>
        <v>45063</v>
      </c>
      <c r="C332" s="84">
        <v>8018.310479003454</v>
      </c>
      <c r="D332" s="66"/>
      <c r="E332" s="90"/>
      <c r="F332" s="90"/>
      <c r="G332" s="93"/>
    </row>
    <row r="333" spans="1:7" x14ac:dyDescent="0.2">
      <c r="A333" s="99">
        <f ca="1"/>
        <v>45062</v>
      </c>
      <c r="C333" s="84">
        <v>7961.3662887755472</v>
      </c>
      <c r="D333" s="66"/>
      <c r="E333" s="100" t="s">
        <v>165</v>
      </c>
      <c r="F333" s="90"/>
      <c r="G333" s="93"/>
    </row>
    <row r="334" spans="1:7" x14ac:dyDescent="0.2">
      <c r="A334" s="99">
        <f ca="1"/>
        <v>45061</v>
      </c>
      <c r="C334" s="84">
        <v>7895.001104964238</v>
      </c>
      <c r="D334" s="66"/>
      <c r="E334" s="101" t="s">
        <v>17</v>
      </c>
      <c r="F334" s="101">
        <v>81436.587381429985</v>
      </c>
      <c r="G334" s="102">
        <v>5811.2049361458776</v>
      </c>
    </row>
    <row r="335" spans="1:7" x14ac:dyDescent="0.2">
      <c r="A335" s="99">
        <f ca="1"/>
        <v>45060</v>
      </c>
      <c r="C335" s="84">
        <v>7856.2770349846851</v>
      </c>
      <c r="D335" s="66"/>
      <c r="E335" s="101" t="s">
        <v>16</v>
      </c>
      <c r="F335" s="101">
        <v>8656.7882490000011</v>
      </c>
      <c r="G335" s="102">
        <v>4447.7356550540071</v>
      </c>
    </row>
    <row r="336" spans="1:7" x14ac:dyDescent="0.2">
      <c r="A336" s="99">
        <f ca="1"/>
        <v>45059</v>
      </c>
      <c r="C336" s="84">
        <v>7921.514515879494</v>
      </c>
      <c r="D336" s="66"/>
      <c r="E336" s="90"/>
      <c r="F336" s="90"/>
      <c r="G336" s="93"/>
    </row>
    <row r="337" spans="1:7" x14ac:dyDescent="0.2">
      <c r="A337" s="99">
        <f ca="1"/>
        <v>45058</v>
      </c>
      <c r="C337" s="84">
        <v>7784.8358440995671</v>
      </c>
      <c r="D337" s="66"/>
      <c r="E337" s="100" t="s">
        <v>166</v>
      </c>
      <c r="F337" s="90"/>
      <c r="G337" s="93"/>
    </row>
    <row r="338" spans="1:7" x14ac:dyDescent="0.2">
      <c r="A338" s="99">
        <f ca="1"/>
        <v>45057</v>
      </c>
      <c r="C338" s="84">
        <v>8046.7708859730374</v>
      </c>
      <c r="D338" s="66"/>
      <c r="E338" s="101" t="s">
        <v>17</v>
      </c>
      <c r="F338" s="101">
        <v>81436.587381429985</v>
      </c>
      <c r="G338" s="102">
        <v>5883.5678589612698</v>
      </c>
    </row>
    <row r="339" spans="1:7" x14ac:dyDescent="0.2">
      <c r="A339" s="99">
        <f ca="1"/>
        <v>45056</v>
      </c>
      <c r="C339" s="84">
        <v>8008.1845671538531</v>
      </c>
      <c r="D339" s="66"/>
      <c r="E339" s="101" t="s">
        <v>16</v>
      </c>
      <c r="F339" s="101">
        <v>8656.7882490000011</v>
      </c>
      <c r="G339" s="102">
        <v>4487.3656525469869</v>
      </c>
    </row>
    <row r="340" spans="1:7" x14ac:dyDescent="0.2">
      <c r="A340" s="99">
        <f ca="1"/>
        <v>45055</v>
      </c>
      <c r="C340" s="84">
        <v>7990.438341863678</v>
      </c>
      <c r="D340" s="66"/>
      <c r="E340" s="90"/>
      <c r="F340" s="90"/>
      <c r="G340" s="93"/>
    </row>
    <row r="341" spans="1:7" x14ac:dyDescent="0.2">
      <c r="A341" s="99">
        <f ca="1"/>
        <v>45054</v>
      </c>
      <c r="C341" s="84">
        <v>8303.5187448385132</v>
      </c>
      <c r="D341" s="66"/>
      <c r="E341" s="100" t="s">
        <v>167</v>
      </c>
      <c r="F341" s="87"/>
      <c r="G341" s="96"/>
    </row>
    <row r="342" spans="1:7" x14ac:dyDescent="0.2">
      <c r="A342" s="99">
        <f ca="1"/>
        <v>45053</v>
      </c>
      <c r="C342" s="84">
        <v>8354.9891707469415</v>
      </c>
      <c r="D342" s="66"/>
      <c r="E342" s="101" t="s">
        <v>17</v>
      </c>
      <c r="F342" s="101">
        <v>81436.587381429985</v>
      </c>
      <c r="G342" s="102">
        <v>5754.3809285687385</v>
      </c>
    </row>
    <row r="343" spans="1:7" x14ac:dyDescent="0.2">
      <c r="A343" s="99">
        <f ca="1"/>
        <v>45052</v>
      </c>
      <c r="C343" s="84">
        <v>8628.1410246420492</v>
      </c>
      <c r="D343" s="66"/>
      <c r="E343" s="101" t="s">
        <v>16</v>
      </c>
      <c r="F343" s="101">
        <v>8656.7882490000011</v>
      </c>
      <c r="G343" s="102">
        <v>4480.4920761093981</v>
      </c>
    </row>
    <row r="344" spans="1:7" x14ac:dyDescent="0.2">
      <c r="A344" s="99">
        <f ca="1"/>
        <v>45051</v>
      </c>
      <c r="C344" s="84">
        <v>8370.2120614000123</v>
      </c>
      <c r="D344" s="66"/>
      <c r="E344" s="90"/>
      <c r="F344" s="90"/>
      <c r="G344" s="93"/>
    </row>
    <row r="345" spans="1:7" x14ac:dyDescent="0.2">
      <c r="A345" s="99">
        <f ca="1"/>
        <v>45050</v>
      </c>
      <c r="C345" s="84">
        <v>8472.110547626944</v>
      </c>
      <c r="D345" s="66"/>
      <c r="E345" s="100" t="s">
        <v>168</v>
      </c>
      <c r="F345" s="90"/>
      <c r="G345" s="93"/>
    </row>
    <row r="346" spans="1:7" x14ac:dyDescent="0.2">
      <c r="A346" s="99">
        <f ca="1"/>
        <v>45049</v>
      </c>
      <c r="C346" s="84">
        <v>8423.1400169121043</v>
      </c>
      <c r="D346" s="66"/>
      <c r="E346" s="101" t="s">
        <v>17</v>
      </c>
      <c r="F346" s="101">
        <v>81436.587381429985</v>
      </c>
      <c r="G346" s="102">
        <v>5774.4688915781153</v>
      </c>
    </row>
    <row r="347" spans="1:7" x14ac:dyDescent="0.2">
      <c r="A347" s="99">
        <f ca="1"/>
        <v>45048</v>
      </c>
      <c r="C347" s="84">
        <v>8370.3421099703992</v>
      </c>
      <c r="D347" s="66"/>
      <c r="E347" s="101" t="s">
        <v>16</v>
      </c>
      <c r="F347" s="101">
        <v>8656.7882490000011</v>
      </c>
      <c r="G347" s="102">
        <v>4548.6351101938744</v>
      </c>
    </row>
    <row r="348" spans="1:7" x14ac:dyDescent="0.2">
      <c r="A348" s="99">
        <f ca="1"/>
        <v>45047</v>
      </c>
      <c r="C348" s="84">
        <v>8680.6037904772711</v>
      </c>
      <c r="D348" s="66"/>
      <c r="E348" s="88"/>
      <c r="F348" s="88"/>
      <c r="G348" s="94"/>
    </row>
    <row r="349" spans="1:7" x14ac:dyDescent="0.2">
      <c r="A349" s="99">
        <f ca="1"/>
        <v>45046</v>
      </c>
      <c r="C349" s="84">
        <v>8641.9999969055825</v>
      </c>
      <c r="D349" s="66"/>
      <c r="E349" s="100" t="s">
        <v>169</v>
      </c>
      <c r="F349" s="88"/>
      <c r="G349" s="94"/>
    </row>
    <row r="350" spans="1:7" x14ac:dyDescent="0.2">
      <c r="A350" s="99">
        <f ca="1"/>
        <v>45045</v>
      </c>
      <c r="C350" s="84">
        <v>8629.9272840153826</v>
      </c>
      <c r="D350" s="66"/>
      <c r="E350" s="101" t="s">
        <v>17</v>
      </c>
      <c r="F350" s="101">
        <v>81436.587381429985</v>
      </c>
      <c r="G350" s="102">
        <v>6151.8362651131774</v>
      </c>
    </row>
    <row r="351" spans="1:7" x14ac:dyDescent="0.2">
      <c r="A351" s="99">
        <f ca="1"/>
        <v>45044</v>
      </c>
      <c r="C351" s="84">
        <v>8639.4844177479063</v>
      </c>
      <c r="D351" s="66"/>
      <c r="E351" s="101" t="s">
        <v>16</v>
      </c>
      <c r="F351" s="101">
        <v>8656.7882490000011</v>
      </c>
      <c r="G351" s="102">
        <v>4733.4875783652487</v>
      </c>
    </row>
    <row r="352" spans="1:7" x14ac:dyDescent="0.2">
      <c r="A352" s="99">
        <f ca="1"/>
        <v>45043</v>
      </c>
      <c r="C352" s="84">
        <v>8479.0641642490991</v>
      </c>
      <c r="D352" s="66"/>
      <c r="E352" s="90"/>
      <c r="F352" s="90"/>
      <c r="G352" s="93"/>
    </row>
    <row r="353" spans="1:7" x14ac:dyDescent="0.2">
      <c r="A353" s="99">
        <f ca="1"/>
        <v>45042</v>
      </c>
      <c r="C353" s="84">
        <v>8559.08992168849</v>
      </c>
      <c r="D353" s="66"/>
      <c r="E353" s="100" t="s">
        <v>170</v>
      </c>
      <c r="F353" s="90"/>
      <c r="G353" s="93"/>
    </row>
    <row r="354" spans="1:7" x14ac:dyDescent="0.2">
      <c r="A354" s="99">
        <f ca="1"/>
        <v>45041</v>
      </c>
      <c r="C354" s="84">
        <v>8396.5931318790554</v>
      </c>
      <c r="E354" s="101" t="s">
        <v>17</v>
      </c>
      <c r="F354" s="101">
        <v>81436.587381429985</v>
      </c>
      <c r="G354" s="102">
        <v>6214.0342730916173</v>
      </c>
    </row>
    <row r="355" spans="1:7" x14ac:dyDescent="0.2">
      <c r="A355" s="99">
        <f ca="1"/>
        <v>45040</v>
      </c>
      <c r="C355" s="84">
        <v>8474.79752214986</v>
      </c>
      <c r="E355" s="101" t="s">
        <v>16</v>
      </c>
      <c r="F355" s="101">
        <v>8656.7882490000011</v>
      </c>
      <c r="G355" s="102">
        <v>4784.7451141306356</v>
      </c>
    </row>
    <row r="356" spans="1:7" x14ac:dyDescent="0.2">
      <c r="A356" s="99">
        <f ca="1"/>
        <v>45039</v>
      </c>
      <c r="C356" s="84">
        <v>8593.0289612325341</v>
      </c>
      <c r="E356" s="89"/>
      <c r="F356" s="88"/>
      <c r="G356" s="94"/>
    </row>
    <row r="357" spans="1:7" x14ac:dyDescent="0.2">
      <c r="A357" s="99">
        <f ca="1"/>
        <v>45038</v>
      </c>
      <c r="C357" s="84">
        <v>8350.6197233377661</v>
      </c>
      <c r="E357" s="100" t="s">
        <v>171</v>
      </c>
      <c r="F357" s="90"/>
      <c r="G357" s="93"/>
    </row>
    <row r="358" spans="1:7" x14ac:dyDescent="0.2">
      <c r="A358" s="99">
        <f ca="1"/>
        <v>45037</v>
      </c>
      <c r="C358" s="84">
        <v>8755.4458449541416</v>
      </c>
      <c r="E358" s="101" t="s">
        <v>17</v>
      </c>
      <c r="F358" s="101">
        <v>81436.587381429985</v>
      </c>
      <c r="G358" s="102">
        <v>6159.1044805369693</v>
      </c>
    </row>
    <row r="359" spans="1:7" x14ac:dyDescent="0.2">
      <c r="A359" s="99">
        <f ca="1"/>
        <v>45036</v>
      </c>
      <c r="C359" s="84">
        <v>8888.3417994876418</v>
      </c>
      <c r="E359" s="101" t="s">
        <v>16</v>
      </c>
      <c r="F359" s="101">
        <v>8656.7882490000011</v>
      </c>
      <c r="G359" s="102">
        <v>4709.1731706423989</v>
      </c>
    </row>
    <row r="360" spans="1:7" x14ac:dyDescent="0.2">
      <c r="A360" s="99">
        <f ca="1"/>
        <v>45035</v>
      </c>
      <c r="C360" s="84">
        <v>8749.915484044297</v>
      </c>
      <c r="E360" s="90"/>
      <c r="F360" s="90"/>
      <c r="G360" s="93"/>
    </row>
    <row r="361" spans="1:7" x14ac:dyDescent="0.2">
      <c r="A361" s="99">
        <f ca="1"/>
        <v>45034</v>
      </c>
      <c r="C361" s="84">
        <v>8558.9181637269176</v>
      </c>
      <c r="E361" s="100" t="s">
        <v>172</v>
      </c>
      <c r="F361" s="90"/>
      <c r="G361" s="93"/>
    </row>
    <row r="362" spans="1:7" x14ac:dyDescent="0.2">
      <c r="A362" s="99">
        <f ca="1"/>
        <v>45033</v>
      </c>
      <c r="C362" s="84">
        <v>8787.8075316299273</v>
      </c>
      <c r="E362" s="101" t="s">
        <v>17</v>
      </c>
      <c r="F362" s="101">
        <v>81436.587381429985</v>
      </c>
      <c r="G362" s="102">
        <v>6123.0378447174817</v>
      </c>
    </row>
    <row r="363" spans="1:7" x14ac:dyDescent="0.2">
      <c r="A363" s="99">
        <f ca="1"/>
        <v>45032</v>
      </c>
      <c r="C363" s="84">
        <v>8725.8987985117801</v>
      </c>
      <c r="E363" s="101" t="s">
        <v>16</v>
      </c>
      <c r="F363" s="101">
        <v>8656.7882490000011</v>
      </c>
      <c r="G363" s="102">
        <v>4775.5568856510308</v>
      </c>
    </row>
    <row r="364" spans="1:7" x14ac:dyDescent="0.2">
      <c r="A364" s="99">
        <f ca="1"/>
        <v>45031</v>
      </c>
      <c r="C364" s="84">
        <v>8686.4290394986965</v>
      </c>
      <c r="E364" s="90"/>
      <c r="F364" s="90"/>
      <c r="G364" s="93"/>
    </row>
    <row r="365" spans="1:7" x14ac:dyDescent="0.2">
      <c r="A365" s="99">
        <f ca="1"/>
        <v>45030</v>
      </c>
      <c r="C365" s="84">
        <v>8460.6025626997161</v>
      </c>
      <c r="E365" s="100" t="s">
        <v>173</v>
      </c>
      <c r="F365" s="90"/>
      <c r="G365" s="93"/>
    </row>
    <row r="366" spans="1:7" x14ac:dyDescent="0.2">
      <c r="A366" s="99">
        <f ca="1"/>
        <v>45029</v>
      </c>
      <c r="C366" s="84">
        <v>8151.5374522034581</v>
      </c>
      <c r="E366" s="101" t="s">
        <v>17</v>
      </c>
      <c r="F366" s="101">
        <v>81436.587381429985</v>
      </c>
      <c r="G366" s="102">
        <v>6418.0997024837516</v>
      </c>
    </row>
    <row r="367" spans="1:7" x14ac:dyDescent="0.2">
      <c r="A367" s="99">
        <f ca="1"/>
        <v>45028</v>
      </c>
      <c r="C367" s="84">
        <v>8197.7278953353343</v>
      </c>
      <c r="E367" s="101" t="s">
        <v>16</v>
      </c>
      <c r="F367" s="101">
        <v>8656.7882490000011</v>
      </c>
      <c r="G367" s="102">
        <v>4916.1935958902832</v>
      </c>
    </row>
    <row r="368" spans="1:7" x14ac:dyDescent="0.2">
      <c r="A368" s="99">
        <f ca="1"/>
        <v>45027</v>
      </c>
      <c r="C368" s="84">
        <v>8244.1738556771852</v>
      </c>
      <c r="E368" s="88"/>
      <c r="F368" s="88"/>
      <c r="G368" s="94"/>
    </row>
    <row r="369" spans="1:7" x14ac:dyDescent="0.2">
      <c r="A369" s="99">
        <f ca="1"/>
        <v>45026</v>
      </c>
      <c r="C369" s="84">
        <v>8051.4461298694123</v>
      </c>
      <c r="E369" s="100" t="s">
        <v>174</v>
      </c>
      <c r="F369" s="88"/>
      <c r="G369" s="94"/>
    </row>
    <row r="370" spans="1:7" x14ac:dyDescent="0.2">
      <c r="A370" s="99">
        <f ca="1"/>
        <v>45025</v>
      </c>
      <c r="C370" s="84">
        <v>8040.3391912436691</v>
      </c>
      <c r="E370" s="101" t="s">
        <v>17</v>
      </c>
      <c r="F370" s="101">
        <v>81436.587381429985</v>
      </c>
      <c r="G370" s="102">
        <v>6564.7026614536762</v>
      </c>
    </row>
    <row r="371" spans="1:7" x14ac:dyDescent="0.2">
      <c r="C371" s="84"/>
      <c r="E371" s="101" t="s">
        <v>16</v>
      </c>
      <c r="F371" s="101">
        <v>8656.7882490000011</v>
      </c>
      <c r="G371" s="102">
        <v>4984.8889330650454</v>
      </c>
    </row>
    <row r="372" spans="1:7" x14ac:dyDescent="0.2">
      <c r="E372" s="90"/>
      <c r="F372" s="90"/>
      <c r="G372" s="93"/>
    </row>
    <row r="373" spans="1:7" x14ac:dyDescent="0.2">
      <c r="E373" s="100" t="s">
        <v>175</v>
      </c>
      <c r="F373" s="90"/>
      <c r="G373" s="93"/>
    </row>
    <row r="374" spans="1:7" x14ac:dyDescent="0.2">
      <c r="E374" s="101" t="s">
        <v>17</v>
      </c>
      <c r="F374" s="101">
        <v>81436.587381429985</v>
      </c>
      <c r="G374" s="102">
        <v>6328.2409432353352</v>
      </c>
    </row>
    <row r="375" spans="1:7" x14ac:dyDescent="0.2">
      <c r="E375" s="101" t="s">
        <v>16</v>
      </c>
      <c r="F375" s="101">
        <v>8656.7882490000011</v>
      </c>
      <c r="G375" s="102">
        <v>4988.0647624020721</v>
      </c>
    </row>
    <row r="376" spans="1:7" x14ac:dyDescent="0.2">
      <c r="E376" s="86"/>
      <c r="F376" s="86"/>
      <c r="G376" s="95"/>
    </row>
    <row r="377" spans="1:7" x14ac:dyDescent="0.2">
      <c r="E377" s="100" t="s">
        <v>176</v>
      </c>
      <c r="F377" s="86"/>
      <c r="G377" s="95"/>
    </row>
    <row r="378" spans="1:7" x14ac:dyDescent="0.2">
      <c r="E378" s="101" t="s">
        <v>17</v>
      </c>
      <c r="F378" s="101">
        <v>81436.587381429985</v>
      </c>
      <c r="G378" s="102">
        <v>6275.0913544808454</v>
      </c>
    </row>
    <row r="379" spans="1:7" x14ac:dyDescent="0.2">
      <c r="E379" s="101" t="s">
        <v>16</v>
      </c>
      <c r="F379" s="101">
        <v>8656.7882490000011</v>
      </c>
      <c r="G379" s="102">
        <v>4983.8177420871134</v>
      </c>
    </row>
    <row r="380" spans="1:7" x14ac:dyDescent="0.2">
      <c r="E380" s="87"/>
      <c r="F380" s="87"/>
      <c r="G380" s="96"/>
    </row>
    <row r="381" spans="1:7" x14ac:dyDescent="0.2">
      <c r="E381" s="100" t="s">
        <v>177</v>
      </c>
      <c r="F381" s="87"/>
      <c r="G381" s="96"/>
    </row>
    <row r="382" spans="1:7" x14ac:dyDescent="0.2">
      <c r="E382" s="101" t="s">
        <v>17</v>
      </c>
      <c r="F382" s="101">
        <v>81436.587381429985</v>
      </c>
      <c r="G382" s="102">
        <v>6619.0298232617006</v>
      </c>
    </row>
    <row r="383" spans="1:7" x14ac:dyDescent="0.2">
      <c r="E383" s="101" t="s">
        <v>16</v>
      </c>
      <c r="F383" s="101">
        <v>8656.7882490000011</v>
      </c>
      <c r="G383" s="102">
        <v>4975.7789619512096</v>
      </c>
    </row>
    <row r="384" spans="1:7" x14ac:dyDescent="0.2">
      <c r="E384" s="87"/>
      <c r="F384" s="87"/>
      <c r="G384" s="96"/>
    </row>
    <row r="385" spans="5:7" x14ac:dyDescent="0.2">
      <c r="E385" s="100" t="s">
        <v>178</v>
      </c>
      <c r="F385" s="87"/>
      <c r="G385" s="96"/>
    </row>
    <row r="386" spans="5:7" x14ac:dyDescent="0.2">
      <c r="E386" s="101" t="s">
        <v>17</v>
      </c>
      <c r="F386" s="101">
        <v>81436.587381429985</v>
      </c>
      <c r="G386" s="102">
        <v>6523.1545289375454</v>
      </c>
    </row>
    <row r="387" spans="5:7" x14ac:dyDescent="0.2">
      <c r="E387" s="101" t="s">
        <v>16</v>
      </c>
      <c r="F387" s="101">
        <v>8656.7882490000011</v>
      </c>
      <c r="G387" s="102">
        <v>4949.029226558152</v>
      </c>
    </row>
    <row r="388" spans="5:7" x14ac:dyDescent="0.2">
      <c r="E388" s="87"/>
      <c r="F388" s="87"/>
      <c r="G388" s="96"/>
    </row>
    <row r="389" spans="5:7" x14ac:dyDescent="0.2">
      <c r="E389" s="100" t="s">
        <v>179</v>
      </c>
      <c r="F389" s="87"/>
      <c r="G389" s="96"/>
    </row>
    <row r="390" spans="5:7" x14ac:dyDescent="0.2">
      <c r="E390" s="101" t="s">
        <v>17</v>
      </c>
      <c r="F390" s="101">
        <v>81436.587381429985</v>
      </c>
      <c r="G390" s="102">
        <v>6843.478016109535</v>
      </c>
    </row>
    <row r="391" spans="5:7" x14ac:dyDescent="0.2">
      <c r="E391" s="101" t="s">
        <v>16</v>
      </c>
      <c r="F391" s="101">
        <v>8656.7882490000011</v>
      </c>
      <c r="G391" s="102">
        <v>5206.9078499294974</v>
      </c>
    </row>
    <row r="392" spans="5:7" x14ac:dyDescent="0.2">
      <c r="E392" s="87"/>
      <c r="F392" s="87"/>
      <c r="G392" s="96"/>
    </row>
    <row r="393" spans="5:7" x14ac:dyDescent="0.2">
      <c r="E393" s="100" t="s">
        <v>180</v>
      </c>
      <c r="F393" s="87"/>
      <c r="G393" s="96"/>
    </row>
    <row r="394" spans="5:7" x14ac:dyDescent="0.2">
      <c r="E394" s="101" t="s">
        <v>17</v>
      </c>
      <c r="F394" s="101">
        <v>81436.587381429985</v>
      </c>
      <c r="G394" s="102">
        <v>6820.4412342710766</v>
      </c>
    </row>
    <row r="395" spans="5:7" x14ac:dyDescent="0.2">
      <c r="E395" s="101" t="s">
        <v>16</v>
      </c>
      <c r="F395" s="101">
        <v>8656.7882490000011</v>
      </c>
      <c r="G395" s="102">
        <v>5197.102738719268</v>
      </c>
    </row>
    <row r="396" spans="5:7" x14ac:dyDescent="0.2">
      <c r="E396" s="87"/>
      <c r="F396" s="87"/>
      <c r="G396" s="96"/>
    </row>
    <row r="397" spans="5:7" x14ac:dyDescent="0.2">
      <c r="E397" s="100" t="s">
        <v>181</v>
      </c>
      <c r="F397" s="87"/>
      <c r="G397" s="96"/>
    </row>
    <row r="398" spans="5:7" x14ac:dyDescent="0.2">
      <c r="E398" s="101" t="s">
        <v>17</v>
      </c>
      <c r="F398" s="101">
        <v>81436.587381429985</v>
      </c>
      <c r="G398" s="102">
        <v>6296.8357376775602</v>
      </c>
    </row>
    <row r="399" spans="5:7" x14ac:dyDescent="0.2">
      <c r="E399" s="101" t="s">
        <v>16</v>
      </c>
      <c r="F399" s="101">
        <v>8656.7882490000011</v>
      </c>
      <c r="G399" s="102">
        <v>4903.35817595349</v>
      </c>
    </row>
    <row r="400" spans="5:7" x14ac:dyDescent="0.2">
      <c r="E400" s="87"/>
      <c r="F400" s="87"/>
      <c r="G400" s="96"/>
    </row>
    <row r="401" spans="5:7" x14ac:dyDescent="0.2">
      <c r="E401" s="100" t="s">
        <v>182</v>
      </c>
      <c r="F401" s="87"/>
      <c r="G401" s="96"/>
    </row>
    <row r="402" spans="5:7" x14ac:dyDescent="0.2">
      <c r="E402" s="101" t="s">
        <v>17</v>
      </c>
      <c r="F402" s="101">
        <v>81436.587381429985</v>
      </c>
      <c r="G402" s="102">
        <v>6649.9537385880531</v>
      </c>
    </row>
    <row r="403" spans="5:7" x14ac:dyDescent="0.2">
      <c r="E403" s="101" t="s">
        <v>16</v>
      </c>
      <c r="F403" s="101">
        <v>8656.7882490000011</v>
      </c>
      <c r="G403" s="102">
        <v>4998.3949078196047</v>
      </c>
    </row>
    <row r="404" spans="5:7" x14ac:dyDescent="0.2">
      <c r="E404" s="87"/>
      <c r="F404" s="87"/>
      <c r="G404" s="96"/>
    </row>
    <row r="405" spans="5:7" x14ac:dyDescent="0.2">
      <c r="E405" s="100" t="s">
        <v>183</v>
      </c>
      <c r="F405" s="87"/>
      <c r="G405" s="96"/>
    </row>
    <row r="406" spans="5:7" x14ac:dyDescent="0.2">
      <c r="E406" s="101" t="s">
        <v>17</v>
      </c>
      <c r="F406" s="101">
        <v>81436.587381429985</v>
      </c>
      <c r="G406" s="102">
        <v>6127.4460071924377</v>
      </c>
    </row>
    <row r="407" spans="5:7" x14ac:dyDescent="0.2">
      <c r="E407" s="101" t="s">
        <v>16</v>
      </c>
      <c r="F407" s="101">
        <v>8656.7882490000011</v>
      </c>
      <c r="G407" s="102">
        <v>4776.8501232475492</v>
      </c>
    </row>
    <row r="408" spans="5:7" x14ac:dyDescent="0.2">
      <c r="E408" s="87"/>
      <c r="F408" s="87"/>
      <c r="G408" s="96"/>
    </row>
    <row r="409" spans="5:7" x14ac:dyDescent="0.2">
      <c r="E409" s="100" t="s">
        <v>184</v>
      </c>
      <c r="F409" s="87"/>
      <c r="G409" s="96"/>
    </row>
    <row r="410" spans="5:7" x14ac:dyDescent="0.2">
      <c r="E410" s="101" t="s">
        <v>17</v>
      </c>
      <c r="F410" s="101">
        <v>81436.587381429985</v>
      </c>
      <c r="G410" s="102">
        <v>6476.8154819857637</v>
      </c>
    </row>
    <row r="411" spans="5:7" x14ac:dyDescent="0.2">
      <c r="E411" s="101" t="s">
        <v>16</v>
      </c>
      <c r="F411" s="101">
        <v>8656.7882490000011</v>
      </c>
      <c r="G411" s="102">
        <v>4916.3775526405743</v>
      </c>
    </row>
    <row r="412" spans="5:7" x14ac:dyDescent="0.2">
      <c r="E412" s="87"/>
      <c r="F412" s="87"/>
      <c r="G412" s="96"/>
    </row>
    <row r="413" spans="5:7" x14ac:dyDescent="0.2">
      <c r="E413" s="100" t="s">
        <v>185</v>
      </c>
      <c r="F413" s="87"/>
      <c r="G413" s="96"/>
    </row>
    <row r="414" spans="5:7" x14ac:dyDescent="0.2">
      <c r="E414" s="101" t="s">
        <v>17</v>
      </c>
      <c r="F414" s="101">
        <v>81436.587381429985</v>
      </c>
      <c r="G414" s="102">
        <v>6893.8693476494163</v>
      </c>
    </row>
    <row r="415" spans="5:7" x14ac:dyDescent="0.2">
      <c r="E415" s="101" t="s">
        <v>16</v>
      </c>
      <c r="F415" s="101">
        <v>8656.7882490000011</v>
      </c>
      <c r="G415" s="102">
        <v>4985.4304151700198</v>
      </c>
    </row>
    <row r="416" spans="5:7" x14ac:dyDescent="0.2">
      <c r="E416" s="87"/>
      <c r="F416" s="87"/>
      <c r="G416" s="96"/>
    </row>
    <row r="417" spans="5:7" x14ac:dyDescent="0.2">
      <c r="E417" s="100" t="s">
        <v>186</v>
      </c>
      <c r="F417" s="87"/>
      <c r="G417" s="96"/>
    </row>
    <row r="418" spans="5:7" x14ac:dyDescent="0.2">
      <c r="E418" s="101" t="s">
        <v>17</v>
      </c>
      <c r="F418" s="101">
        <v>81436.587381429985</v>
      </c>
      <c r="G418" s="102">
        <v>7177.1505886850891</v>
      </c>
    </row>
    <row r="419" spans="5:7" x14ac:dyDescent="0.2">
      <c r="E419" s="101" t="s">
        <v>16</v>
      </c>
      <c r="F419" s="101">
        <v>8656.7882490000011</v>
      </c>
      <c r="G419" s="102">
        <v>5083.4932139364546</v>
      </c>
    </row>
    <row r="420" spans="5:7" x14ac:dyDescent="0.2">
      <c r="E420" s="87"/>
      <c r="F420" s="87"/>
      <c r="G420" s="96"/>
    </row>
    <row r="421" spans="5:7" x14ac:dyDescent="0.2">
      <c r="E421" s="100" t="s">
        <v>187</v>
      </c>
      <c r="F421" s="87"/>
      <c r="G421" s="96"/>
    </row>
    <row r="422" spans="5:7" x14ac:dyDescent="0.2">
      <c r="E422" s="101" t="s">
        <v>17</v>
      </c>
      <c r="F422" s="101">
        <v>81436.587381429985</v>
      </c>
      <c r="G422" s="102">
        <v>7203.2094822812742</v>
      </c>
    </row>
    <row r="423" spans="5:7" x14ac:dyDescent="0.2">
      <c r="E423" s="101" t="s">
        <v>16</v>
      </c>
      <c r="F423" s="101">
        <v>8656.7882490000011</v>
      </c>
      <c r="G423" s="102">
        <v>5041.9243555793464</v>
      </c>
    </row>
    <row r="424" spans="5:7" x14ac:dyDescent="0.2">
      <c r="E424" s="87"/>
      <c r="F424" s="87"/>
      <c r="G424" s="96"/>
    </row>
    <row r="425" spans="5:7" x14ac:dyDescent="0.2">
      <c r="E425" s="100" t="s">
        <v>188</v>
      </c>
      <c r="F425" s="87"/>
      <c r="G425" s="96"/>
    </row>
    <row r="426" spans="5:7" x14ac:dyDescent="0.2">
      <c r="E426" s="101" t="s">
        <v>17</v>
      </c>
      <c r="F426" s="101">
        <v>81436.587381429985</v>
      </c>
      <c r="G426" s="102">
        <v>7911.6906908163646</v>
      </c>
    </row>
    <row r="427" spans="5:7" x14ac:dyDescent="0.2">
      <c r="E427" s="101" t="s">
        <v>16</v>
      </c>
      <c r="F427" s="101">
        <v>8656.7882490000011</v>
      </c>
      <c r="G427" s="102">
        <v>5435.4743285860823</v>
      </c>
    </row>
    <row r="428" spans="5:7" x14ac:dyDescent="0.2">
      <c r="E428" s="87"/>
      <c r="F428" s="87"/>
      <c r="G428" s="96"/>
    </row>
    <row r="429" spans="5:7" x14ac:dyDescent="0.2">
      <c r="E429" s="100" t="s">
        <v>189</v>
      </c>
      <c r="F429" s="87"/>
      <c r="G429" s="96"/>
    </row>
    <row r="430" spans="5:7" x14ac:dyDescent="0.2">
      <c r="E430" s="101" t="s">
        <v>17</v>
      </c>
      <c r="F430" s="101">
        <v>81436.587381429985</v>
      </c>
      <c r="G430" s="102">
        <v>7496.7973378159404</v>
      </c>
    </row>
    <row r="431" spans="5:7" x14ac:dyDescent="0.2">
      <c r="E431" s="101" t="s">
        <v>16</v>
      </c>
      <c r="F431" s="101">
        <v>8656.7882490000011</v>
      </c>
      <c r="G431" s="102">
        <v>5451.0327412665974</v>
      </c>
    </row>
    <row r="432" spans="5:7" x14ac:dyDescent="0.2">
      <c r="E432" s="87"/>
      <c r="F432" s="87"/>
      <c r="G432" s="96"/>
    </row>
    <row r="433" spans="5:7" x14ac:dyDescent="0.2">
      <c r="E433" s="100" t="s">
        <v>190</v>
      </c>
      <c r="F433" s="87"/>
      <c r="G433" s="96"/>
    </row>
    <row r="434" spans="5:7" x14ac:dyDescent="0.2">
      <c r="E434" s="101" t="s">
        <v>17</v>
      </c>
      <c r="F434" s="101">
        <v>81436.587381429985</v>
      </c>
      <c r="G434" s="102">
        <v>6978.9371924621846</v>
      </c>
    </row>
    <row r="435" spans="5:7" x14ac:dyDescent="0.2">
      <c r="E435" s="101" t="s">
        <v>16</v>
      </c>
      <c r="F435" s="101">
        <v>8656.7882490000011</v>
      </c>
      <c r="G435" s="102">
        <v>5311.4248903107391</v>
      </c>
    </row>
    <row r="436" spans="5:7" x14ac:dyDescent="0.2">
      <c r="E436" s="87"/>
      <c r="F436" s="87"/>
      <c r="G436" s="96"/>
    </row>
    <row r="437" spans="5:7" x14ac:dyDescent="0.2">
      <c r="E437" s="100" t="s">
        <v>191</v>
      </c>
      <c r="F437" s="87"/>
      <c r="G437" s="96"/>
    </row>
    <row r="438" spans="5:7" x14ac:dyDescent="0.2">
      <c r="E438" s="101" t="s">
        <v>17</v>
      </c>
      <c r="F438" s="101">
        <v>81436.587381429985</v>
      </c>
      <c r="G438" s="102">
        <v>7099.2198463904306</v>
      </c>
    </row>
    <row r="439" spans="5:7" x14ac:dyDescent="0.2">
      <c r="E439" s="101" t="s">
        <v>16</v>
      </c>
      <c r="F439" s="101">
        <v>8656.7882490000011</v>
      </c>
      <c r="G439" s="102">
        <v>5382.5500148112314</v>
      </c>
    </row>
    <row r="440" spans="5:7" x14ac:dyDescent="0.2">
      <c r="E440" s="87"/>
      <c r="F440" s="87"/>
      <c r="G440" s="96"/>
    </row>
    <row r="441" spans="5:7" x14ac:dyDescent="0.2">
      <c r="E441" s="100" t="s">
        <v>192</v>
      </c>
      <c r="F441" s="87"/>
      <c r="G441" s="96"/>
    </row>
    <row r="442" spans="5:7" x14ac:dyDescent="0.2">
      <c r="E442" s="101" t="s">
        <v>17</v>
      </c>
      <c r="F442" s="101">
        <v>81436.587381429985</v>
      </c>
      <c r="G442" s="102">
        <v>7256.0300672227422</v>
      </c>
    </row>
    <row r="443" spans="5:7" x14ac:dyDescent="0.2">
      <c r="E443" s="101" t="s">
        <v>16</v>
      </c>
      <c r="F443" s="101">
        <v>8656.7882490000011</v>
      </c>
      <c r="G443" s="102">
        <v>5393.8092067436464</v>
      </c>
    </row>
    <row r="444" spans="5:7" x14ac:dyDescent="0.2">
      <c r="E444" s="87"/>
      <c r="F444" s="87"/>
      <c r="G444" s="96"/>
    </row>
    <row r="445" spans="5:7" x14ac:dyDescent="0.2">
      <c r="E445" s="100" t="s">
        <v>193</v>
      </c>
      <c r="F445" s="87"/>
      <c r="G445" s="96"/>
    </row>
    <row r="446" spans="5:7" x14ac:dyDescent="0.2">
      <c r="E446" s="101" t="s">
        <v>17</v>
      </c>
      <c r="F446" s="101">
        <v>81436.587381429985</v>
      </c>
      <c r="G446" s="102">
        <v>7280.439869924453</v>
      </c>
    </row>
    <row r="447" spans="5:7" x14ac:dyDescent="0.2">
      <c r="E447" s="101" t="s">
        <v>16</v>
      </c>
      <c r="F447" s="101">
        <v>8656.7882490000011</v>
      </c>
      <c r="G447" s="102">
        <v>5494.4419462375599</v>
      </c>
    </row>
    <row r="448" spans="5:7" x14ac:dyDescent="0.2">
      <c r="E448" s="87"/>
      <c r="F448" s="87"/>
      <c r="G448" s="96"/>
    </row>
    <row r="449" spans="5:7" x14ac:dyDescent="0.2">
      <c r="E449" s="100" t="s">
        <v>194</v>
      </c>
      <c r="F449" s="87"/>
      <c r="G449" s="96"/>
    </row>
    <row r="450" spans="5:7" x14ac:dyDescent="0.2">
      <c r="E450" s="101" t="s">
        <v>17</v>
      </c>
      <c r="F450" s="101">
        <v>81436.587381429985</v>
      </c>
      <c r="G450" s="102">
        <v>7509.0201552160197</v>
      </c>
    </row>
    <row r="451" spans="5:7" x14ac:dyDescent="0.2">
      <c r="E451" s="101" t="s">
        <v>16</v>
      </c>
      <c r="F451" s="101">
        <v>8656.7882490000011</v>
      </c>
      <c r="G451" s="102">
        <v>5497.5879096551298</v>
      </c>
    </row>
    <row r="452" spans="5:7" x14ac:dyDescent="0.2">
      <c r="E452" s="87"/>
      <c r="F452" s="87"/>
      <c r="G452" s="96"/>
    </row>
    <row r="453" spans="5:7" x14ac:dyDescent="0.2">
      <c r="E453" s="100" t="s">
        <v>195</v>
      </c>
      <c r="F453" s="87"/>
      <c r="G453" s="96"/>
    </row>
    <row r="454" spans="5:7" x14ac:dyDescent="0.2">
      <c r="E454" s="101" t="s">
        <v>17</v>
      </c>
      <c r="F454" s="101">
        <v>81436.587381429985</v>
      </c>
      <c r="G454" s="102">
        <v>7291.1609966532178</v>
      </c>
    </row>
    <row r="455" spans="5:7" x14ac:dyDescent="0.2">
      <c r="E455" s="101" t="s">
        <v>16</v>
      </c>
      <c r="F455" s="101">
        <v>8656.7882490000011</v>
      </c>
      <c r="G455" s="102">
        <v>5381.3611780809961</v>
      </c>
    </row>
    <row r="456" spans="5:7" x14ac:dyDescent="0.2">
      <c r="E456" s="87"/>
      <c r="F456" s="87"/>
      <c r="G456" s="96"/>
    </row>
    <row r="457" spans="5:7" x14ac:dyDescent="0.2">
      <c r="E457" s="100" t="s">
        <v>196</v>
      </c>
      <c r="F457" s="87"/>
      <c r="G457" s="96"/>
    </row>
    <row r="458" spans="5:7" x14ac:dyDescent="0.2">
      <c r="E458" s="101" t="s">
        <v>17</v>
      </c>
      <c r="F458" s="101">
        <v>81436.587381429985</v>
      </c>
      <c r="G458" s="102">
        <v>7541.0459075696399</v>
      </c>
    </row>
    <row r="459" spans="5:7" x14ac:dyDescent="0.2">
      <c r="E459" s="101" t="s">
        <v>16</v>
      </c>
      <c r="F459" s="101">
        <v>8656.7882490000011</v>
      </c>
      <c r="G459" s="102">
        <v>5601.7003317536128</v>
      </c>
    </row>
    <row r="460" spans="5:7" x14ac:dyDescent="0.2">
      <c r="E460" s="87"/>
      <c r="F460" s="87"/>
      <c r="G460" s="96"/>
    </row>
    <row r="461" spans="5:7" x14ac:dyDescent="0.2">
      <c r="E461" s="100" t="s">
        <v>197</v>
      </c>
      <c r="F461" s="87"/>
      <c r="G461" s="96"/>
    </row>
    <row r="462" spans="5:7" x14ac:dyDescent="0.2">
      <c r="E462" s="101" t="s">
        <v>17</v>
      </c>
      <c r="F462" s="101">
        <v>81436.587381429985</v>
      </c>
      <c r="G462" s="102">
        <v>7347.8343465437028</v>
      </c>
    </row>
    <row r="463" spans="5:7" x14ac:dyDescent="0.2">
      <c r="E463" s="101" t="s">
        <v>16</v>
      </c>
      <c r="F463" s="101">
        <v>8656.7882490000011</v>
      </c>
      <c r="G463" s="102">
        <v>5309.6196902571764</v>
      </c>
    </row>
    <row r="464" spans="5:7" x14ac:dyDescent="0.2">
      <c r="E464" s="87"/>
      <c r="F464" s="87"/>
      <c r="G464" s="96"/>
    </row>
    <row r="465" spans="5:7" x14ac:dyDescent="0.2">
      <c r="E465" s="100" t="s">
        <v>198</v>
      </c>
      <c r="F465" s="87"/>
      <c r="G465" s="96"/>
    </row>
    <row r="466" spans="5:7" x14ac:dyDescent="0.2">
      <c r="E466" s="101" t="s">
        <v>17</v>
      </c>
      <c r="F466" s="101">
        <v>81436.587381429985</v>
      </c>
      <c r="G466" s="102">
        <v>7450.4558477665378</v>
      </c>
    </row>
    <row r="467" spans="5:7" x14ac:dyDescent="0.2">
      <c r="E467" s="101" t="s">
        <v>16</v>
      </c>
      <c r="F467" s="101">
        <v>8656.7882490000011</v>
      </c>
      <c r="G467" s="102">
        <v>5364.6942636651966</v>
      </c>
    </row>
    <row r="468" spans="5:7" x14ac:dyDescent="0.2">
      <c r="E468" s="87"/>
      <c r="F468" s="87"/>
      <c r="G468" s="96"/>
    </row>
    <row r="469" spans="5:7" x14ac:dyDescent="0.2">
      <c r="E469" s="100" t="s">
        <v>199</v>
      </c>
      <c r="F469" s="87"/>
      <c r="G469" s="96"/>
    </row>
    <row r="470" spans="5:7" x14ac:dyDescent="0.2">
      <c r="E470" s="101" t="s">
        <v>17</v>
      </c>
      <c r="F470" s="101">
        <v>81436.587381429985</v>
      </c>
      <c r="G470" s="102">
        <v>7413.6896716614438</v>
      </c>
    </row>
    <row r="471" spans="5:7" x14ac:dyDescent="0.2">
      <c r="E471" s="101" t="s">
        <v>16</v>
      </c>
      <c r="F471" s="101">
        <v>8656.7882490000011</v>
      </c>
      <c r="G471" s="102">
        <v>5411.5980409165159</v>
      </c>
    </row>
    <row r="472" spans="5:7" x14ac:dyDescent="0.2">
      <c r="E472" s="87"/>
      <c r="F472" s="87"/>
      <c r="G472" s="96"/>
    </row>
    <row r="473" spans="5:7" x14ac:dyDescent="0.2">
      <c r="E473" s="100" t="s">
        <v>200</v>
      </c>
      <c r="F473" s="87"/>
      <c r="G473" s="96"/>
    </row>
    <row r="474" spans="5:7" x14ac:dyDescent="0.2">
      <c r="E474" s="101" t="s">
        <v>17</v>
      </c>
      <c r="F474" s="101">
        <v>81402.458867199995</v>
      </c>
      <c r="G474" s="102">
        <v>7425.6869625378313</v>
      </c>
    </row>
    <row r="475" spans="5:7" x14ac:dyDescent="0.2">
      <c r="E475" s="101" t="s">
        <v>16</v>
      </c>
      <c r="F475" s="101">
        <v>8656.7882490000011</v>
      </c>
      <c r="G475" s="102">
        <v>5396.9491104094404</v>
      </c>
    </row>
    <row r="476" spans="5:7" x14ac:dyDescent="0.2">
      <c r="E476" s="87"/>
      <c r="F476" s="87"/>
      <c r="G476" s="96"/>
    </row>
    <row r="477" spans="5:7" x14ac:dyDescent="0.2">
      <c r="E477" s="100" t="s">
        <v>201</v>
      </c>
      <c r="F477" s="87"/>
      <c r="G477" s="96"/>
    </row>
    <row r="478" spans="5:7" x14ac:dyDescent="0.2">
      <c r="E478" s="101" t="s">
        <v>17</v>
      </c>
      <c r="F478" s="101">
        <v>81402.458867199995</v>
      </c>
      <c r="G478" s="102">
        <v>7095.3126411515341</v>
      </c>
    </row>
    <row r="479" spans="5:7" x14ac:dyDescent="0.2">
      <c r="E479" s="101" t="s">
        <v>16</v>
      </c>
      <c r="F479" s="101">
        <v>8656.7882490000011</v>
      </c>
      <c r="G479" s="102">
        <v>5338.0579321982004</v>
      </c>
    </row>
    <row r="480" spans="5:7" x14ac:dyDescent="0.2">
      <c r="E480" s="87"/>
      <c r="F480" s="87"/>
      <c r="G480" s="96"/>
    </row>
    <row r="481" spans="5:7" x14ac:dyDescent="0.2">
      <c r="E481" s="100" t="s">
        <v>202</v>
      </c>
      <c r="F481" s="87"/>
      <c r="G481" s="96"/>
    </row>
    <row r="482" spans="5:7" x14ac:dyDescent="0.2">
      <c r="E482" s="101" t="s">
        <v>17</v>
      </c>
      <c r="F482" s="101">
        <v>81402.458867199995</v>
      </c>
      <c r="G482" s="102">
        <v>6624.2138189985644</v>
      </c>
    </row>
    <row r="483" spans="5:7" x14ac:dyDescent="0.2">
      <c r="E483" s="101" t="s">
        <v>16</v>
      </c>
      <c r="F483" s="101">
        <v>8656.7882490000011</v>
      </c>
      <c r="G483" s="102">
        <v>5234.7627974783036</v>
      </c>
    </row>
    <row r="484" spans="5:7" x14ac:dyDescent="0.2">
      <c r="E484" s="87"/>
      <c r="F484" s="87"/>
      <c r="G484" s="96"/>
    </row>
    <row r="485" spans="5:7" x14ac:dyDescent="0.2">
      <c r="E485" s="100" t="s">
        <v>203</v>
      </c>
      <c r="F485" s="87"/>
      <c r="G485" s="96"/>
    </row>
    <row r="486" spans="5:7" x14ac:dyDescent="0.2">
      <c r="E486" s="101" t="s">
        <v>17</v>
      </c>
      <c r="F486" s="101">
        <v>81402.458867199995</v>
      </c>
      <c r="G486" s="102">
        <v>6457.8402174674266</v>
      </c>
    </row>
    <row r="487" spans="5:7" x14ac:dyDescent="0.2">
      <c r="E487" s="101" t="s">
        <v>16</v>
      </c>
      <c r="F487" s="101">
        <v>8656.7882490000011</v>
      </c>
      <c r="G487" s="102">
        <v>5302.5714198327223</v>
      </c>
    </row>
    <row r="488" spans="5:7" x14ac:dyDescent="0.2">
      <c r="E488" s="87"/>
      <c r="F488" s="87"/>
      <c r="G488" s="96"/>
    </row>
    <row r="489" spans="5:7" x14ac:dyDescent="0.2">
      <c r="E489" s="100" t="s">
        <v>204</v>
      </c>
      <c r="F489" s="87"/>
      <c r="G489" s="96"/>
    </row>
    <row r="490" spans="5:7" x14ac:dyDescent="0.2">
      <c r="E490" s="101" t="s">
        <v>17</v>
      </c>
      <c r="F490" s="101">
        <v>81402.458867199995</v>
      </c>
      <c r="G490" s="102">
        <v>6382.5348027693799</v>
      </c>
    </row>
    <row r="491" spans="5:7" x14ac:dyDescent="0.2">
      <c r="E491" s="101" t="s">
        <v>16</v>
      </c>
      <c r="F491" s="101">
        <v>8656.7882490000011</v>
      </c>
      <c r="G491" s="102">
        <v>5280.8883294660391</v>
      </c>
    </row>
    <row r="492" spans="5:7" x14ac:dyDescent="0.2">
      <c r="E492" s="87"/>
      <c r="F492" s="87"/>
      <c r="G492" s="96"/>
    </row>
    <row r="493" spans="5:7" x14ac:dyDescent="0.2">
      <c r="E493" s="100" t="s">
        <v>205</v>
      </c>
      <c r="F493" s="87"/>
      <c r="G493" s="96"/>
    </row>
    <row r="494" spans="5:7" x14ac:dyDescent="0.2">
      <c r="E494" s="101" t="s">
        <v>17</v>
      </c>
      <c r="F494" s="101">
        <v>81402.458867199995</v>
      </c>
      <c r="G494" s="102">
        <v>6496.6024403308102</v>
      </c>
    </row>
    <row r="495" spans="5:7" x14ac:dyDescent="0.2">
      <c r="E495" s="101" t="s">
        <v>16</v>
      </c>
      <c r="F495" s="101">
        <v>8656.7882490000011</v>
      </c>
      <c r="G495" s="102">
        <v>5364.5104800506697</v>
      </c>
    </row>
    <row r="496" spans="5:7" x14ac:dyDescent="0.2">
      <c r="E496" s="87"/>
      <c r="F496" s="87"/>
      <c r="G496" s="96"/>
    </row>
    <row r="497" spans="5:7" x14ac:dyDescent="0.2">
      <c r="E497" s="100" t="s">
        <v>206</v>
      </c>
      <c r="F497" s="87"/>
      <c r="G497" s="96"/>
    </row>
    <row r="498" spans="5:7" x14ac:dyDescent="0.2">
      <c r="E498" s="101" t="s">
        <v>17</v>
      </c>
      <c r="F498" s="101">
        <v>81402.458867199995</v>
      </c>
      <c r="G498" s="102">
        <v>6510.152693633845</v>
      </c>
    </row>
    <row r="499" spans="5:7" x14ac:dyDescent="0.2">
      <c r="E499" s="101" t="s">
        <v>16</v>
      </c>
      <c r="F499" s="101">
        <v>8656.7882490000011</v>
      </c>
      <c r="G499" s="102">
        <v>5325.557270262997</v>
      </c>
    </row>
    <row r="500" spans="5:7" x14ac:dyDescent="0.2">
      <c r="E500" s="87"/>
      <c r="F500" s="87"/>
      <c r="G500" s="96"/>
    </row>
    <row r="501" spans="5:7" x14ac:dyDescent="0.2">
      <c r="E501" s="100" t="s">
        <v>207</v>
      </c>
      <c r="F501" s="87"/>
      <c r="G501" s="96"/>
    </row>
    <row r="502" spans="5:7" x14ac:dyDescent="0.2">
      <c r="E502" s="101" t="s">
        <v>17</v>
      </c>
      <c r="F502" s="101">
        <v>81402.458867199995</v>
      </c>
      <c r="G502" s="102">
        <v>6810.1166844365334</v>
      </c>
    </row>
    <row r="503" spans="5:7" x14ac:dyDescent="0.2">
      <c r="E503" s="101" t="s">
        <v>16</v>
      </c>
      <c r="F503" s="101">
        <v>8656.7882490000011</v>
      </c>
      <c r="G503" s="102">
        <v>5472.8081129960146</v>
      </c>
    </row>
    <row r="504" spans="5:7" x14ac:dyDescent="0.2">
      <c r="E504" s="87"/>
      <c r="F504" s="87"/>
      <c r="G504" s="96"/>
    </row>
    <row r="505" spans="5:7" x14ac:dyDescent="0.2">
      <c r="E505" s="100" t="s">
        <v>208</v>
      </c>
      <c r="F505" s="87"/>
      <c r="G505" s="96"/>
    </row>
    <row r="506" spans="5:7" x14ac:dyDescent="0.2">
      <c r="E506" s="101" t="s">
        <v>17</v>
      </c>
      <c r="F506" s="101">
        <v>81402.458867199995</v>
      </c>
      <c r="G506" s="102">
        <v>6246.4217512975347</v>
      </c>
    </row>
    <row r="507" spans="5:7" x14ac:dyDescent="0.2">
      <c r="E507" s="101" t="s">
        <v>16</v>
      </c>
      <c r="F507" s="101">
        <v>8656.7882490000011</v>
      </c>
      <c r="G507" s="102">
        <v>5437.5044319983554</v>
      </c>
    </row>
    <row r="508" spans="5:7" x14ac:dyDescent="0.2">
      <c r="E508" s="87"/>
      <c r="F508" s="87"/>
      <c r="G508" s="96"/>
    </row>
    <row r="509" spans="5:7" x14ac:dyDescent="0.2">
      <c r="E509" s="100" t="s">
        <v>209</v>
      </c>
      <c r="F509" s="87"/>
      <c r="G509" s="96"/>
    </row>
    <row r="510" spans="5:7" x14ac:dyDescent="0.2">
      <c r="E510" s="101" t="s">
        <v>17</v>
      </c>
      <c r="F510" s="101">
        <v>81402.458867199995</v>
      </c>
      <c r="G510" s="102">
        <v>6149.5495691472124</v>
      </c>
    </row>
    <row r="511" spans="5:7" x14ac:dyDescent="0.2">
      <c r="E511" s="101" t="s">
        <v>16</v>
      </c>
      <c r="F511" s="101">
        <v>8656.7882490000011</v>
      </c>
      <c r="G511" s="102">
        <v>5358.9252934081796</v>
      </c>
    </row>
    <row r="512" spans="5:7" x14ac:dyDescent="0.2">
      <c r="E512" s="87"/>
      <c r="F512" s="87"/>
      <c r="G512" s="96"/>
    </row>
    <row r="513" spans="5:7" x14ac:dyDescent="0.2">
      <c r="E513" s="100" t="s">
        <v>210</v>
      </c>
      <c r="F513" s="87"/>
      <c r="G513" s="96"/>
    </row>
    <row r="514" spans="5:7" x14ac:dyDescent="0.2">
      <c r="E514" s="101" t="s">
        <v>17</v>
      </c>
      <c r="F514" s="101">
        <v>81402.458867199995</v>
      </c>
      <c r="G514" s="102">
        <v>5779.4166588009984</v>
      </c>
    </row>
    <row r="515" spans="5:7" x14ac:dyDescent="0.2">
      <c r="E515" s="101" t="s">
        <v>16</v>
      </c>
      <c r="F515" s="101">
        <v>8656.7882490000011</v>
      </c>
      <c r="G515" s="102">
        <v>5363.3902050833667</v>
      </c>
    </row>
    <row r="516" spans="5:7" x14ac:dyDescent="0.2">
      <c r="E516" s="87"/>
      <c r="F516" s="87"/>
      <c r="G516" s="96"/>
    </row>
    <row r="517" spans="5:7" x14ac:dyDescent="0.2">
      <c r="E517" s="100" t="s">
        <v>211</v>
      </c>
      <c r="F517" s="87"/>
      <c r="G517" s="96"/>
    </row>
    <row r="518" spans="5:7" x14ac:dyDescent="0.2">
      <c r="E518" s="101" t="s">
        <v>17</v>
      </c>
      <c r="F518" s="101">
        <v>81402.458867199995</v>
      </c>
      <c r="G518" s="102">
        <v>6109.854474105211</v>
      </c>
    </row>
    <row r="519" spans="5:7" x14ac:dyDescent="0.2">
      <c r="E519" s="101" t="s">
        <v>16</v>
      </c>
      <c r="F519" s="101">
        <v>8656.7882490000011</v>
      </c>
      <c r="G519" s="102">
        <v>5726.9828429471436</v>
      </c>
    </row>
    <row r="520" spans="5:7" x14ac:dyDescent="0.2">
      <c r="E520" s="87"/>
      <c r="F520" s="87"/>
      <c r="G520" s="96"/>
    </row>
    <row r="521" spans="5:7" x14ac:dyDescent="0.2">
      <c r="E521" s="100" t="s">
        <v>212</v>
      </c>
      <c r="F521" s="87"/>
      <c r="G521" s="96"/>
    </row>
    <row r="522" spans="5:7" x14ac:dyDescent="0.2">
      <c r="E522" s="101" t="s">
        <v>17</v>
      </c>
      <c r="F522" s="101">
        <v>81402.458867199995</v>
      </c>
      <c r="G522" s="102">
        <v>6060.7044834657854</v>
      </c>
    </row>
    <row r="523" spans="5:7" x14ac:dyDescent="0.2">
      <c r="E523" s="101" t="s">
        <v>16</v>
      </c>
      <c r="F523" s="101">
        <v>8656.7882490000011</v>
      </c>
      <c r="G523" s="102">
        <v>5704.1503908046416</v>
      </c>
    </row>
    <row r="524" spans="5:7" x14ac:dyDescent="0.2">
      <c r="E524" s="87"/>
      <c r="F524" s="87"/>
      <c r="G524" s="96"/>
    </row>
    <row r="525" spans="5:7" x14ac:dyDescent="0.2">
      <c r="E525" s="100" t="s">
        <v>213</v>
      </c>
      <c r="F525" s="87"/>
      <c r="G525" s="96"/>
    </row>
    <row r="526" spans="5:7" x14ac:dyDescent="0.2">
      <c r="E526" s="101" t="s">
        <v>17</v>
      </c>
      <c r="F526" s="101">
        <v>81402.458867199995</v>
      </c>
      <c r="G526" s="102">
        <v>6043.7011378576026</v>
      </c>
    </row>
    <row r="527" spans="5:7" x14ac:dyDescent="0.2">
      <c r="E527" s="101" t="s">
        <v>16</v>
      </c>
      <c r="F527" s="101">
        <v>8656.7882490000011</v>
      </c>
      <c r="G527" s="102">
        <v>5832.4379329030471</v>
      </c>
    </row>
    <row r="528" spans="5:7" x14ac:dyDescent="0.2">
      <c r="E528" s="87"/>
      <c r="F528" s="87"/>
      <c r="G528" s="96"/>
    </row>
    <row r="529" spans="5:7" x14ac:dyDescent="0.2">
      <c r="E529" s="100" t="s">
        <v>214</v>
      </c>
      <c r="F529" s="87"/>
      <c r="G529" s="96"/>
    </row>
    <row r="530" spans="5:7" x14ac:dyDescent="0.2">
      <c r="E530" s="101" t="s">
        <v>17</v>
      </c>
      <c r="F530" s="101">
        <v>81402.458867199995</v>
      </c>
      <c r="G530" s="102">
        <v>5631.347214170738</v>
      </c>
    </row>
    <row r="531" spans="5:7" x14ac:dyDescent="0.2">
      <c r="E531" s="101" t="s">
        <v>16</v>
      </c>
      <c r="F531" s="101">
        <v>8656.7882490000011</v>
      </c>
      <c r="G531" s="102">
        <v>5567.1529943452688</v>
      </c>
    </row>
    <row r="532" spans="5:7" x14ac:dyDescent="0.2">
      <c r="E532" s="87"/>
      <c r="F532" s="87"/>
      <c r="G532" s="96"/>
    </row>
    <row r="533" spans="5:7" x14ac:dyDescent="0.2">
      <c r="E533" s="100" t="s">
        <v>215</v>
      </c>
      <c r="F533" s="87"/>
      <c r="G533" s="96"/>
    </row>
    <row r="534" spans="5:7" x14ac:dyDescent="0.2">
      <c r="E534" s="101" t="s">
        <v>17</v>
      </c>
      <c r="F534" s="101">
        <v>81354.157356489988</v>
      </c>
      <c r="G534" s="102">
        <v>5584.5431150710783</v>
      </c>
    </row>
    <row r="535" spans="5:7" x14ac:dyDescent="0.2">
      <c r="E535" s="101" t="s">
        <v>16</v>
      </c>
      <c r="F535" s="101">
        <v>8656.7882490000011</v>
      </c>
      <c r="G535" s="102">
        <v>5555.8749306144709</v>
      </c>
    </row>
    <row r="536" spans="5:7" x14ac:dyDescent="0.2">
      <c r="E536" s="87"/>
      <c r="F536" s="87"/>
      <c r="G536" s="96"/>
    </row>
    <row r="537" spans="5:7" x14ac:dyDescent="0.2">
      <c r="E537" s="100" t="s">
        <v>216</v>
      </c>
      <c r="F537" s="87"/>
      <c r="G537" s="96"/>
    </row>
    <row r="538" spans="5:7" x14ac:dyDescent="0.2">
      <c r="E538" s="101" t="s">
        <v>17</v>
      </c>
      <c r="F538" s="101">
        <v>81354.157356489988</v>
      </c>
      <c r="G538" s="102">
        <v>5355.6881756362563</v>
      </c>
    </row>
    <row r="539" spans="5:7" x14ac:dyDescent="0.2">
      <c r="E539" s="101" t="s">
        <v>16</v>
      </c>
      <c r="F539" s="101">
        <v>8656.7882490000011</v>
      </c>
      <c r="G539" s="102">
        <v>5382.3400011283102</v>
      </c>
    </row>
    <row r="540" spans="5:7" x14ac:dyDescent="0.2">
      <c r="E540" s="87"/>
      <c r="F540" s="87"/>
      <c r="G540" s="96"/>
    </row>
    <row r="541" spans="5:7" x14ac:dyDescent="0.2">
      <c r="E541" s="100" t="s">
        <v>217</v>
      </c>
      <c r="F541" s="87"/>
      <c r="G541" s="96"/>
    </row>
    <row r="542" spans="5:7" x14ac:dyDescent="0.2">
      <c r="E542" s="101" t="s">
        <v>17</v>
      </c>
      <c r="F542" s="101">
        <v>81354.157356489988</v>
      </c>
      <c r="G542" s="102">
        <v>5199.5069049679878</v>
      </c>
    </row>
    <row r="543" spans="5:7" x14ac:dyDescent="0.2">
      <c r="E543" s="101" t="s">
        <v>16</v>
      </c>
      <c r="F543" s="101">
        <v>8656.7882490000011</v>
      </c>
      <c r="G543" s="102">
        <v>5405.3737235976023</v>
      </c>
    </row>
    <row r="544" spans="5:7" x14ac:dyDescent="0.2">
      <c r="E544" s="87"/>
      <c r="F544" s="87"/>
      <c r="G544" s="96"/>
    </row>
    <row r="545" spans="5:7" x14ac:dyDescent="0.2">
      <c r="E545" s="100" t="s">
        <v>218</v>
      </c>
      <c r="F545" s="87"/>
      <c r="G545" s="96"/>
    </row>
    <row r="546" spans="5:7" x14ac:dyDescent="0.2">
      <c r="E546" s="101" t="s">
        <v>17</v>
      </c>
      <c r="F546" s="101">
        <v>81354.157356489988</v>
      </c>
      <c r="G546" s="102">
        <v>5059.5313824451323</v>
      </c>
    </row>
    <row r="547" spans="5:7" x14ac:dyDescent="0.2">
      <c r="E547" s="101" t="s">
        <v>16</v>
      </c>
      <c r="F547" s="101">
        <v>8656.7882490000011</v>
      </c>
      <c r="G547" s="102">
        <v>5394.2010995476776</v>
      </c>
    </row>
    <row r="548" spans="5:7" x14ac:dyDescent="0.2">
      <c r="E548" s="87"/>
      <c r="F548" s="87"/>
      <c r="G548" s="96"/>
    </row>
    <row r="549" spans="5:7" x14ac:dyDescent="0.2">
      <c r="E549" s="100" t="s">
        <v>219</v>
      </c>
      <c r="F549" s="87"/>
      <c r="G549" s="96"/>
    </row>
    <row r="550" spans="5:7" x14ac:dyDescent="0.2">
      <c r="E550" s="101" t="s">
        <v>17</v>
      </c>
      <c r="F550" s="101">
        <v>81354.157356489988</v>
      </c>
      <c r="G550" s="102">
        <v>5073.9725589174823</v>
      </c>
    </row>
    <row r="551" spans="5:7" x14ac:dyDescent="0.2">
      <c r="E551" s="101" t="s">
        <v>16</v>
      </c>
      <c r="F551" s="101">
        <v>8656.7882490000011</v>
      </c>
      <c r="G551" s="102">
        <v>5372.2104334945079</v>
      </c>
    </row>
    <row r="552" spans="5:7" x14ac:dyDescent="0.2">
      <c r="E552" s="87"/>
      <c r="F552" s="87"/>
      <c r="G552" s="96"/>
    </row>
    <row r="553" spans="5:7" x14ac:dyDescent="0.2">
      <c r="E553" s="100" t="s">
        <v>220</v>
      </c>
      <c r="F553" s="87"/>
      <c r="G553" s="96"/>
    </row>
    <row r="554" spans="5:7" x14ac:dyDescent="0.2">
      <c r="E554" s="101" t="s">
        <v>17</v>
      </c>
      <c r="F554" s="101">
        <v>81354.157356489988</v>
      </c>
      <c r="G554" s="102">
        <v>4943.0395509848004</v>
      </c>
    </row>
    <row r="555" spans="5:7" x14ac:dyDescent="0.2">
      <c r="E555" s="101" t="s">
        <v>16</v>
      </c>
      <c r="F555" s="101">
        <v>8656.7882490000011</v>
      </c>
      <c r="G555" s="102">
        <v>5306.6201996967793</v>
      </c>
    </row>
    <row r="556" spans="5:7" x14ac:dyDescent="0.2">
      <c r="E556" s="87"/>
      <c r="F556" s="87"/>
      <c r="G556" s="96"/>
    </row>
    <row r="557" spans="5:7" x14ac:dyDescent="0.2">
      <c r="E557" s="100" t="s">
        <v>221</v>
      </c>
      <c r="F557" s="87"/>
      <c r="G557" s="96"/>
    </row>
    <row r="558" spans="5:7" x14ac:dyDescent="0.2">
      <c r="E558" s="101" t="s">
        <v>17</v>
      </c>
      <c r="F558" s="101">
        <v>81354.157356489988</v>
      </c>
      <c r="G558" s="102">
        <v>4891.7449412299602</v>
      </c>
    </row>
    <row r="559" spans="5:7" x14ac:dyDescent="0.2">
      <c r="E559" s="101" t="s">
        <v>16</v>
      </c>
      <c r="F559" s="101">
        <v>8656.7882490000011</v>
      </c>
      <c r="G559" s="102">
        <v>5244.4460211099886</v>
      </c>
    </row>
    <row r="560" spans="5:7" x14ac:dyDescent="0.2">
      <c r="E560" s="87"/>
      <c r="F560" s="87"/>
      <c r="G560" s="96"/>
    </row>
    <row r="561" spans="5:7" x14ac:dyDescent="0.2">
      <c r="E561" s="100" t="s">
        <v>222</v>
      </c>
      <c r="F561" s="87"/>
      <c r="G561" s="96"/>
    </row>
    <row r="562" spans="5:7" x14ac:dyDescent="0.2">
      <c r="E562" s="101" t="s">
        <v>17</v>
      </c>
      <c r="F562" s="101">
        <v>81354.157356489988</v>
      </c>
      <c r="G562" s="102">
        <v>4881.736752791965</v>
      </c>
    </row>
    <row r="563" spans="5:7" x14ac:dyDescent="0.2">
      <c r="E563" s="101" t="s">
        <v>16</v>
      </c>
      <c r="F563" s="101">
        <v>8656.7882490000011</v>
      </c>
      <c r="G563" s="102">
        <v>5273.2402301838138</v>
      </c>
    </row>
    <row r="564" spans="5:7" x14ac:dyDescent="0.2">
      <c r="E564" s="87"/>
      <c r="F564" s="87"/>
      <c r="G564" s="96"/>
    </row>
    <row r="565" spans="5:7" x14ac:dyDescent="0.2">
      <c r="E565" s="100" t="s">
        <v>223</v>
      </c>
      <c r="F565" s="87"/>
      <c r="G565" s="96"/>
    </row>
    <row r="566" spans="5:7" x14ac:dyDescent="0.2">
      <c r="E566" s="101" t="s">
        <v>17</v>
      </c>
      <c r="F566" s="101">
        <v>81354.157356489988</v>
      </c>
      <c r="G566" s="102">
        <v>4961.332033266408</v>
      </c>
    </row>
    <row r="567" spans="5:7" x14ac:dyDescent="0.2">
      <c r="E567" s="101" t="s">
        <v>16</v>
      </c>
      <c r="F567" s="101">
        <v>8656.7882490000011</v>
      </c>
      <c r="G567" s="102">
        <v>5291.6014511957064</v>
      </c>
    </row>
    <row r="568" spans="5:7" x14ac:dyDescent="0.2">
      <c r="E568" s="87"/>
      <c r="F568" s="87"/>
      <c r="G568" s="96"/>
    </row>
    <row r="569" spans="5:7" x14ac:dyDescent="0.2">
      <c r="E569" s="100" t="s">
        <v>224</v>
      </c>
      <c r="F569" s="87"/>
      <c r="G569" s="96"/>
    </row>
    <row r="570" spans="5:7" x14ac:dyDescent="0.2">
      <c r="E570" s="101" t="s">
        <v>17</v>
      </c>
      <c r="F570" s="101">
        <v>81354.157356489988</v>
      </c>
      <c r="G570" s="102">
        <v>5010.9507473797039</v>
      </c>
    </row>
    <row r="571" spans="5:7" x14ac:dyDescent="0.2">
      <c r="E571" s="101" t="s">
        <v>16</v>
      </c>
      <c r="F571" s="101">
        <v>8656.7882490000011</v>
      </c>
      <c r="G571" s="102">
        <v>5229.3912603698009</v>
      </c>
    </row>
    <row r="572" spans="5:7" x14ac:dyDescent="0.2">
      <c r="E572" s="87"/>
      <c r="F572" s="87"/>
      <c r="G572" s="96"/>
    </row>
    <row r="573" spans="5:7" x14ac:dyDescent="0.2">
      <c r="E573" s="100" t="s">
        <v>225</v>
      </c>
      <c r="F573" s="87"/>
      <c r="G573" s="96"/>
    </row>
    <row r="574" spans="5:7" x14ac:dyDescent="0.2">
      <c r="E574" s="101" t="s">
        <v>17</v>
      </c>
      <c r="F574" s="101">
        <v>81354.157356489988</v>
      </c>
      <c r="G574" s="102">
        <v>5116.6704748644624</v>
      </c>
    </row>
    <row r="575" spans="5:7" x14ac:dyDescent="0.2">
      <c r="E575" s="101" t="s">
        <v>16</v>
      </c>
      <c r="F575" s="101">
        <v>8656.7882490000011</v>
      </c>
      <c r="G575" s="102">
        <v>5339.9459777153079</v>
      </c>
    </row>
    <row r="576" spans="5:7" x14ac:dyDescent="0.2">
      <c r="E576" s="87"/>
      <c r="F576" s="87"/>
      <c r="G576" s="96"/>
    </row>
    <row r="577" spans="5:7" x14ac:dyDescent="0.2">
      <c r="E577" s="100" t="s">
        <v>226</v>
      </c>
      <c r="F577" s="87"/>
      <c r="G577" s="96"/>
    </row>
    <row r="578" spans="5:7" x14ac:dyDescent="0.2">
      <c r="E578" s="101" t="s">
        <v>17</v>
      </c>
      <c r="F578" s="101">
        <v>81354.157356489988</v>
      </c>
      <c r="G578" s="102">
        <v>5168.7054074512471</v>
      </c>
    </row>
    <row r="579" spans="5:7" x14ac:dyDescent="0.2">
      <c r="E579" s="101" t="s">
        <v>16</v>
      </c>
      <c r="F579" s="101">
        <v>8656.7882490000011</v>
      </c>
      <c r="G579" s="102">
        <v>5395.2345469288439</v>
      </c>
    </row>
    <row r="580" spans="5:7" x14ac:dyDescent="0.2">
      <c r="E580" s="87"/>
      <c r="F580" s="87"/>
      <c r="G580" s="96"/>
    </row>
    <row r="581" spans="5:7" x14ac:dyDescent="0.2">
      <c r="E581" s="100" t="s">
        <v>227</v>
      </c>
      <c r="F581" s="87"/>
      <c r="G581" s="96"/>
    </row>
    <row r="582" spans="5:7" x14ac:dyDescent="0.2">
      <c r="E582" s="101" t="s">
        <v>17</v>
      </c>
      <c r="F582" s="101">
        <v>81354.157356489988</v>
      </c>
      <c r="G582" s="102">
        <v>5069.5908240022627</v>
      </c>
    </row>
    <row r="583" spans="5:7" x14ac:dyDescent="0.2">
      <c r="E583" s="101" t="s">
        <v>16</v>
      </c>
      <c r="F583" s="101">
        <v>8656.7882490000011</v>
      </c>
      <c r="G583" s="102">
        <v>5384.344740151013</v>
      </c>
    </row>
    <row r="584" spans="5:7" x14ac:dyDescent="0.2">
      <c r="E584" s="87"/>
      <c r="F584" s="87"/>
      <c r="G584" s="96"/>
    </row>
    <row r="585" spans="5:7" x14ac:dyDescent="0.2">
      <c r="E585" s="100" t="s">
        <v>228</v>
      </c>
      <c r="F585" s="87"/>
      <c r="G585" s="96"/>
    </row>
    <row r="586" spans="5:7" x14ac:dyDescent="0.2">
      <c r="E586" s="101" t="s">
        <v>17</v>
      </c>
      <c r="F586" s="101">
        <v>81354.157356489988</v>
      </c>
      <c r="G586" s="102">
        <v>5000.5504319032507</v>
      </c>
    </row>
    <row r="587" spans="5:7" x14ac:dyDescent="0.2">
      <c r="E587" s="101" t="s">
        <v>16</v>
      </c>
      <c r="F587" s="101">
        <v>8656.7882490000011</v>
      </c>
      <c r="G587" s="102">
        <v>5370.0079734281971</v>
      </c>
    </row>
    <row r="588" spans="5:7" x14ac:dyDescent="0.2">
      <c r="E588" s="87"/>
      <c r="F588" s="87"/>
      <c r="G588" s="96"/>
    </row>
    <row r="589" spans="5:7" x14ac:dyDescent="0.2">
      <c r="E589" s="100" t="s">
        <v>229</v>
      </c>
      <c r="F589" s="87"/>
      <c r="G589" s="96"/>
    </row>
    <row r="590" spans="5:7" x14ac:dyDescent="0.2">
      <c r="E590" s="101" t="s">
        <v>17</v>
      </c>
      <c r="F590" s="101">
        <v>81354.157356489988</v>
      </c>
      <c r="G590" s="102">
        <v>5081.645069497773</v>
      </c>
    </row>
    <row r="591" spans="5:7" x14ac:dyDescent="0.2">
      <c r="E591" s="101" t="s">
        <v>16</v>
      </c>
      <c r="F591" s="101">
        <v>8656.7882490000011</v>
      </c>
      <c r="G591" s="102">
        <v>5295.5646154239812</v>
      </c>
    </row>
    <row r="592" spans="5:7" x14ac:dyDescent="0.2">
      <c r="E592" s="87"/>
      <c r="F592" s="87"/>
      <c r="G592" s="96"/>
    </row>
    <row r="593" spans="5:7" x14ac:dyDescent="0.2">
      <c r="E593" s="100" t="s">
        <v>230</v>
      </c>
      <c r="F593" s="87"/>
      <c r="G593" s="96"/>
    </row>
    <row r="594" spans="5:7" x14ac:dyDescent="0.2">
      <c r="E594" s="101" t="s">
        <v>17</v>
      </c>
      <c r="F594" s="101">
        <v>81354.157356489988</v>
      </c>
      <c r="G594" s="102">
        <v>4778.0167104950287</v>
      </c>
    </row>
    <row r="595" spans="5:7" x14ac:dyDescent="0.2">
      <c r="E595" s="101" t="s">
        <v>16</v>
      </c>
      <c r="F595" s="101">
        <v>8656.7882490000011</v>
      </c>
      <c r="G595" s="102">
        <v>5022.3266855018474</v>
      </c>
    </row>
    <row r="596" spans="5:7" x14ac:dyDescent="0.2">
      <c r="E596" s="87"/>
      <c r="F596" s="87"/>
      <c r="G596" s="96"/>
    </row>
    <row r="597" spans="5:7" x14ac:dyDescent="0.2">
      <c r="E597" s="100" t="s">
        <v>231</v>
      </c>
      <c r="F597" s="87"/>
      <c r="G597" s="96"/>
    </row>
    <row r="598" spans="5:7" x14ac:dyDescent="0.2">
      <c r="E598" s="101" t="s">
        <v>17</v>
      </c>
      <c r="F598" s="101">
        <v>81354.157356489988</v>
      </c>
      <c r="G598" s="102">
        <v>5366.9492180975421</v>
      </c>
    </row>
    <row r="599" spans="5:7" x14ac:dyDescent="0.2">
      <c r="E599" s="101" t="s">
        <v>16</v>
      </c>
      <c r="F599" s="101">
        <v>8656.7882490000011</v>
      </c>
      <c r="G599" s="102">
        <v>5299.742727704479</v>
      </c>
    </row>
    <row r="600" spans="5:7" x14ac:dyDescent="0.2">
      <c r="E600" s="87"/>
      <c r="F600" s="87"/>
      <c r="G600" s="96"/>
    </row>
    <row r="601" spans="5:7" x14ac:dyDescent="0.2">
      <c r="E601" s="100" t="s">
        <v>232</v>
      </c>
      <c r="F601" s="87"/>
      <c r="G601" s="96"/>
    </row>
    <row r="602" spans="5:7" x14ac:dyDescent="0.2">
      <c r="E602" s="101" t="s">
        <v>17</v>
      </c>
      <c r="F602" s="101">
        <v>81354.157356489988</v>
      </c>
      <c r="G602" s="102">
        <v>5091.9168454056035</v>
      </c>
    </row>
    <row r="603" spans="5:7" x14ac:dyDescent="0.2">
      <c r="E603" s="101" t="s">
        <v>16</v>
      </c>
      <c r="F603" s="101">
        <v>8656.7882490000011</v>
      </c>
      <c r="G603" s="102">
        <v>5427.7258105601668</v>
      </c>
    </row>
    <row r="604" spans="5:7" x14ac:dyDescent="0.2">
      <c r="E604" s="87"/>
      <c r="F604" s="87"/>
      <c r="G604" s="96"/>
    </row>
    <row r="605" spans="5:7" x14ac:dyDescent="0.2">
      <c r="E605" s="100" t="s">
        <v>233</v>
      </c>
      <c r="F605" s="87"/>
      <c r="G605" s="96"/>
    </row>
    <row r="606" spans="5:7" x14ac:dyDescent="0.2">
      <c r="E606" s="101" t="s">
        <v>17</v>
      </c>
      <c r="F606" s="101">
        <v>81354.157356489988</v>
      </c>
      <c r="G606" s="102">
        <v>5012.6640659336317</v>
      </c>
    </row>
    <row r="607" spans="5:7" x14ac:dyDescent="0.2">
      <c r="E607" s="101" t="s">
        <v>16</v>
      </c>
      <c r="F607" s="101">
        <v>8656.7882490000011</v>
      </c>
      <c r="G607" s="102">
        <v>5286.3558703562258</v>
      </c>
    </row>
    <row r="608" spans="5:7" x14ac:dyDescent="0.2">
      <c r="E608" s="87"/>
      <c r="F608" s="87"/>
      <c r="G608" s="96"/>
    </row>
    <row r="609" spans="5:7" x14ac:dyDescent="0.2">
      <c r="E609" s="100" t="s">
        <v>234</v>
      </c>
      <c r="F609" s="87"/>
      <c r="G609" s="96"/>
    </row>
    <row r="610" spans="5:7" x14ac:dyDescent="0.2">
      <c r="E610" s="101" t="s">
        <v>17</v>
      </c>
      <c r="F610" s="101">
        <v>81343.191817639992</v>
      </c>
      <c r="G610" s="102">
        <v>5176.417988765038</v>
      </c>
    </row>
    <row r="611" spans="5:7" x14ac:dyDescent="0.2">
      <c r="E611" s="101" t="s">
        <v>16</v>
      </c>
      <c r="F611" s="101">
        <v>8656.7882490000011</v>
      </c>
      <c r="G611" s="102">
        <v>5304.2361202130051</v>
      </c>
    </row>
    <row r="612" spans="5:7" x14ac:dyDescent="0.2">
      <c r="E612" s="87"/>
      <c r="F612" s="87"/>
      <c r="G612" s="96"/>
    </row>
    <row r="613" spans="5:7" x14ac:dyDescent="0.2">
      <c r="E613" s="100" t="s">
        <v>235</v>
      </c>
      <c r="F613" s="87"/>
      <c r="G613" s="96"/>
    </row>
    <row r="614" spans="5:7" x14ac:dyDescent="0.2">
      <c r="E614" s="101" t="s">
        <v>17</v>
      </c>
      <c r="F614" s="101">
        <v>81343.191817639992</v>
      </c>
      <c r="G614" s="102">
        <v>4943.2160055749637</v>
      </c>
    </row>
    <row r="615" spans="5:7" x14ac:dyDescent="0.2">
      <c r="E615" s="101" t="s">
        <v>16</v>
      </c>
      <c r="F615" s="101">
        <v>8656.7882490000011</v>
      </c>
      <c r="G615" s="102">
        <v>5300.8781520512184</v>
      </c>
    </row>
    <row r="616" spans="5:7" x14ac:dyDescent="0.2">
      <c r="E616" s="87"/>
      <c r="F616" s="87"/>
      <c r="G616" s="96"/>
    </row>
    <row r="617" spans="5:7" x14ac:dyDescent="0.2">
      <c r="E617" s="100" t="s">
        <v>236</v>
      </c>
      <c r="F617" s="87"/>
      <c r="G617" s="96"/>
    </row>
    <row r="618" spans="5:7" x14ac:dyDescent="0.2">
      <c r="E618" s="101" t="s">
        <v>17</v>
      </c>
      <c r="F618" s="101">
        <v>81343.191817639992</v>
      </c>
      <c r="G618" s="102">
        <v>5031.0015781845614</v>
      </c>
    </row>
    <row r="619" spans="5:7" x14ac:dyDescent="0.2">
      <c r="E619" s="101" t="s">
        <v>16</v>
      </c>
      <c r="F619" s="101">
        <v>8656.7882490000011</v>
      </c>
      <c r="G619" s="102">
        <v>5626.0620055403006</v>
      </c>
    </row>
    <row r="620" spans="5:7" x14ac:dyDescent="0.2">
      <c r="E620" s="87"/>
      <c r="F620" s="87"/>
      <c r="G620" s="96"/>
    </row>
    <row r="621" spans="5:7" x14ac:dyDescent="0.2">
      <c r="E621" s="100" t="s">
        <v>237</v>
      </c>
      <c r="F621" s="87"/>
      <c r="G621" s="96"/>
    </row>
    <row r="622" spans="5:7" x14ac:dyDescent="0.2">
      <c r="E622" s="101" t="s">
        <v>17</v>
      </c>
      <c r="F622" s="101">
        <v>81343.191817639992</v>
      </c>
      <c r="G622" s="102">
        <v>4763.9307302173765</v>
      </c>
    </row>
    <row r="623" spans="5:7" x14ac:dyDescent="0.2">
      <c r="E623" s="101" t="s">
        <v>16</v>
      </c>
      <c r="F623" s="101">
        <v>8656.7882490000011</v>
      </c>
      <c r="G623" s="102">
        <v>5450.1386681762406</v>
      </c>
    </row>
    <row r="624" spans="5:7" x14ac:dyDescent="0.2">
      <c r="E624" s="87"/>
      <c r="F624" s="87"/>
      <c r="G624" s="96"/>
    </row>
    <row r="625" spans="5:7" x14ac:dyDescent="0.2">
      <c r="E625" s="100" t="s">
        <v>238</v>
      </c>
      <c r="F625" s="87"/>
      <c r="G625" s="96"/>
    </row>
    <row r="626" spans="5:7" x14ac:dyDescent="0.2">
      <c r="E626" s="101" t="s">
        <v>17</v>
      </c>
      <c r="F626" s="101">
        <v>81287.410900080009</v>
      </c>
      <c r="G626" s="102">
        <v>4812.6260395838908</v>
      </c>
    </row>
    <row r="627" spans="5:7" x14ac:dyDescent="0.2">
      <c r="E627" s="101" t="s">
        <v>16</v>
      </c>
      <c r="F627" s="101">
        <v>8656.7882490000011</v>
      </c>
      <c r="G627" s="102">
        <v>5808.9905890912178</v>
      </c>
    </row>
    <row r="628" spans="5:7" x14ac:dyDescent="0.2">
      <c r="E628" s="87"/>
      <c r="F628" s="87"/>
      <c r="G628" s="96"/>
    </row>
    <row r="629" spans="5:7" x14ac:dyDescent="0.2">
      <c r="E629" s="100" t="s">
        <v>239</v>
      </c>
      <c r="F629" s="87"/>
      <c r="G629" s="96"/>
    </row>
    <row r="630" spans="5:7" x14ac:dyDescent="0.2">
      <c r="E630" s="101" t="s">
        <v>17</v>
      </c>
      <c r="F630" s="101">
        <v>81287.410900080009</v>
      </c>
      <c r="G630" s="102">
        <v>5066.0045894782033</v>
      </c>
    </row>
    <row r="631" spans="5:7" x14ac:dyDescent="0.2">
      <c r="E631" s="101" t="s">
        <v>16</v>
      </c>
      <c r="F631" s="101">
        <v>8656.7882490000011</v>
      </c>
      <c r="G631" s="102">
        <v>5725.679044068962</v>
      </c>
    </row>
    <row r="632" spans="5:7" x14ac:dyDescent="0.2">
      <c r="E632" s="87"/>
      <c r="F632" s="87"/>
      <c r="G632" s="96"/>
    </row>
    <row r="633" spans="5:7" x14ac:dyDescent="0.2">
      <c r="E633" s="100" t="s">
        <v>240</v>
      </c>
      <c r="F633" s="87"/>
      <c r="G633" s="96"/>
    </row>
    <row r="634" spans="5:7" x14ac:dyDescent="0.2">
      <c r="E634" s="101" t="s">
        <v>17</v>
      </c>
      <c r="F634" s="101">
        <v>81287.410900080009</v>
      </c>
      <c r="G634" s="102">
        <v>5036.9085736206289</v>
      </c>
    </row>
    <row r="635" spans="5:7" x14ac:dyDescent="0.2">
      <c r="E635" s="101" t="s">
        <v>16</v>
      </c>
      <c r="F635" s="101">
        <v>8656.7882490000011</v>
      </c>
      <c r="G635" s="102">
        <v>5739.260852288583</v>
      </c>
    </row>
    <row r="636" spans="5:7" x14ac:dyDescent="0.2">
      <c r="E636" s="87"/>
      <c r="F636" s="87"/>
      <c r="G636" s="96"/>
    </row>
    <row r="637" spans="5:7" x14ac:dyDescent="0.2">
      <c r="E637" s="100" t="s">
        <v>241</v>
      </c>
      <c r="F637" s="87"/>
      <c r="G637" s="96"/>
    </row>
    <row r="638" spans="5:7" x14ac:dyDescent="0.2">
      <c r="E638" s="101" t="s">
        <v>17</v>
      </c>
      <c r="F638" s="101">
        <v>81287.410900080009</v>
      </c>
      <c r="G638" s="102">
        <v>5116.6238859939012</v>
      </c>
    </row>
    <row r="639" spans="5:7" x14ac:dyDescent="0.2">
      <c r="E639" s="101" t="s">
        <v>16</v>
      </c>
      <c r="F639" s="101">
        <v>8656.7882490000011</v>
      </c>
      <c r="G639" s="102">
        <v>5709.9422149826341</v>
      </c>
    </row>
    <row r="640" spans="5:7" x14ac:dyDescent="0.2">
      <c r="E640" s="87"/>
      <c r="F640" s="87"/>
      <c r="G640" s="96"/>
    </row>
    <row r="641" spans="5:7" x14ac:dyDescent="0.2">
      <c r="E641" s="100" t="s">
        <v>242</v>
      </c>
      <c r="F641" s="87"/>
      <c r="G641" s="96"/>
    </row>
    <row r="642" spans="5:7" x14ac:dyDescent="0.2">
      <c r="E642" s="101" t="s">
        <v>17</v>
      </c>
      <c r="F642" s="101">
        <v>81287.410900080009</v>
      </c>
      <c r="G642" s="102">
        <v>4860.5026988558202</v>
      </c>
    </row>
    <row r="643" spans="5:7" x14ac:dyDescent="0.2">
      <c r="E643" s="101" t="s">
        <v>16</v>
      </c>
      <c r="F643" s="101">
        <v>8656.7882490000011</v>
      </c>
      <c r="G643" s="102">
        <v>5780.7390740727233</v>
      </c>
    </row>
    <row r="644" spans="5:7" x14ac:dyDescent="0.2">
      <c r="E644" s="87"/>
      <c r="F644" s="87"/>
      <c r="G644" s="96"/>
    </row>
    <row r="645" spans="5:7" x14ac:dyDescent="0.2">
      <c r="E645" s="100" t="s">
        <v>243</v>
      </c>
      <c r="F645" s="87"/>
      <c r="G645" s="96"/>
    </row>
    <row r="646" spans="5:7" x14ac:dyDescent="0.2">
      <c r="E646" s="101" t="s">
        <v>17</v>
      </c>
      <c r="F646" s="101">
        <v>81287.410900080009</v>
      </c>
      <c r="G646" s="102">
        <v>4928.6621928955374</v>
      </c>
    </row>
    <row r="647" spans="5:7" x14ac:dyDescent="0.2">
      <c r="E647" s="101" t="s">
        <v>16</v>
      </c>
      <c r="F647" s="101">
        <v>8656.7882490000011</v>
      </c>
      <c r="G647" s="102">
        <v>5957.8609437698578</v>
      </c>
    </row>
    <row r="648" spans="5:7" x14ac:dyDescent="0.2">
      <c r="E648" s="87"/>
      <c r="F648" s="87"/>
      <c r="G648" s="96"/>
    </row>
    <row r="649" spans="5:7" x14ac:dyDescent="0.2">
      <c r="E649" s="100" t="s">
        <v>244</v>
      </c>
      <c r="F649" s="87"/>
      <c r="G649" s="96"/>
    </row>
    <row r="650" spans="5:7" x14ac:dyDescent="0.2">
      <c r="E650" s="101" t="s">
        <v>17</v>
      </c>
      <c r="F650" s="101">
        <v>81287.410900080009</v>
      </c>
      <c r="G650" s="102">
        <v>4677.894594639336</v>
      </c>
    </row>
    <row r="651" spans="5:7" x14ac:dyDescent="0.2">
      <c r="E651" s="101" t="s">
        <v>16</v>
      </c>
      <c r="F651" s="101">
        <v>8656.7882490000011</v>
      </c>
      <c r="G651" s="102">
        <v>5935.2717473771527</v>
      </c>
    </row>
    <row r="652" spans="5:7" x14ac:dyDescent="0.2">
      <c r="E652" s="87"/>
      <c r="F652" s="87"/>
      <c r="G652" s="96"/>
    </row>
    <row r="653" spans="5:7" x14ac:dyDescent="0.2">
      <c r="E653" s="100" t="s">
        <v>245</v>
      </c>
      <c r="F653" s="87"/>
      <c r="G653" s="96"/>
    </row>
    <row r="654" spans="5:7" x14ac:dyDescent="0.2">
      <c r="E654" s="101" t="s">
        <v>17</v>
      </c>
      <c r="F654" s="101">
        <v>81287.410900080009</v>
      </c>
      <c r="G654" s="102">
        <v>4767.0441239216707</v>
      </c>
    </row>
    <row r="655" spans="5:7" x14ac:dyDescent="0.2">
      <c r="E655" s="101" t="s">
        <v>16</v>
      </c>
      <c r="F655" s="101">
        <v>8656.7882490000011</v>
      </c>
      <c r="G655" s="102">
        <v>6193.9523356118852</v>
      </c>
    </row>
    <row r="656" spans="5:7" x14ac:dyDescent="0.2">
      <c r="E656" s="87"/>
      <c r="F656" s="87"/>
      <c r="G656" s="96"/>
    </row>
    <row r="657" spans="5:7" x14ac:dyDescent="0.2">
      <c r="E657" s="100" t="s">
        <v>246</v>
      </c>
      <c r="F657" s="87"/>
      <c r="G657" s="96"/>
    </row>
    <row r="658" spans="5:7" x14ac:dyDescent="0.2">
      <c r="E658" s="101" t="s">
        <v>17</v>
      </c>
      <c r="F658" s="101">
        <v>81287.410900080009</v>
      </c>
      <c r="G658" s="102">
        <v>4546.4089560120201</v>
      </c>
    </row>
    <row r="659" spans="5:7" x14ac:dyDescent="0.2">
      <c r="E659" s="101" t="s">
        <v>16</v>
      </c>
      <c r="F659" s="101">
        <v>8656.7882490000011</v>
      </c>
      <c r="G659" s="102">
        <v>5706.3856600984154</v>
      </c>
    </row>
    <row r="660" spans="5:7" x14ac:dyDescent="0.2">
      <c r="E660" s="87"/>
      <c r="F660" s="87"/>
      <c r="G660" s="96"/>
    </row>
    <row r="661" spans="5:7" x14ac:dyDescent="0.2">
      <c r="E661" s="100" t="s">
        <v>247</v>
      </c>
      <c r="F661" s="87"/>
      <c r="G661" s="96"/>
    </row>
    <row r="662" spans="5:7" x14ac:dyDescent="0.2">
      <c r="E662" s="101" t="s">
        <v>17</v>
      </c>
      <c r="F662" s="101">
        <v>81287.410900080009</v>
      </c>
      <c r="G662" s="102">
        <v>4525.3238144986481</v>
      </c>
    </row>
    <row r="663" spans="5:7" x14ac:dyDescent="0.2">
      <c r="E663" s="101" t="s">
        <v>16</v>
      </c>
      <c r="F663" s="101">
        <v>8656.7882490000011</v>
      </c>
      <c r="G663" s="102">
        <v>5333.2757492336887</v>
      </c>
    </row>
    <row r="664" spans="5:7" x14ac:dyDescent="0.2">
      <c r="E664" s="87"/>
      <c r="F664" s="87"/>
      <c r="G664" s="96"/>
    </row>
    <row r="665" spans="5:7" x14ac:dyDescent="0.2">
      <c r="E665" s="100" t="s">
        <v>248</v>
      </c>
      <c r="F665" s="87"/>
      <c r="G665" s="96"/>
    </row>
    <row r="666" spans="5:7" x14ac:dyDescent="0.2">
      <c r="E666" s="101" t="s">
        <v>17</v>
      </c>
      <c r="F666" s="101">
        <v>81287.410900080009</v>
      </c>
      <c r="G666" s="102">
        <v>4453.3592567546984</v>
      </c>
    </row>
    <row r="667" spans="5:7" x14ac:dyDescent="0.2">
      <c r="E667" s="101" t="s">
        <v>16</v>
      </c>
      <c r="F667" s="101">
        <v>8656.7882490000011</v>
      </c>
      <c r="G667" s="102">
        <v>5305.3830580881149</v>
      </c>
    </row>
    <row r="668" spans="5:7" x14ac:dyDescent="0.2">
      <c r="E668" s="87"/>
      <c r="F668" s="87"/>
      <c r="G668" s="96"/>
    </row>
    <row r="669" spans="5:7" x14ac:dyDescent="0.2">
      <c r="E669" s="100" t="s">
        <v>249</v>
      </c>
      <c r="F669" s="87"/>
      <c r="G669" s="96"/>
    </row>
    <row r="670" spans="5:7" x14ac:dyDescent="0.2">
      <c r="E670" s="101" t="s">
        <v>17</v>
      </c>
      <c r="F670" s="101">
        <v>81287.410900080009</v>
      </c>
      <c r="G670" s="102">
        <v>4507.4105077585973</v>
      </c>
    </row>
    <row r="671" spans="5:7" x14ac:dyDescent="0.2">
      <c r="E671" s="101" t="s">
        <v>16</v>
      </c>
      <c r="F671" s="101">
        <v>8656.7882490000011</v>
      </c>
      <c r="G671" s="102">
        <v>5250.8914328007822</v>
      </c>
    </row>
    <row r="672" spans="5:7" x14ac:dyDescent="0.2">
      <c r="E672" s="87"/>
      <c r="F672" s="87"/>
      <c r="G672" s="96"/>
    </row>
    <row r="673" spans="5:7" x14ac:dyDescent="0.2">
      <c r="E673" s="100" t="s">
        <v>250</v>
      </c>
      <c r="F673" s="87"/>
      <c r="G673" s="96"/>
    </row>
    <row r="674" spans="5:7" x14ac:dyDescent="0.2">
      <c r="E674" s="101" t="s">
        <v>17</v>
      </c>
      <c r="F674" s="101">
        <v>81287.410900080009</v>
      </c>
      <c r="G674" s="102">
        <v>4358.7260787330433</v>
      </c>
    </row>
    <row r="675" spans="5:7" x14ac:dyDescent="0.2">
      <c r="E675" s="101" t="s">
        <v>16</v>
      </c>
      <c r="F675" s="101">
        <v>8656.7882490000011</v>
      </c>
      <c r="G675" s="102">
        <v>5275.3123190190936</v>
      </c>
    </row>
    <row r="676" spans="5:7" x14ac:dyDescent="0.2">
      <c r="E676" s="87"/>
      <c r="F676" s="87"/>
      <c r="G676" s="96"/>
    </row>
    <row r="677" spans="5:7" x14ac:dyDescent="0.2">
      <c r="E677" s="100" t="s">
        <v>251</v>
      </c>
      <c r="F677" s="87"/>
      <c r="G677" s="96"/>
    </row>
    <row r="678" spans="5:7" x14ac:dyDescent="0.2">
      <c r="E678" s="101" t="s">
        <v>17</v>
      </c>
      <c r="F678" s="101">
        <v>81287.410900080009</v>
      </c>
      <c r="G678" s="102">
        <v>4267.8126126341758</v>
      </c>
    </row>
    <row r="679" spans="5:7" x14ac:dyDescent="0.2">
      <c r="E679" s="101" t="s">
        <v>16</v>
      </c>
      <c r="F679" s="101">
        <v>8656.7882490000011</v>
      </c>
      <c r="G679" s="102">
        <v>5197.931366490463</v>
      </c>
    </row>
    <row r="680" spans="5:7" x14ac:dyDescent="0.2">
      <c r="E680" s="87"/>
      <c r="F680" s="87"/>
      <c r="G680" s="96"/>
    </row>
    <row r="681" spans="5:7" x14ac:dyDescent="0.2">
      <c r="E681" s="100" t="s">
        <v>252</v>
      </c>
      <c r="F681" s="87"/>
      <c r="G681" s="96"/>
    </row>
    <row r="682" spans="5:7" x14ac:dyDescent="0.2">
      <c r="E682" s="101" t="s">
        <v>17</v>
      </c>
      <c r="F682" s="101">
        <v>81287.410900080009</v>
      </c>
      <c r="G682" s="102">
        <v>4369.5909540739494</v>
      </c>
    </row>
    <row r="683" spans="5:7" x14ac:dyDescent="0.2">
      <c r="E683" s="101" t="s">
        <v>16</v>
      </c>
      <c r="F683" s="101">
        <v>8656.7882490000011</v>
      </c>
      <c r="G683" s="102">
        <v>5009.3208134044326</v>
      </c>
    </row>
    <row r="684" spans="5:7" x14ac:dyDescent="0.2">
      <c r="E684" s="87"/>
      <c r="F684" s="87"/>
      <c r="G684" s="96"/>
    </row>
    <row r="685" spans="5:7" x14ac:dyDescent="0.2">
      <c r="E685" s="100" t="s">
        <v>253</v>
      </c>
      <c r="F685" s="87"/>
      <c r="G685" s="96"/>
    </row>
    <row r="686" spans="5:7" x14ac:dyDescent="0.2">
      <c r="E686" s="101" t="s">
        <v>17</v>
      </c>
      <c r="F686" s="101">
        <v>81287.410900080009</v>
      </c>
      <c r="G686" s="102">
        <v>4266.2079991430082</v>
      </c>
    </row>
    <row r="687" spans="5:7" x14ac:dyDescent="0.2">
      <c r="E687" s="101" t="s">
        <v>16</v>
      </c>
      <c r="F687" s="101">
        <v>8656.7882490000011</v>
      </c>
      <c r="G687" s="102">
        <v>4817.1891116981215</v>
      </c>
    </row>
    <row r="688" spans="5:7" x14ac:dyDescent="0.2">
      <c r="E688" s="87"/>
      <c r="F688" s="87"/>
      <c r="G688" s="96"/>
    </row>
    <row r="689" spans="5:7" x14ac:dyDescent="0.2">
      <c r="E689" s="100" t="s">
        <v>254</v>
      </c>
      <c r="F689" s="87"/>
      <c r="G689" s="96"/>
    </row>
    <row r="690" spans="5:7" x14ac:dyDescent="0.2">
      <c r="E690" s="101" t="s">
        <v>17</v>
      </c>
      <c r="F690" s="101">
        <v>81287.410900080009</v>
      </c>
      <c r="G690" s="102">
        <v>4219.9018126496676</v>
      </c>
    </row>
    <row r="691" spans="5:7" x14ac:dyDescent="0.2">
      <c r="E691" s="101" t="s">
        <v>16</v>
      </c>
      <c r="F691" s="101">
        <v>8656.7882490000011</v>
      </c>
      <c r="G691" s="102">
        <v>4718.9456457609303</v>
      </c>
    </row>
    <row r="692" spans="5:7" x14ac:dyDescent="0.2">
      <c r="E692" s="87"/>
      <c r="F692" s="87"/>
      <c r="G692" s="96"/>
    </row>
    <row r="693" spans="5:7" x14ac:dyDescent="0.2">
      <c r="E693" s="100" t="s">
        <v>255</v>
      </c>
      <c r="F693" s="87"/>
      <c r="G693" s="96"/>
    </row>
    <row r="694" spans="5:7" x14ac:dyDescent="0.2">
      <c r="E694" s="101" t="s">
        <v>17</v>
      </c>
      <c r="F694" s="101">
        <v>81287.410900080009</v>
      </c>
      <c r="G694" s="102">
        <v>4143.6021972824174</v>
      </c>
    </row>
    <row r="695" spans="5:7" x14ac:dyDescent="0.2">
      <c r="E695" s="101" t="s">
        <v>16</v>
      </c>
      <c r="F695" s="101">
        <v>8656.7882490000011</v>
      </c>
      <c r="G695" s="102">
        <v>4726.1391770922019</v>
      </c>
    </row>
    <row r="696" spans="5:7" x14ac:dyDescent="0.2">
      <c r="E696" s="87"/>
      <c r="F696" s="87"/>
      <c r="G696" s="96"/>
    </row>
    <row r="697" spans="5:7" x14ac:dyDescent="0.2">
      <c r="E697" s="100" t="s">
        <v>256</v>
      </c>
      <c r="F697" s="87"/>
      <c r="G697" s="96"/>
    </row>
    <row r="698" spans="5:7" x14ac:dyDescent="0.2">
      <c r="E698" s="101" t="s">
        <v>17</v>
      </c>
      <c r="F698" s="101">
        <v>81287.410900080009</v>
      </c>
      <c r="G698" s="102">
        <v>4304.8325253062903</v>
      </c>
    </row>
    <row r="699" spans="5:7" x14ac:dyDescent="0.2">
      <c r="E699" s="101" t="s">
        <v>16</v>
      </c>
      <c r="F699" s="101">
        <v>8656.7882490000011</v>
      </c>
      <c r="G699" s="102">
        <v>4794.4480752395284</v>
      </c>
    </row>
    <row r="700" spans="5:7" x14ac:dyDescent="0.2">
      <c r="E700" s="87"/>
      <c r="F700" s="87"/>
      <c r="G700" s="96"/>
    </row>
    <row r="701" spans="5:7" x14ac:dyDescent="0.2">
      <c r="E701" s="100" t="s">
        <v>257</v>
      </c>
      <c r="F701" s="87"/>
      <c r="G701" s="96"/>
    </row>
    <row r="702" spans="5:7" x14ac:dyDescent="0.2">
      <c r="E702" s="101" t="s">
        <v>17</v>
      </c>
      <c r="F702" s="101">
        <v>81271.729410449989</v>
      </c>
      <c r="G702" s="102">
        <v>4227.037734560914</v>
      </c>
    </row>
    <row r="703" spans="5:7" x14ac:dyDescent="0.2">
      <c r="E703" s="101" t="s">
        <v>16</v>
      </c>
      <c r="F703" s="101">
        <v>8656.7882490000011</v>
      </c>
      <c r="G703" s="102">
        <v>4802.523819861256</v>
      </c>
    </row>
    <row r="704" spans="5:7" x14ac:dyDescent="0.2">
      <c r="E704" s="87"/>
      <c r="F704" s="87"/>
      <c r="G704" s="96"/>
    </row>
    <row r="705" spans="5:7" x14ac:dyDescent="0.2">
      <c r="E705" s="100" t="s">
        <v>258</v>
      </c>
      <c r="F705" s="87"/>
      <c r="G705" s="96"/>
    </row>
    <row r="706" spans="5:7" x14ac:dyDescent="0.2">
      <c r="E706" s="101" t="s">
        <v>17</v>
      </c>
      <c r="F706" s="101">
        <v>81271.729410449989</v>
      </c>
      <c r="G706" s="102">
        <v>4174.8263374357593</v>
      </c>
    </row>
    <row r="707" spans="5:7" x14ac:dyDescent="0.2">
      <c r="E707" s="101" t="s">
        <v>16</v>
      </c>
      <c r="F707" s="101">
        <v>8656.7882490000011</v>
      </c>
      <c r="G707" s="102">
        <v>4832.6307443051583</v>
      </c>
    </row>
    <row r="708" spans="5:7" x14ac:dyDescent="0.2">
      <c r="E708" s="87"/>
      <c r="F708" s="87"/>
      <c r="G708" s="96"/>
    </row>
    <row r="709" spans="5:7" x14ac:dyDescent="0.2">
      <c r="E709" s="100" t="s">
        <v>259</v>
      </c>
      <c r="F709" s="87"/>
      <c r="G709" s="96"/>
    </row>
    <row r="710" spans="5:7" x14ac:dyDescent="0.2">
      <c r="E710" s="101" t="s">
        <v>17</v>
      </c>
      <c r="F710" s="101">
        <v>81271.729410449989</v>
      </c>
      <c r="G710" s="102">
        <v>4202.2579842636678</v>
      </c>
    </row>
    <row r="711" spans="5:7" x14ac:dyDescent="0.2">
      <c r="E711" s="101" t="s">
        <v>16</v>
      </c>
      <c r="F711" s="101">
        <v>8656.7882490000011</v>
      </c>
      <c r="G711" s="102">
        <v>4724.6572215118558</v>
      </c>
    </row>
    <row r="712" spans="5:7" x14ac:dyDescent="0.2">
      <c r="E712" s="87"/>
      <c r="F712" s="87"/>
      <c r="G712" s="96"/>
    </row>
    <row r="713" spans="5:7" x14ac:dyDescent="0.2">
      <c r="E713" s="100" t="s">
        <v>260</v>
      </c>
      <c r="F713" s="87"/>
      <c r="G713" s="96"/>
    </row>
    <row r="714" spans="5:7" x14ac:dyDescent="0.2">
      <c r="E714" s="101" t="s">
        <v>17</v>
      </c>
      <c r="F714" s="101">
        <v>81271.729410449989</v>
      </c>
      <c r="G714" s="102">
        <v>4062.7688769246301</v>
      </c>
    </row>
    <row r="715" spans="5:7" x14ac:dyDescent="0.2">
      <c r="E715" s="101" t="s">
        <v>16</v>
      </c>
      <c r="F715" s="101">
        <v>8656.7882490000011</v>
      </c>
      <c r="G715" s="102">
        <v>4526.5918974360329</v>
      </c>
    </row>
    <row r="716" spans="5:7" x14ac:dyDescent="0.2">
      <c r="E716" s="87"/>
      <c r="F716" s="87"/>
      <c r="G716" s="96"/>
    </row>
    <row r="717" spans="5:7" x14ac:dyDescent="0.2">
      <c r="E717" s="100" t="s">
        <v>261</v>
      </c>
      <c r="F717" s="87"/>
      <c r="G717" s="96"/>
    </row>
    <row r="718" spans="5:7" x14ac:dyDescent="0.2">
      <c r="E718" s="101" t="s">
        <v>17</v>
      </c>
      <c r="F718" s="101">
        <v>81271.729410449989</v>
      </c>
      <c r="G718" s="102">
        <v>3982.4252706640482</v>
      </c>
    </row>
    <row r="719" spans="5:7" x14ac:dyDescent="0.2">
      <c r="E719" s="101" t="s">
        <v>16</v>
      </c>
      <c r="F719" s="101">
        <v>8656.7882490000011</v>
      </c>
      <c r="G719" s="102">
        <v>4508.5846524956414</v>
      </c>
    </row>
    <row r="720" spans="5:7" x14ac:dyDescent="0.2">
      <c r="E720" s="87"/>
      <c r="F720" s="87"/>
      <c r="G720" s="96"/>
    </row>
    <row r="721" spans="5:7" x14ac:dyDescent="0.2">
      <c r="E721" s="100" t="s">
        <v>262</v>
      </c>
      <c r="F721" s="87"/>
      <c r="G721" s="96"/>
    </row>
    <row r="722" spans="5:7" x14ac:dyDescent="0.2">
      <c r="E722" s="101" t="s">
        <v>17</v>
      </c>
      <c r="F722" s="101">
        <v>80974.262575690009</v>
      </c>
      <c r="G722" s="102">
        <v>3840.6602877504001</v>
      </c>
    </row>
    <row r="723" spans="5:7" x14ac:dyDescent="0.2">
      <c r="E723" s="101" t="s">
        <v>16</v>
      </c>
      <c r="F723" s="101">
        <v>8656.7882490000011</v>
      </c>
      <c r="G723" s="102">
        <v>4473.4535012877832</v>
      </c>
    </row>
    <row r="724" spans="5:7" x14ac:dyDescent="0.2">
      <c r="E724" s="87"/>
      <c r="F724" s="87"/>
      <c r="G724" s="96"/>
    </row>
    <row r="725" spans="5:7" x14ac:dyDescent="0.2">
      <c r="E725" s="100" t="s">
        <v>263</v>
      </c>
      <c r="F725" s="87"/>
      <c r="G725" s="96"/>
    </row>
    <row r="726" spans="5:7" x14ac:dyDescent="0.2">
      <c r="E726" s="101" t="s">
        <v>17</v>
      </c>
      <c r="F726" s="101">
        <v>80974.262575690009</v>
      </c>
      <c r="G726" s="102">
        <v>3710.3386900758328</v>
      </c>
    </row>
    <row r="727" spans="5:7" x14ac:dyDescent="0.2">
      <c r="E727" s="101" t="s">
        <v>16</v>
      </c>
      <c r="F727" s="101">
        <v>8656.7882490000011</v>
      </c>
      <c r="G727" s="102">
        <v>4502.2272803413398</v>
      </c>
    </row>
    <row r="728" spans="5:7" x14ac:dyDescent="0.2">
      <c r="E728" s="87"/>
      <c r="F728" s="87"/>
      <c r="G728" s="96"/>
    </row>
    <row r="729" spans="5:7" x14ac:dyDescent="0.2">
      <c r="E729" s="100" t="s">
        <v>264</v>
      </c>
      <c r="F729" s="87"/>
      <c r="G729" s="96"/>
    </row>
    <row r="730" spans="5:7" x14ac:dyDescent="0.2">
      <c r="E730" s="101" t="s">
        <v>17</v>
      </c>
      <c r="F730" s="101">
        <v>80974.262575690009</v>
      </c>
      <c r="G730" s="102">
        <v>3841.1388456422219</v>
      </c>
    </row>
    <row r="731" spans="5:7" x14ac:dyDescent="0.2">
      <c r="E731" s="101" t="s">
        <v>16</v>
      </c>
      <c r="F731" s="101">
        <v>8656.7882490000011</v>
      </c>
      <c r="G731" s="102">
        <v>4224.3846316137979</v>
      </c>
    </row>
    <row r="732" spans="5:7" x14ac:dyDescent="0.2">
      <c r="E732" s="87"/>
      <c r="F732" s="87"/>
      <c r="G732" s="96"/>
    </row>
    <row r="733" spans="5:7" x14ac:dyDescent="0.2">
      <c r="E733" s="100" t="s">
        <v>265</v>
      </c>
      <c r="F733" s="87"/>
      <c r="G733" s="96"/>
    </row>
    <row r="734" spans="5:7" x14ac:dyDescent="0.2">
      <c r="E734" s="101" t="s">
        <v>17</v>
      </c>
      <c r="F734" s="101">
        <v>80974.262575690009</v>
      </c>
      <c r="G734" s="102">
        <v>3786.2957873423329</v>
      </c>
    </row>
    <row r="735" spans="5:7" x14ac:dyDescent="0.2">
      <c r="E735" s="101" t="s">
        <v>16</v>
      </c>
      <c r="F735" s="101">
        <v>8656.7882490000011</v>
      </c>
      <c r="G735" s="102">
        <v>4256.697565407193</v>
      </c>
    </row>
    <row r="736" spans="5:7" x14ac:dyDescent="0.2">
      <c r="E736" s="87"/>
      <c r="F736" s="87"/>
      <c r="G736" s="96"/>
    </row>
    <row r="737" spans="5:7" x14ac:dyDescent="0.2">
      <c r="E737" s="100" t="s">
        <v>266</v>
      </c>
      <c r="F737" s="87"/>
      <c r="G737" s="96"/>
    </row>
    <row r="738" spans="5:7" x14ac:dyDescent="0.2">
      <c r="E738" s="101" t="s">
        <v>17</v>
      </c>
      <c r="F738" s="101">
        <v>80974.262575690009</v>
      </c>
      <c r="G738" s="102">
        <v>3846.9455100115251</v>
      </c>
    </row>
    <row r="739" spans="5:7" x14ac:dyDescent="0.2">
      <c r="E739" s="101" t="s">
        <v>16</v>
      </c>
      <c r="F739" s="101">
        <v>8656.7882490000011</v>
      </c>
      <c r="G739" s="102">
        <v>4315.5463253560129</v>
      </c>
    </row>
    <row r="740" spans="5:7" x14ac:dyDescent="0.2">
      <c r="E740" s="87"/>
      <c r="F740" s="87"/>
      <c r="G740" s="96"/>
    </row>
    <row r="741" spans="5:7" x14ac:dyDescent="0.2">
      <c r="E741" s="100" t="s">
        <v>267</v>
      </c>
      <c r="F741" s="87"/>
      <c r="G741" s="96"/>
    </row>
    <row r="742" spans="5:7" x14ac:dyDescent="0.2">
      <c r="E742" s="101" t="s">
        <v>17</v>
      </c>
      <c r="F742" s="101">
        <v>80974.262575690009</v>
      </c>
      <c r="G742" s="102">
        <v>3787.0755694909371</v>
      </c>
    </row>
    <row r="743" spans="5:7" x14ac:dyDescent="0.2">
      <c r="E743" s="101" t="s">
        <v>16</v>
      </c>
      <c r="F743" s="101">
        <v>8656.7882490000011</v>
      </c>
      <c r="G743" s="102">
        <v>4221.7345290271314</v>
      </c>
    </row>
    <row r="744" spans="5:7" x14ac:dyDescent="0.2">
      <c r="E744" s="87"/>
      <c r="F744" s="87"/>
      <c r="G744" s="96"/>
    </row>
    <row r="745" spans="5:7" x14ac:dyDescent="0.2">
      <c r="E745" s="100" t="s">
        <v>268</v>
      </c>
      <c r="F745" s="87"/>
      <c r="G745" s="96"/>
    </row>
    <row r="746" spans="5:7" x14ac:dyDescent="0.2">
      <c r="E746" s="101" t="s">
        <v>17</v>
      </c>
      <c r="F746" s="101">
        <v>80974.262575690009</v>
      </c>
      <c r="G746" s="102">
        <v>3791.0562642391578</v>
      </c>
    </row>
    <row r="747" spans="5:7" x14ac:dyDescent="0.2">
      <c r="E747" s="101" t="s">
        <v>16</v>
      </c>
      <c r="F747" s="101">
        <v>8656.7882490000011</v>
      </c>
      <c r="G747" s="102">
        <v>4212.6485372167463</v>
      </c>
    </row>
    <row r="748" spans="5:7" x14ac:dyDescent="0.2">
      <c r="E748" s="87"/>
      <c r="F748" s="87"/>
      <c r="G748" s="96"/>
    </row>
    <row r="749" spans="5:7" x14ac:dyDescent="0.2">
      <c r="E749" s="100" t="s">
        <v>269</v>
      </c>
      <c r="F749" s="87"/>
      <c r="G749" s="96"/>
    </row>
    <row r="750" spans="5:7" x14ac:dyDescent="0.2">
      <c r="E750" s="101" t="s">
        <v>17</v>
      </c>
      <c r="F750" s="101">
        <v>80974.262575690009</v>
      </c>
      <c r="G750" s="102">
        <v>3774.4808326899142</v>
      </c>
    </row>
    <row r="751" spans="5:7" x14ac:dyDescent="0.2">
      <c r="E751" s="101" t="s">
        <v>16</v>
      </c>
      <c r="F751" s="101">
        <v>8656.7882490000011</v>
      </c>
      <c r="G751" s="102">
        <v>4202.6022478858986</v>
      </c>
    </row>
    <row r="752" spans="5:7" x14ac:dyDescent="0.2">
      <c r="E752" s="87"/>
      <c r="F752" s="87"/>
      <c r="G752" s="96"/>
    </row>
    <row r="753" spans="5:7" x14ac:dyDescent="0.2">
      <c r="E753" s="100" t="s">
        <v>270</v>
      </c>
      <c r="F753" s="87"/>
      <c r="G753" s="96"/>
    </row>
    <row r="754" spans="5:7" x14ac:dyDescent="0.2">
      <c r="E754" s="101" t="s">
        <v>17</v>
      </c>
      <c r="F754" s="101">
        <v>80974.262575690009</v>
      </c>
      <c r="G754" s="102">
        <v>3688.448917673747</v>
      </c>
    </row>
    <row r="755" spans="5:7" x14ac:dyDescent="0.2">
      <c r="E755" s="101" t="s">
        <v>16</v>
      </c>
      <c r="F755" s="101">
        <v>8656.7882490000011</v>
      </c>
      <c r="G755" s="102">
        <v>4180.9182918403912</v>
      </c>
    </row>
    <row r="756" spans="5:7" x14ac:dyDescent="0.2">
      <c r="E756" s="87"/>
      <c r="F756" s="87"/>
      <c r="G756" s="96"/>
    </row>
    <row r="757" spans="5:7" x14ac:dyDescent="0.2">
      <c r="E757" s="100" t="s">
        <v>271</v>
      </c>
      <c r="F757" s="87"/>
      <c r="G757" s="96"/>
    </row>
    <row r="758" spans="5:7" x14ac:dyDescent="0.2">
      <c r="E758" s="101" t="s">
        <v>17</v>
      </c>
      <c r="F758" s="101">
        <v>80974.262575690009</v>
      </c>
      <c r="G758" s="102">
        <v>3774.091346486925</v>
      </c>
    </row>
    <row r="759" spans="5:7" x14ac:dyDescent="0.2">
      <c r="E759" s="101" t="s">
        <v>16</v>
      </c>
      <c r="F759" s="101">
        <v>8656.7882490000011</v>
      </c>
      <c r="G759" s="102">
        <v>4230.320245044607</v>
      </c>
    </row>
    <row r="760" spans="5:7" x14ac:dyDescent="0.2">
      <c r="E760" s="87"/>
      <c r="F760" s="87"/>
      <c r="G760" s="96"/>
    </row>
    <row r="761" spans="5:7" x14ac:dyDescent="0.2">
      <c r="E761" s="100" t="s">
        <v>272</v>
      </c>
      <c r="F761" s="87"/>
      <c r="G761" s="96"/>
    </row>
    <row r="762" spans="5:7" x14ac:dyDescent="0.2">
      <c r="E762" s="101" t="s">
        <v>17</v>
      </c>
      <c r="F762" s="101">
        <v>80974.262575690009</v>
      </c>
      <c r="G762" s="102">
        <v>3799.471919348649</v>
      </c>
    </row>
    <row r="763" spans="5:7" x14ac:dyDescent="0.2">
      <c r="E763" s="101" t="s">
        <v>16</v>
      </c>
      <c r="F763" s="101">
        <v>8656.7882490000011</v>
      </c>
      <c r="G763" s="102">
        <v>4304.7043906171994</v>
      </c>
    </row>
    <row r="764" spans="5:7" x14ac:dyDescent="0.2">
      <c r="E764" s="87"/>
      <c r="F764" s="87"/>
      <c r="G764" s="96"/>
    </row>
    <row r="765" spans="5:7" x14ac:dyDescent="0.2">
      <c r="E765" s="100" t="s">
        <v>273</v>
      </c>
      <c r="F765" s="87"/>
      <c r="G765" s="96"/>
    </row>
    <row r="766" spans="5:7" x14ac:dyDescent="0.2">
      <c r="E766" s="101" t="s">
        <v>17</v>
      </c>
      <c r="F766" s="101">
        <v>80974.262575690009</v>
      </c>
      <c r="G766" s="102">
        <v>3765.3485553566279</v>
      </c>
    </row>
    <row r="767" spans="5:7" x14ac:dyDescent="0.2">
      <c r="E767" s="101" t="s">
        <v>16</v>
      </c>
      <c r="F767" s="101">
        <v>8656.7882490000011</v>
      </c>
      <c r="G767" s="102">
        <v>4353.3104387098028</v>
      </c>
    </row>
    <row r="768" spans="5:7" x14ac:dyDescent="0.2">
      <c r="E768" s="87"/>
      <c r="F768" s="87"/>
      <c r="G768" s="96"/>
    </row>
    <row r="769" spans="5:7" x14ac:dyDescent="0.2">
      <c r="E769" s="100" t="s">
        <v>274</v>
      </c>
      <c r="F769" s="87"/>
      <c r="G769" s="96"/>
    </row>
    <row r="770" spans="5:7" x14ac:dyDescent="0.2">
      <c r="E770" s="101" t="s">
        <v>17</v>
      </c>
      <c r="F770" s="101">
        <v>80974.262575690009</v>
      </c>
      <c r="G770" s="102">
        <v>3892.3825979706221</v>
      </c>
    </row>
    <row r="771" spans="5:7" x14ac:dyDescent="0.2">
      <c r="E771" s="101" t="s">
        <v>16</v>
      </c>
      <c r="F771" s="101">
        <v>8656.7882490000011</v>
      </c>
      <c r="G771" s="102">
        <v>4483.8031244788754</v>
      </c>
    </row>
    <row r="772" spans="5:7" x14ac:dyDescent="0.2">
      <c r="E772" s="87"/>
      <c r="F772" s="87"/>
      <c r="G772" s="96"/>
    </row>
    <row r="773" spans="5:7" x14ac:dyDescent="0.2">
      <c r="E773" s="100" t="s">
        <v>275</v>
      </c>
      <c r="F773" s="87"/>
      <c r="G773" s="96"/>
    </row>
    <row r="774" spans="5:7" x14ac:dyDescent="0.2">
      <c r="E774" s="101" t="s">
        <v>17</v>
      </c>
      <c r="F774" s="101">
        <v>80974.262575690009</v>
      </c>
      <c r="G774" s="102">
        <v>3908.9475028657312</v>
      </c>
    </row>
    <row r="775" spans="5:7" x14ac:dyDescent="0.2">
      <c r="E775" s="101" t="s">
        <v>16</v>
      </c>
      <c r="F775" s="101">
        <v>8656.7882490000011</v>
      </c>
      <c r="G775" s="102">
        <v>4517.6434619909242</v>
      </c>
    </row>
    <row r="776" spans="5:7" x14ac:dyDescent="0.2">
      <c r="E776" s="87"/>
      <c r="F776" s="87"/>
      <c r="G776" s="96"/>
    </row>
    <row r="777" spans="5:7" x14ac:dyDescent="0.2">
      <c r="E777" s="100" t="s">
        <v>276</v>
      </c>
      <c r="F777" s="87"/>
      <c r="G777" s="96"/>
    </row>
    <row r="778" spans="5:7" x14ac:dyDescent="0.2">
      <c r="E778" s="101" t="s">
        <v>17</v>
      </c>
      <c r="F778" s="101">
        <v>80974.262575690009</v>
      </c>
      <c r="G778" s="102">
        <v>3927.3861521968411</v>
      </c>
    </row>
    <row r="779" spans="5:7" x14ac:dyDescent="0.2">
      <c r="E779" s="101" t="s">
        <v>16</v>
      </c>
      <c r="F779" s="101">
        <v>8656.7882490000011</v>
      </c>
      <c r="G779" s="102">
        <v>4553.928043665077</v>
      </c>
    </row>
    <row r="780" spans="5:7" x14ac:dyDescent="0.2">
      <c r="E780" s="87"/>
      <c r="F780" s="87"/>
      <c r="G780" s="96"/>
    </row>
    <row r="781" spans="5:7" x14ac:dyDescent="0.2">
      <c r="E781" s="100" t="s">
        <v>277</v>
      </c>
      <c r="F781" s="87"/>
      <c r="G781" s="96"/>
    </row>
    <row r="782" spans="5:7" x14ac:dyDescent="0.2">
      <c r="E782" s="101" t="s">
        <v>17</v>
      </c>
      <c r="F782" s="101">
        <v>80974.262575690009</v>
      </c>
      <c r="G782" s="102">
        <v>3893.6814251423361</v>
      </c>
    </row>
    <row r="783" spans="5:7" x14ac:dyDescent="0.2">
      <c r="E783" s="101" t="s">
        <v>16</v>
      </c>
      <c r="F783" s="101">
        <v>8656.7882490000011</v>
      </c>
      <c r="G783" s="102">
        <v>4532.2802729944506</v>
      </c>
    </row>
    <row r="784" spans="5:7" x14ac:dyDescent="0.2">
      <c r="E784" s="87"/>
      <c r="F784" s="87"/>
      <c r="G784" s="96"/>
    </row>
    <row r="785" spans="5:7" x14ac:dyDescent="0.2">
      <c r="E785" s="100" t="s">
        <v>278</v>
      </c>
      <c r="F785" s="87"/>
      <c r="G785" s="96"/>
    </row>
    <row r="786" spans="5:7" x14ac:dyDescent="0.2">
      <c r="E786" s="101" t="s">
        <v>17</v>
      </c>
      <c r="F786" s="101">
        <v>80974.262575690009</v>
      </c>
      <c r="G786" s="102">
        <v>3954.653425376579</v>
      </c>
    </row>
    <row r="787" spans="5:7" x14ac:dyDescent="0.2">
      <c r="E787" s="101" t="s">
        <v>16</v>
      </c>
      <c r="F787" s="101">
        <v>8656.7882490000011</v>
      </c>
      <c r="G787" s="102">
        <v>4614.0654531126438</v>
      </c>
    </row>
    <row r="788" spans="5:7" x14ac:dyDescent="0.2">
      <c r="E788" s="87"/>
      <c r="F788" s="87"/>
      <c r="G788" s="96"/>
    </row>
    <row r="789" spans="5:7" x14ac:dyDescent="0.2">
      <c r="E789" s="100" t="s">
        <v>279</v>
      </c>
      <c r="F789" s="87"/>
      <c r="G789" s="96"/>
    </row>
    <row r="790" spans="5:7" x14ac:dyDescent="0.2">
      <c r="E790" s="101" t="s">
        <v>17</v>
      </c>
      <c r="F790" s="101">
        <v>80974.262575690009</v>
      </c>
      <c r="G790" s="102">
        <v>3996.0272248396282</v>
      </c>
    </row>
    <row r="791" spans="5:7" x14ac:dyDescent="0.2">
      <c r="E791" s="101" t="s">
        <v>16</v>
      </c>
      <c r="F791" s="101">
        <v>8656.7882490000011</v>
      </c>
      <c r="G791" s="102">
        <v>4654.2394431791899</v>
      </c>
    </row>
    <row r="792" spans="5:7" x14ac:dyDescent="0.2">
      <c r="E792" s="87"/>
      <c r="F792" s="87"/>
      <c r="G792" s="96"/>
    </row>
    <row r="793" spans="5:7" x14ac:dyDescent="0.2">
      <c r="E793" s="100" t="s">
        <v>280</v>
      </c>
      <c r="F793" s="87"/>
      <c r="G793" s="96"/>
    </row>
    <row r="794" spans="5:7" x14ac:dyDescent="0.2">
      <c r="E794" s="101" t="s">
        <v>17</v>
      </c>
      <c r="F794" s="101">
        <v>80974.262575690009</v>
      </c>
      <c r="G794" s="102">
        <v>4047.980311708191</v>
      </c>
    </row>
    <row r="795" spans="5:7" x14ac:dyDescent="0.2">
      <c r="E795" s="101" t="s">
        <v>16</v>
      </c>
      <c r="F795" s="101">
        <v>8656.7882490000011</v>
      </c>
      <c r="G795" s="102">
        <v>4443.2780150809504</v>
      </c>
    </row>
    <row r="796" spans="5:7" x14ac:dyDescent="0.2">
      <c r="E796" s="87"/>
      <c r="F796" s="87"/>
      <c r="G796" s="96"/>
    </row>
    <row r="797" spans="5:7" x14ac:dyDescent="0.2">
      <c r="E797" s="100" t="s">
        <v>281</v>
      </c>
      <c r="F797" s="87"/>
      <c r="G797" s="96"/>
    </row>
    <row r="798" spans="5:7" x14ac:dyDescent="0.2">
      <c r="E798" s="101" t="s">
        <v>17</v>
      </c>
      <c r="F798" s="101">
        <v>80974.262575690009</v>
      </c>
      <c r="G798" s="102">
        <v>4110.5847530759593</v>
      </c>
    </row>
    <row r="799" spans="5:7" x14ac:dyDescent="0.2">
      <c r="E799" s="101" t="s">
        <v>16</v>
      </c>
      <c r="F799" s="101">
        <v>8656.7882490000011</v>
      </c>
      <c r="G799" s="102">
        <v>4537.771793188087</v>
      </c>
    </row>
    <row r="800" spans="5:7" x14ac:dyDescent="0.2">
      <c r="E800" s="87"/>
      <c r="F800" s="87"/>
      <c r="G800" s="96"/>
    </row>
    <row r="801" spans="5:7" x14ac:dyDescent="0.2">
      <c r="E801" s="100" t="s">
        <v>282</v>
      </c>
      <c r="F801" s="87"/>
      <c r="G801" s="96"/>
    </row>
    <row r="802" spans="5:7" x14ac:dyDescent="0.2">
      <c r="E802" s="101" t="s">
        <v>17</v>
      </c>
      <c r="F802" s="101">
        <v>80974.262575690009</v>
      </c>
      <c r="G802" s="102">
        <v>4030.331971179819</v>
      </c>
    </row>
    <row r="803" spans="5:7" x14ac:dyDescent="0.2">
      <c r="E803" s="101" t="s">
        <v>16</v>
      </c>
      <c r="F803" s="101">
        <v>8656.7882490000011</v>
      </c>
      <c r="G803" s="102">
        <v>4461.9417042742634</v>
      </c>
    </row>
    <row r="804" spans="5:7" x14ac:dyDescent="0.2">
      <c r="E804" s="87"/>
      <c r="F804" s="87"/>
      <c r="G804" s="96"/>
    </row>
    <row r="805" spans="5:7" x14ac:dyDescent="0.2">
      <c r="E805" s="100" t="s">
        <v>283</v>
      </c>
      <c r="F805" s="87"/>
      <c r="G805" s="96"/>
    </row>
    <row r="806" spans="5:7" x14ac:dyDescent="0.2">
      <c r="E806" s="101" t="s">
        <v>17</v>
      </c>
      <c r="F806" s="101">
        <v>80974.262575690009</v>
      </c>
      <c r="G806" s="102">
        <v>4009.7296895526861</v>
      </c>
    </row>
    <row r="807" spans="5:7" x14ac:dyDescent="0.2">
      <c r="E807" s="101" t="s">
        <v>16</v>
      </c>
      <c r="F807" s="101">
        <v>8656.7882490000011</v>
      </c>
      <c r="G807" s="102">
        <v>4512.6919522482613</v>
      </c>
    </row>
    <row r="808" spans="5:7" x14ac:dyDescent="0.2">
      <c r="E808" s="87"/>
      <c r="F808" s="87"/>
      <c r="G808" s="96"/>
    </row>
    <row r="809" spans="5:7" x14ac:dyDescent="0.2">
      <c r="E809" s="100" t="s">
        <v>284</v>
      </c>
      <c r="F809" s="87"/>
      <c r="G809" s="96"/>
    </row>
    <row r="810" spans="5:7" x14ac:dyDescent="0.2">
      <c r="E810" s="101" t="s">
        <v>17</v>
      </c>
      <c r="F810" s="101">
        <v>80974.262575690009</v>
      </c>
      <c r="G810" s="102">
        <v>4038.2844535073768</v>
      </c>
    </row>
    <row r="811" spans="5:7" x14ac:dyDescent="0.2">
      <c r="E811" s="101" t="s">
        <v>16</v>
      </c>
      <c r="F811" s="101">
        <v>8656.7882490000011</v>
      </c>
      <c r="G811" s="102">
        <v>4410.6716161659142</v>
      </c>
    </row>
    <row r="812" spans="5:7" x14ac:dyDescent="0.2">
      <c r="E812" s="87"/>
      <c r="F812" s="87"/>
      <c r="G812" s="96"/>
    </row>
    <row r="813" spans="5:7" x14ac:dyDescent="0.2">
      <c r="E813" s="100" t="s">
        <v>285</v>
      </c>
      <c r="F813" s="87"/>
      <c r="G813" s="96"/>
    </row>
    <row r="814" spans="5:7" x14ac:dyDescent="0.2">
      <c r="E814" s="101" t="s">
        <v>17</v>
      </c>
      <c r="F814" s="101">
        <v>80974.262575690009</v>
      </c>
      <c r="G814" s="102">
        <v>4003.144862520031</v>
      </c>
    </row>
    <row r="815" spans="5:7" x14ac:dyDescent="0.2">
      <c r="E815" s="101" t="s">
        <v>16</v>
      </c>
      <c r="F815" s="101">
        <v>8656.7882490000011</v>
      </c>
      <c r="G815" s="102">
        <v>4321.7169705877814</v>
      </c>
    </row>
    <row r="816" spans="5:7" x14ac:dyDescent="0.2">
      <c r="E816" s="87"/>
      <c r="F816" s="87"/>
      <c r="G816" s="96"/>
    </row>
    <row r="817" spans="5:7" x14ac:dyDescent="0.2">
      <c r="E817" s="100" t="s">
        <v>286</v>
      </c>
      <c r="F817" s="87"/>
      <c r="G817" s="96"/>
    </row>
    <row r="818" spans="5:7" x14ac:dyDescent="0.2">
      <c r="E818" s="101" t="s">
        <v>17</v>
      </c>
      <c r="F818" s="101">
        <v>80974.262575690009</v>
      </c>
      <c r="G818" s="102">
        <v>3999.2621466295259</v>
      </c>
    </row>
    <row r="819" spans="5:7" x14ac:dyDescent="0.2">
      <c r="E819" s="101" t="s">
        <v>16</v>
      </c>
      <c r="F819" s="101">
        <v>8656.7882490000011</v>
      </c>
      <c r="G819" s="102">
        <v>4342.8271547081458</v>
      </c>
    </row>
    <row r="820" spans="5:7" x14ac:dyDescent="0.2">
      <c r="E820" s="87"/>
      <c r="F820" s="87"/>
      <c r="G820" s="96"/>
    </row>
    <row r="821" spans="5:7" x14ac:dyDescent="0.2">
      <c r="E821" s="100" t="s">
        <v>287</v>
      </c>
      <c r="F821" s="87"/>
      <c r="G821" s="96"/>
    </row>
    <row r="822" spans="5:7" x14ac:dyDescent="0.2">
      <c r="E822" s="101" t="s">
        <v>17</v>
      </c>
      <c r="F822" s="101">
        <v>80974.262575690009</v>
      </c>
      <c r="G822" s="102">
        <v>4090.0237683227401</v>
      </c>
    </row>
    <row r="823" spans="5:7" x14ac:dyDescent="0.2">
      <c r="E823" s="101" t="s">
        <v>16</v>
      </c>
      <c r="F823" s="101">
        <v>8656.7882490000011</v>
      </c>
      <c r="G823" s="102">
        <v>4374.8499129594338</v>
      </c>
    </row>
    <row r="824" spans="5:7" x14ac:dyDescent="0.2">
      <c r="E824" s="87"/>
      <c r="F824" s="87"/>
      <c r="G824" s="96"/>
    </row>
    <row r="825" spans="5:7" x14ac:dyDescent="0.2">
      <c r="E825" s="100" t="s">
        <v>288</v>
      </c>
      <c r="F825" s="87"/>
      <c r="G825" s="96"/>
    </row>
    <row r="826" spans="5:7" x14ac:dyDescent="0.2">
      <c r="E826" s="101" t="s">
        <v>17</v>
      </c>
      <c r="F826" s="101">
        <v>80974.262575690009</v>
      </c>
      <c r="G826" s="102">
        <v>4034.9086365005969</v>
      </c>
    </row>
    <row r="827" spans="5:7" x14ac:dyDescent="0.2">
      <c r="E827" s="101" t="s">
        <v>16</v>
      </c>
      <c r="F827" s="101">
        <v>8656.7882490000011</v>
      </c>
      <c r="G827" s="102">
        <v>4347.1486234020467</v>
      </c>
    </row>
    <row r="828" spans="5:7" x14ac:dyDescent="0.2">
      <c r="E828" s="87"/>
      <c r="F828" s="87"/>
      <c r="G828" s="96"/>
    </row>
    <row r="829" spans="5:7" x14ac:dyDescent="0.2">
      <c r="E829" s="100" t="s">
        <v>289</v>
      </c>
      <c r="F829" s="87"/>
      <c r="G829" s="96"/>
    </row>
    <row r="830" spans="5:7" x14ac:dyDescent="0.2">
      <c r="E830" s="101" t="s">
        <v>17</v>
      </c>
      <c r="F830" s="101">
        <v>80974.262575690009</v>
      </c>
      <c r="G830" s="102">
        <v>4203.0152543208578</v>
      </c>
    </row>
    <row r="831" spans="5:7" x14ac:dyDescent="0.2">
      <c r="E831" s="101" t="s">
        <v>16</v>
      </c>
      <c r="F831" s="101">
        <v>8656.7882490000011</v>
      </c>
      <c r="G831" s="102">
        <v>4392.6054184975465</v>
      </c>
    </row>
    <row r="832" spans="5:7" x14ac:dyDescent="0.2">
      <c r="E832" s="87"/>
      <c r="F832" s="87"/>
      <c r="G832" s="96"/>
    </row>
    <row r="833" spans="5:7" x14ac:dyDescent="0.2">
      <c r="E833" s="100" t="s">
        <v>290</v>
      </c>
      <c r="F833" s="87"/>
      <c r="G833" s="96"/>
    </row>
    <row r="834" spans="5:7" x14ac:dyDescent="0.2">
      <c r="E834" s="101" t="s">
        <v>17</v>
      </c>
      <c r="F834" s="101">
        <v>80974.262575690009</v>
      </c>
      <c r="G834" s="102">
        <v>4082.251858600725</v>
      </c>
    </row>
    <row r="835" spans="5:7" x14ac:dyDescent="0.2">
      <c r="E835" s="101" t="s">
        <v>16</v>
      </c>
      <c r="F835" s="101">
        <v>8656.7882490000011</v>
      </c>
      <c r="G835" s="102">
        <v>4433.9290300435596</v>
      </c>
    </row>
    <row r="836" spans="5:7" x14ac:dyDescent="0.2">
      <c r="E836" s="87"/>
      <c r="F836" s="87"/>
      <c r="G836" s="96"/>
    </row>
    <row r="837" spans="5:7" x14ac:dyDescent="0.2">
      <c r="E837" s="100" t="s">
        <v>291</v>
      </c>
      <c r="F837" s="87"/>
      <c r="G837" s="96"/>
    </row>
    <row r="838" spans="5:7" x14ac:dyDescent="0.2">
      <c r="E838" s="101" t="s">
        <v>17</v>
      </c>
      <c r="F838" s="101">
        <v>80974.262575690009</v>
      </c>
      <c r="G838" s="102">
        <v>4082.1595479413891</v>
      </c>
    </row>
    <row r="839" spans="5:7" x14ac:dyDescent="0.2">
      <c r="E839" s="101" t="s">
        <v>16</v>
      </c>
      <c r="F839" s="101">
        <v>8656.7882490000011</v>
      </c>
      <c r="G839" s="102">
        <v>4386.2725450539901</v>
      </c>
    </row>
    <row r="840" spans="5:7" x14ac:dyDescent="0.2">
      <c r="E840" s="87"/>
      <c r="F840" s="87"/>
      <c r="G840" s="96"/>
    </row>
    <row r="841" spans="5:7" x14ac:dyDescent="0.2">
      <c r="E841" s="100" t="s">
        <v>292</v>
      </c>
      <c r="F841" s="87"/>
      <c r="G841" s="96"/>
    </row>
    <row r="842" spans="5:7" x14ac:dyDescent="0.2">
      <c r="E842" s="101" t="s">
        <v>17</v>
      </c>
      <c r="F842" s="101">
        <v>80974.262575690009</v>
      </c>
      <c r="G842" s="102">
        <v>4093.1558527991679</v>
      </c>
    </row>
    <row r="843" spans="5:7" x14ac:dyDescent="0.2">
      <c r="E843" s="101" t="s">
        <v>16</v>
      </c>
      <c r="F843" s="101">
        <v>8656.7882490000011</v>
      </c>
      <c r="G843" s="102">
        <v>4515.6204571450153</v>
      </c>
    </row>
    <row r="844" spans="5:7" x14ac:dyDescent="0.2">
      <c r="E844" s="87"/>
      <c r="F844" s="87"/>
      <c r="G844" s="96"/>
    </row>
    <row r="845" spans="5:7" x14ac:dyDescent="0.2">
      <c r="E845" s="100" t="s">
        <v>293</v>
      </c>
      <c r="F845" s="87"/>
      <c r="G845" s="96"/>
    </row>
    <row r="846" spans="5:7" x14ac:dyDescent="0.2">
      <c r="E846" s="101" t="s">
        <v>17</v>
      </c>
      <c r="F846" s="101">
        <v>80974.262575690009</v>
      </c>
      <c r="G846" s="102">
        <v>4126.816044009257</v>
      </c>
    </row>
    <row r="847" spans="5:7" x14ac:dyDescent="0.2">
      <c r="E847" s="101" t="s">
        <v>16</v>
      </c>
      <c r="F847" s="101">
        <v>8656.7882490000011</v>
      </c>
      <c r="G847" s="102">
        <v>4450.8324479143221</v>
      </c>
    </row>
    <row r="848" spans="5:7" x14ac:dyDescent="0.2">
      <c r="E848" s="87"/>
      <c r="F848" s="87"/>
      <c r="G848" s="96"/>
    </row>
    <row r="849" spans="5:7" x14ac:dyDescent="0.2">
      <c r="E849" s="100" t="s">
        <v>294</v>
      </c>
      <c r="F849" s="87"/>
      <c r="G849" s="96"/>
    </row>
    <row r="850" spans="5:7" x14ac:dyDescent="0.2">
      <c r="E850" s="101" t="s">
        <v>17</v>
      </c>
      <c r="F850" s="101">
        <v>80974.262575690009</v>
      </c>
      <c r="G850" s="102">
        <v>4050.586063477876</v>
      </c>
    </row>
    <row r="851" spans="5:7" x14ac:dyDescent="0.2">
      <c r="E851" s="101" t="s">
        <v>16</v>
      </c>
      <c r="F851" s="101">
        <v>8656.7882490000011</v>
      </c>
      <c r="G851" s="102">
        <v>4351.6280784814917</v>
      </c>
    </row>
    <row r="852" spans="5:7" x14ac:dyDescent="0.2">
      <c r="E852" s="87"/>
      <c r="F852" s="87"/>
      <c r="G852" s="96"/>
    </row>
    <row r="853" spans="5:7" x14ac:dyDescent="0.2">
      <c r="E853" s="100" t="s">
        <v>295</v>
      </c>
      <c r="F853" s="87"/>
      <c r="G853" s="96"/>
    </row>
    <row r="854" spans="5:7" x14ac:dyDescent="0.2">
      <c r="E854" s="101" t="s">
        <v>17</v>
      </c>
      <c r="F854" s="101">
        <v>80974.262575690009</v>
      </c>
      <c r="G854" s="102">
        <v>4017.7040349311401</v>
      </c>
    </row>
    <row r="855" spans="5:7" x14ac:dyDescent="0.2">
      <c r="E855" s="101" t="s">
        <v>16</v>
      </c>
      <c r="F855" s="101">
        <v>8656.7882490000011</v>
      </c>
      <c r="G855" s="102">
        <v>4266.9446056575343</v>
      </c>
    </row>
    <row r="856" spans="5:7" x14ac:dyDescent="0.2">
      <c r="E856" s="87"/>
      <c r="F856" s="87"/>
      <c r="G856" s="96"/>
    </row>
    <row r="857" spans="5:7" x14ac:dyDescent="0.2">
      <c r="E857" s="100" t="s">
        <v>296</v>
      </c>
      <c r="F857" s="87"/>
      <c r="G857" s="96"/>
    </row>
    <row r="858" spans="5:7" x14ac:dyDescent="0.2">
      <c r="E858" s="101" t="s">
        <v>17</v>
      </c>
      <c r="F858" s="101">
        <v>80974.262575690009</v>
      </c>
      <c r="G858" s="102">
        <v>4184.3077704379966</v>
      </c>
    </row>
    <row r="859" spans="5:7" x14ac:dyDescent="0.2">
      <c r="E859" s="101" t="s">
        <v>16</v>
      </c>
      <c r="F859" s="101">
        <v>8656.7882490000011</v>
      </c>
      <c r="G859" s="102">
        <v>4322.1166545012384</v>
      </c>
    </row>
    <row r="860" spans="5:7" x14ac:dyDescent="0.2">
      <c r="E860" s="87"/>
      <c r="F860" s="87"/>
      <c r="G860" s="96"/>
    </row>
    <row r="861" spans="5:7" x14ac:dyDescent="0.2">
      <c r="E861" s="100" t="s">
        <v>297</v>
      </c>
      <c r="F861" s="87"/>
      <c r="G861" s="96"/>
    </row>
    <row r="862" spans="5:7" x14ac:dyDescent="0.2">
      <c r="E862" s="101" t="s">
        <v>17</v>
      </c>
      <c r="F862" s="101">
        <v>80974.262575690009</v>
      </c>
      <c r="G862" s="102">
        <v>4208.921517033129</v>
      </c>
    </row>
    <row r="863" spans="5:7" x14ac:dyDescent="0.2">
      <c r="E863" s="101" t="s">
        <v>16</v>
      </c>
      <c r="F863" s="101">
        <v>8656.7882490000011</v>
      </c>
      <c r="G863" s="102">
        <v>4332.6601031812252</v>
      </c>
    </row>
    <row r="864" spans="5:7" x14ac:dyDescent="0.2">
      <c r="E864" s="87"/>
      <c r="F864" s="87"/>
      <c r="G864" s="96"/>
    </row>
    <row r="865" spans="5:7" x14ac:dyDescent="0.2">
      <c r="E865" s="100" t="s">
        <v>298</v>
      </c>
      <c r="F865" s="87"/>
      <c r="G865" s="96"/>
    </row>
    <row r="866" spans="5:7" x14ac:dyDescent="0.2">
      <c r="E866" s="101" t="s">
        <v>17</v>
      </c>
      <c r="F866" s="101">
        <v>80974.262575690009</v>
      </c>
      <c r="G866" s="102">
        <v>4169.6724822200658</v>
      </c>
    </row>
    <row r="867" spans="5:7" x14ac:dyDescent="0.2">
      <c r="E867" s="101" t="s">
        <v>16</v>
      </c>
      <c r="F867" s="101">
        <v>8656.7882490000011</v>
      </c>
      <c r="G867" s="102">
        <v>4233.4288977048227</v>
      </c>
    </row>
    <row r="868" spans="5:7" x14ac:dyDescent="0.2">
      <c r="E868" s="87"/>
      <c r="F868" s="87"/>
      <c r="G868" s="96"/>
    </row>
    <row r="869" spans="5:7" x14ac:dyDescent="0.2">
      <c r="E869" s="100" t="s">
        <v>299</v>
      </c>
      <c r="F869" s="87"/>
      <c r="G869" s="96"/>
    </row>
    <row r="870" spans="5:7" x14ac:dyDescent="0.2">
      <c r="E870" s="101" t="s">
        <v>17</v>
      </c>
      <c r="F870" s="101">
        <v>80974.262575690009</v>
      </c>
      <c r="G870" s="102">
        <v>4023.8702250262791</v>
      </c>
    </row>
    <row r="871" spans="5:7" x14ac:dyDescent="0.2">
      <c r="E871" s="101" t="s">
        <v>16</v>
      </c>
      <c r="F871" s="101">
        <v>8656.7882490000011</v>
      </c>
      <c r="G871" s="102">
        <v>4188.8175245497214</v>
      </c>
    </row>
    <row r="872" spans="5:7" x14ac:dyDescent="0.2">
      <c r="E872" s="87"/>
      <c r="F872" s="87"/>
      <c r="G872" s="96"/>
    </row>
    <row r="873" spans="5:7" x14ac:dyDescent="0.2">
      <c r="E873" s="100" t="s">
        <v>300</v>
      </c>
      <c r="F873" s="87"/>
      <c r="G873" s="96"/>
    </row>
    <row r="874" spans="5:7" x14ac:dyDescent="0.2">
      <c r="E874" s="101" t="s">
        <v>17</v>
      </c>
      <c r="F874" s="101">
        <v>80974.262575690009</v>
      </c>
      <c r="G874" s="102">
        <v>3810.532193873863</v>
      </c>
    </row>
    <row r="875" spans="5:7" x14ac:dyDescent="0.2">
      <c r="E875" s="101" t="s">
        <v>16</v>
      </c>
      <c r="F875" s="101">
        <v>8656.7882490000011</v>
      </c>
      <c r="G875" s="102">
        <v>4162.2372890705792</v>
      </c>
    </row>
    <row r="876" spans="5:7" x14ac:dyDescent="0.2">
      <c r="E876" s="87"/>
      <c r="F876" s="87"/>
      <c r="G876" s="96"/>
    </row>
    <row r="877" spans="5:7" x14ac:dyDescent="0.2">
      <c r="E877" s="100" t="s">
        <v>301</v>
      </c>
      <c r="F877" s="87"/>
      <c r="G877" s="96"/>
    </row>
    <row r="878" spans="5:7" x14ac:dyDescent="0.2">
      <c r="E878" s="101" t="s">
        <v>17</v>
      </c>
      <c r="F878" s="101">
        <v>80974.262575690009</v>
      </c>
      <c r="G878" s="102">
        <v>3755.3449949580272</v>
      </c>
    </row>
    <row r="879" spans="5:7" x14ac:dyDescent="0.2">
      <c r="E879" s="101" t="s">
        <v>16</v>
      </c>
      <c r="F879" s="101">
        <v>8656.7882490000011</v>
      </c>
      <c r="G879" s="102">
        <v>4106.5735346543324</v>
      </c>
    </row>
    <row r="880" spans="5:7" x14ac:dyDescent="0.2">
      <c r="E880" s="87"/>
      <c r="F880" s="87"/>
      <c r="G880" s="96"/>
    </row>
    <row r="881" spans="5:7" x14ac:dyDescent="0.2">
      <c r="E881" s="100" t="s">
        <v>302</v>
      </c>
      <c r="F881" s="87"/>
      <c r="G881" s="96"/>
    </row>
    <row r="882" spans="5:7" x14ac:dyDescent="0.2">
      <c r="E882" s="101" t="s">
        <v>17</v>
      </c>
      <c r="F882" s="101">
        <v>80974.262575690009</v>
      </c>
      <c r="G882" s="102">
        <v>3872.2094799351398</v>
      </c>
    </row>
    <row r="883" spans="5:7" x14ac:dyDescent="0.2">
      <c r="E883" s="101" t="s">
        <v>16</v>
      </c>
      <c r="F883" s="101">
        <v>8656.7882490000011</v>
      </c>
      <c r="G883" s="102">
        <v>4309.7533757955462</v>
      </c>
    </row>
    <row r="884" spans="5:7" x14ac:dyDescent="0.2">
      <c r="E884" s="87"/>
      <c r="F884" s="87"/>
      <c r="G884" s="96"/>
    </row>
    <row r="885" spans="5:7" x14ac:dyDescent="0.2">
      <c r="E885" s="100" t="s">
        <v>303</v>
      </c>
      <c r="F885" s="87"/>
      <c r="G885" s="96"/>
    </row>
    <row r="886" spans="5:7" x14ac:dyDescent="0.2">
      <c r="E886" s="101" t="s">
        <v>17</v>
      </c>
      <c r="F886" s="101">
        <v>80974.262575690009</v>
      </c>
      <c r="G886" s="102">
        <v>3967.9655941440219</v>
      </c>
    </row>
    <row r="887" spans="5:7" x14ac:dyDescent="0.2">
      <c r="E887" s="101" t="s">
        <v>16</v>
      </c>
      <c r="F887" s="101">
        <v>8656.7882490000011</v>
      </c>
      <c r="G887" s="102">
        <v>4359.3628322140912</v>
      </c>
    </row>
    <row r="888" spans="5:7" x14ac:dyDescent="0.2">
      <c r="E888" s="87"/>
      <c r="F888" s="87"/>
      <c r="G888" s="96"/>
    </row>
    <row r="889" spans="5:7" x14ac:dyDescent="0.2">
      <c r="E889" s="100" t="s">
        <v>304</v>
      </c>
      <c r="F889" s="87"/>
      <c r="G889" s="96"/>
    </row>
    <row r="890" spans="5:7" x14ac:dyDescent="0.2">
      <c r="E890" s="101" t="s">
        <v>17</v>
      </c>
      <c r="F890" s="101">
        <v>80974.262575690009</v>
      </c>
      <c r="G890" s="102">
        <v>4037.277133680936</v>
      </c>
    </row>
    <row r="891" spans="5:7" x14ac:dyDescent="0.2">
      <c r="E891" s="101" t="s">
        <v>16</v>
      </c>
      <c r="F891" s="101">
        <v>8656.7882490000011</v>
      </c>
      <c r="G891" s="102">
        <v>4370.2717704939496</v>
      </c>
    </row>
    <row r="892" spans="5:7" x14ac:dyDescent="0.2">
      <c r="E892" s="87"/>
      <c r="F892" s="87"/>
      <c r="G892" s="96"/>
    </row>
    <row r="893" spans="5:7" x14ac:dyDescent="0.2">
      <c r="E893" s="100" t="s">
        <v>305</v>
      </c>
      <c r="F893" s="87"/>
      <c r="G893" s="96"/>
    </row>
    <row r="894" spans="5:7" x14ac:dyDescent="0.2">
      <c r="E894" s="101" t="s">
        <v>17</v>
      </c>
      <c r="F894" s="101">
        <v>80974.262575690009</v>
      </c>
      <c r="G894" s="102">
        <v>4043.2959506181869</v>
      </c>
    </row>
    <row r="895" spans="5:7" x14ac:dyDescent="0.2">
      <c r="E895" s="101" t="s">
        <v>16</v>
      </c>
      <c r="F895" s="101">
        <v>8656.7882490000011</v>
      </c>
      <c r="G895" s="102">
        <v>4365.1252233120376</v>
      </c>
    </row>
    <row r="896" spans="5:7" x14ac:dyDescent="0.2">
      <c r="E896" s="87"/>
      <c r="F896" s="87"/>
      <c r="G896" s="96"/>
    </row>
    <row r="897" spans="5:7" x14ac:dyDescent="0.2">
      <c r="E897" s="100" t="s">
        <v>306</v>
      </c>
      <c r="F897" s="87"/>
      <c r="G897" s="96"/>
    </row>
    <row r="898" spans="5:7" x14ac:dyDescent="0.2">
      <c r="E898" s="101" t="s">
        <v>17</v>
      </c>
      <c r="F898" s="101">
        <v>80974.262575690009</v>
      </c>
      <c r="G898" s="102">
        <v>3980.7927270786372</v>
      </c>
    </row>
    <row r="899" spans="5:7" x14ac:dyDescent="0.2">
      <c r="E899" s="101" t="s">
        <v>16</v>
      </c>
      <c r="F899" s="101">
        <v>8656.7882490000011</v>
      </c>
      <c r="G899" s="102">
        <v>4356.5523193411709</v>
      </c>
    </row>
    <row r="900" spans="5:7" x14ac:dyDescent="0.2">
      <c r="E900" s="87"/>
      <c r="F900" s="87"/>
      <c r="G900" s="96"/>
    </row>
    <row r="901" spans="5:7" x14ac:dyDescent="0.2">
      <c r="E901" s="100" t="s">
        <v>307</v>
      </c>
      <c r="F901" s="87"/>
      <c r="G901" s="96"/>
    </row>
    <row r="902" spans="5:7" x14ac:dyDescent="0.2">
      <c r="E902" s="101" t="s">
        <v>17</v>
      </c>
      <c r="F902" s="101">
        <v>80974.262575690009</v>
      </c>
      <c r="G902" s="102">
        <v>4001.2298212101159</v>
      </c>
    </row>
    <row r="903" spans="5:7" x14ac:dyDescent="0.2">
      <c r="E903" s="101" t="s">
        <v>16</v>
      </c>
      <c r="F903" s="101">
        <v>8656.7882490000011</v>
      </c>
      <c r="G903" s="102">
        <v>4373.0279187366677</v>
      </c>
    </row>
    <row r="904" spans="5:7" x14ac:dyDescent="0.2">
      <c r="E904" s="87"/>
      <c r="F904" s="87"/>
      <c r="G904" s="96"/>
    </row>
    <row r="905" spans="5:7" x14ac:dyDescent="0.2">
      <c r="E905" s="100" t="s">
        <v>308</v>
      </c>
      <c r="F905" s="87"/>
      <c r="G905" s="96"/>
    </row>
    <row r="906" spans="5:7" x14ac:dyDescent="0.2">
      <c r="E906" s="101" t="s">
        <v>17</v>
      </c>
      <c r="F906" s="101">
        <v>80974.262575690009</v>
      </c>
      <c r="G906" s="102">
        <v>3924.755298405757</v>
      </c>
    </row>
    <row r="907" spans="5:7" x14ac:dyDescent="0.2">
      <c r="E907" s="101" t="s">
        <v>16</v>
      </c>
      <c r="F907" s="101">
        <v>8656.7882490000011</v>
      </c>
      <c r="G907" s="102">
        <v>4401.2586574633633</v>
      </c>
    </row>
    <row r="908" spans="5:7" x14ac:dyDescent="0.2">
      <c r="E908" s="87"/>
      <c r="F908" s="87"/>
      <c r="G908" s="96"/>
    </row>
    <row r="909" spans="5:7" x14ac:dyDescent="0.2">
      <c r="E909" s="100" t="s">
        <v>309</v>
      </c>
      <c r="F909" s="87"/>
      <c r="G909" s="96"/>
    </row>
    <row r="910" spans="5:7" x14ac:dyDescent="0.2">
      <c r="E910" s="101" t="s">
        <v>17</v>
      </c>
      <c r="F910" s="101">
        <v>80974.262575690009</v>
      </c>
      <c r="G910" s="102">
        <v>3937.537895495956</v>
      </c>
    </row>
    <row r="911" spans="5:7" x14ac:dyDescent="0.2">
      <c r="E911" s="101" t="s">
        <v>16</v>
      </c>
      <c r="F911" s="101">
        <v>8656.7882490000011</v>
      </c>
      <c r="G911" s="102">
        <v>4367.6574204427534</v>
      </c>
    </row>
    <row r="912" spans="5:7" x14ac:dyDescent="0.2">
      <c r="E912" s="87"/>
      <c r="F912" s="87"/>
      <c r="G912" s="96"/>
    </row>
    <row r="913" spans="5:7" x14ac:dyDescent="0.2">
      <c r="E913" s="100" t="s">
        <v>310</v>
      </c>
      <c r="F913" s="87"/>
      <c r="G913" s="96"/>
    </row>
    <row r="914" spans="5:7" x14ac:dyDescent="0.2">
      <c r="E914" s="101" t="s">
        <v>17</v>
      </c>
      <c r="F914" s="101">
        <v>80974.262575690009</v>
      </c>
      <c r="G914" s="102">
        <v>4026.2864970215378</v>
      </c>
    </row>
    <row r="915" spans="5:7" x14ac:dyDescent="0.2">
      <c r="E915" s="101" t="s">
        <v>16</v>
      </c>
      <c r="F915" s="101">
        <v>8656.7882490000011</v>
      </c>
      <c r="G915" s="102">
        <v>4316.3132302269914</v>
      </c>
    </row>
    <row r="916" spans="5:7" x14ac:dyDescent="0.2">
      <c r="E916" s="87"/>
      <c r="F916" s="87"/>
      <c r="G916" s="96"/>
    </row>
    <row r="917" spans="5:7" x14ac:dyDescent="0.2">
      <c r="E917" s="100" t="s">
        <v>311</v>
      </c>
      <c r="F917" s="87"/>
      <c r="G917" s="96"/>
    </row>
    <row r="918" spans="5:7" x14ac:dyDescent="0.2">
      <c r="E918" s="101" t="s">
        <v>17</v>
      </c>
      <c r="F918" s="101">
        <v>80974.262575690009</v>
      </c>
      <c r="G918" s="102">
        <v>4044.7194781542671</v>
      </c>
    </row>
    <row r="919" spans="5:7" x14ac:dyDescent="0.2">
      <c r="E919" s="101" t="s">
        <v>16</v>
      </c>
      <c r="F919" s="101">
        <v>8656.7882490000011</v>
      </c>
      <c r="G919" s="102">
        <v>4309.6727810969478</v>
      </c>
    </row>
    <row r="920" spans="5:7" x14ac:dyDescent="0.2">
      <c r="E920" s="87"/>
      <c r="F920" s="87"/>
      <c r="G920" s="96"/>
    </row>
    <row r="921" spans="5:7" x14ac:dyDescent="0.2">
      <c r="E921" s="100" t="s">
        <v>312</v>
      </c>
      <c r="F921" s="87"/>
      <c r="G921" s="96"/>
    </row>
    <row r="922" spans="5:7" x14ac:dyDescent="0.2">
      <c r="E922" s="101" t="s">
        <v>17</v>
      </c>
      <c r="F922" s="101">
        <v>80974.262575690009</v>
      </c>
      <c r="G922" s="102">
        <v>4244.2886456983133</v>
      </c>
    </row>
    <row r="923" spans="5:7" x14ac:dyDescent="0.2">
      <c r="E923" s="101" t="s">
        <v>16</v>
      </c>
      <c r="F923" s="101">
        <v>8656.7882490000011</v>
      </c>
      <c r="G923" s="102">
        <v>4417.7546003112457</v>
      </c>
    </row>
    <row r="924" spans="5:7" x14ac:dyDescent="0.2">
      <c r="E924" s="87"/>
      <c r="F924" s="87"/>
      <c r="G924" s="96"/>
    </row>
    <row r="925" spans="5:7" x14ac:dyDescent="0.2">
      <c r="E925" s="100" t="s">
        <v>313</v>
      </c>
      <c r="F925" s="87"/>
      <c r="G925" s="96"/>
    </row>
    <row r="926" spans="5:7" x14ac:dyDescent="0.2">
      <c r="E926" s="101" t="s">
        <v>17</v>
      </c>
      <c r="F926" s="101">
        <v>80974.262575690009</v>
      </c>
      <c r="G926" s="102">
        <v>4341.0464115352561</v>
      </c>
    </row>
    <row r="927" spans="5:7" x14ac:dyDescent="0.2">
      <c r="E927" s="101" t="s">
        <v>16</v>
      </c>
      <c r="F927" s="101">
        <v>8656.7882490000011</v>
      </c>
      <c r="G927" s="102">
        <v>4569.7303180705676</v>
      </c>
    </row>
    <row r="928" spans="5:7" x14ac:dyDescent="0.2">
      <c r="E928" s="87"/>
      <c r="F928" s="87"/>
      <c r="G928" s="96"/>
    </row>
    <row r="929" spans="5:7" x14ac:dyDescent="0.2">
      <c r="E929" s="100" t="s">
        <v>314</v>
      </c>
      <c r="F929" s="87"/>
      <c r="G929" s="96"/>
    </row>
    <row r="930" spans="5:7" x14ac:dyDescent="0.2">
      <c r="E930" s="101" t="s">
        <v>17</v>
      </c>
      <c r="F930" s="101">
        <v>80974.262575690009</v>
      </c>
      <c r="G930" s="102">
        <v>4556.3148691074766</v>
      </c>
    </row>
    <row r="931" spans="5:7" x14ac:dyDescent="0.2">
      <c r="E931" s="101" t="s">
        <v>16</v>
      </c>
      <c r="F931" s="101">
        <v>8656.7882490000011</v>
      </c>
      <c r="G931" s="102">
        <v>4674.8780920436311</v>
      </c>
    </row>
    <row r="932" spans="5:7" x14ac:dyDescent="0.2">
      <c r="E932" s="87"/>
      <c r="F932" s="87"/>
      <c r="G932" s="96"/>
    </row>
    <row r="933" spans="5:7" x14ac:dyDescent="0.2">
      <c r="E933" s="100" t="s">
        <v>315</v>
      </c>
      <c r="F933" s="87"/>
      <c r="G933" s="96"/>
    </row>
    <row r="934" spans="5:7" x14ac:dyDescent="0.2">
      <c r="E934" s="101" t="s">
        <v>17</v>
      </c>
      <c r="F934" s="101">
        <v>80974.262575690009</v>
      </c>
      <c r="G934" s="102">
        <v>4542.9759788333831</v>
      </c>
    </row>
    <row r="935" spans="5:7" x14ac:dyDescent="0.2">
      <c r="E935" s="101" t="s">
        <v>16</v>
      </c>
      <c r="F935" s="101">
        <v>8656.7882490000011</v>
      </c>
      <c r="G935" s="102">
        <v>4530.0953862082861</v>
      </c>
    </row>
    <row r="936" spans="5:7" x14ac:dyDescent="0.2">
      <c r="E936" s="87"/>
      <c r="F936" s="87"/>
      <c r="G936" s="96"/>
    </row>
    <row r="937" spans="5:7" x14ac:dyDescent="0.2">
      <c r="E937" s="100" t="s">
        <v>316</v>
      </c>
      <c r="F937" s="87"/>
      <c r="G937" s="96"/>
    </row>
    <row r="938" spans="5:7" x14ac:dyDescent="0.2">
      <c r="E938" s="101" t="s">
        <v>17</v>
      </c>
      <c r="F938" s="101">
        <v>80974.262575690009</v>
      </c>
      <c r="G938" s="102">
        <v>4708.2023421338272</v>
      </c>
    </row>
    <row r="939" spans="5:7" x14ac:dyDescent="0.2">
      <c r="E939" s="101" t="s">
        <v>16</v>
      </c>
      <c r="F939" s="101">
        <v>8656.7882490000011</v>
      </c>
      <c r="G939" s="102">
        <v>4532.2318815481394</v>
      </c>
    </row>
    <row r="940" spans="5:7" x14ac:dyDescent="0.2">
      <c r="E940" s="87"/>
      <c r="F940" s="87"/>
      <c r="G940" s="96"/>
    </row>
    <row r="941" spans="5:7" x14ac:dyDescent="0.2">
      <c r="E941" s="100" t="s">
        <v>317</v>
      </c>
      <c r="F941" s="87"/>
      <c r="G941" s="96"/>
    </row>
    <row r="942" spans="5:7" x14ac:dyDescent="0.2">
      <c r="E942" s="101" t="s">
        <v>17</v>
      </c>
      <c r="F942" s="101">
        <v>80974.262575690009</v>
      </c>
      <c r="G942" s="102">
        <v>4685.6574879475038</v>
      </c>
    </row>
    <row r="943" spans="5:7" x14ac:dyDescent="0.2">
      <c r="E943" s="101" t="s">
        <v>16</v>
      </c>
      <c r="F943" s="101">
        <v>8656.7882490000011</v>
      </c>
      <c r="G943" s="102">
        <v>4526.7082446700997</v>
      </c>
    </row>
    <row r="944" spans="5:7" x14ac:dyDescent="0.2">
      <c r="E944" s="87"/>
      <c r="F944" s="87"/>
      <c r="G944" s="96"/>
    </row>
    <row r="945" spans="5:7" x14ac:dyDescent="0.2">
      <c r="E945" s="100" t="s">
        <v>318</v>
      </c>
      <c r="F945" s="87"/>
      <c r="G945" s="96"/>
    </row>
    <row r="946" spans="5:7" x14ac:dyDescent="0.2">
      <c r="E946" s="101" t="s">
        <v>17</v>
      </c>
      <c r="F946" s="101">
        <v>80974.262575690009</v>
      </c>
      <c r="G946" s="102">
        <v>4770.2415831488179</v>
      </c>
    </row>
    <row r="947" spans="5:7" x14ac:dyDescent="0.2">
      <c r="E947" s="101" t="s">
        <v>16</v>
      </c>
      <c r="F947" s="101">
        <v>8656.7882490000011</v>
      </c>
      <c r="G947" s="102">
        <v>4556.0348462212369</v>
      </c>
    </row>
    <row r="948" spans="5:7" x14ac:dyDescent="0.2">
      <c r="E948" s="87"/>
      <c r="F948" s="87"/>
      <c r="G948" s="96"/>
    </row>
    <row r="949" spans="5:7" x14ac:dyDescent="0.2">
      <c r="E949" s="100" t="s">
        <v>319</v>
      </c>
      <c r="F949" s="87"/>
      <c r="G949" s="96"/>
    </row>
    <row r="950" spans="5:7" x14ac:dyDescent="0.2">
      <c r="E950" s="101" t="s">
        <v>17</v>
      </c>
      <c r="F950" s="101">
        <v>80974.262575690009</v>
      </c>
      <c r="G950" s="102">
        <v>4791.5621064849965</v>
      </c>
    </row>
    <row r="951" spans="5:7" x14ac:dyDescent="0.2">
      <c r="E951" s="101" t="s">
        <v>16</v>
      </c>
      <c r="F951" s="101">
        <v>8656.7882490000011</v>
      </c>
      <c r="G951" s="102">
        <v>4485.1998106949704</v>
      </c>
    </row>
    <row r="952" spans="5:7" x14ac:dyDescent="0.2">
      <c r="E952" s="87"/>
      <c r="F952" s="87"/>
      <c r="G952" s="96"/>
    </row>
    <row r="953" spans="5:7" x14ac:dyDescent="0.2">
      <c r="E953" s="100" t="s">
        <v>320</v>
      </c>
      <c r="F953" s="87"/>
      <c r="G953" s="96"/>
    </row>
    <row r="954" spans="5:7" x14ac:dyDescent="0.2">
      <c r="E954" s="101" t="s">
        <v>17</v>
      </c>
      <c r="F954" s="101">
        <v>80974.262575690009</v>
      </c>
      <c r="G954" s="102">
        <v>5007.4483976806696</v>
      </c>
    </row>
    <row r="955" spans="5:7" x14ac:dyDescent="0.2">
      <c r="E955" s="101" t="s">
        <v>16</v>
      </c>
      <c r="F955" s="101">
        <v>8656.7882490000011</v>
      </c>
      <c r="G955" s="102">
        <v>4587.3998617013667</v>
      </c>
    </row>
    <row r="956" spans="5:7" x14ac:dyDescent="0.2">
      <c r="E956" s="87"/>
      <c r="F956" s="87"/>
      <c r="G956" s="96"/>
    </row>
    <row r="957" spans="5:7" x14ac:dyDescent="0.2">
      <c r="E957" s="100" t="s">
        <v>321</v>
      </c>
      <c r="F957" s="87"/>
      <c r="G957" s="96"/>
    </row>
    <row r="958" spans="5:7" x14ac:dyDescent="0.2">
      <c r="E958" s="101" t="s">
        <v>17</v>
      </c>
      <c r="F958" s="101">
        <v>80974.262575690009</v>
      </c>
      <c r="G958" s="102">
        <v>4768.824533553744</v>
      </c>
    </row>
    <row r="959" spans="5:7" x14ac:dyDescent="0.2">
      <c r="E959" s="101" t="s">
        <v>16</v>
      </c>
      <c r="F959" s="101">
        <v>8656.7882490000011</v>
      </c>
      <c r="G959" s="102">
        <v>4509.5248662673648</v>
      </c>
    </row>
    <row r="960" spans="5:7" x14ac:dyDescent="0.2">
      <c r="E960" s="87"/>
      <c r="F960" s="87"/>
      <c r="G960" s="96"/>
    </row>
    <row r="961" spans="5:7" x14ac:dyDescent="0.2">
      <c r="E961" s="100" t="s">
        <v>322</v>
      </c>
      <c r="F961" s="87"/>
      <c r="G961" s="96"/>
    </row>
    <row r="962" spans="5:7" x14ac:dyDescent="0.2">
      <c r="E962" s="101" t="s">
        <v>17</v>
      </c>
      <c r="F962" s="101">
        <v>80974.262575690009</v>
      </c>
      <c r="G962" s="102">
        <v>4951.4741289325984</v>
      </c>
    </row>
    <row r="963" spans="5:7" x14ac:dyDescent="0.2">
      <c r="E963" s="101" t="s">
        <v>16</v>
      </c>
      <c r="F963" s="101">
        <v>8656.7882490000011</v>
      </c>
      <c r="G963" s="102">
        <v>4539.6674566788524</v>
      </c>
    </row>
    <row r="964" spans="5:7" x14ac:dyDescent="0.2">
      <c r="E964" s="87"/>
      <c r="F964" s="87"/>
      <c r="G964" s="96"/>
    </row>
    <row r="965" spans="5:7" x14ac:dyDescent="0.2">
      <c r="E965" s="100" t="s">
        <v>323</v>
      </c>
      <c r="F965" s="87"/>
      <c r="G965" s="96"/>
    </row>
    <row r="966" spans="5:7" x14ac:dyDescent="0.2">
      <c r="E966" s="101" t="s">
        <v>17</v>
      </c>
      <c r="F966" s="101">
        <v>80974.262575690009</v>
      </c>
      <c r="G966" s="102">
        <v>4967.4892185848184</v>
      </c>
    </row>
    <row r="967" spans="5:7" x14ac:dyDescent="0.2">
      <c r="E967" s="101" t="s">
        <v>16</v>
      </c>
      <c r="F967" s="101">
        <v>8656.7882490000011</v>
      </c>
      <c r="G967" s="102">
        <v>4666.2824207196691</v>
      </c>
    </row>
    <row r="968" spans="5:7" x14ac:dyDescent="0.2">
      <c r="E968" s="87"/>
      <c r="F968" s="87"/>
      <c r="G968" s="96"/>
    </row>
    <row r="969" spans="5:7" x14ac:dyDescent="0.2">
      <c r="E969" s="100" t="s">
        <v>324</v>
      </c>
      <c r="F969" s="87"/>
      <c r="G969" s="96"/>
    </row>
    <row r="970" spans="5:7" x14ac:dyDescent="0.2">
      <c r="E970" s="101" t="s">
        <v>17</v>
      </c>
      <c r="F970" s="101">
        <v>80974.262575690009</v>
      </c>
      <c r="G970" s="102">
        <v>5279.0279769332756</v>
      </c>
    </row>
    <row r="971" spans="5:7" x14ac:dyDescent="0.2">
      <c r="E971" s="101" t="s">
        <v>16</v>
      </c>
      <c r="F971" s="101">
        <v>8656.7882490000011</v>
      </c>
      <c r="G971" s="102">
        <v>4499.2234613868204</v>
      </c>
    </row>
    <row r="972" spans="5:7" x14ac:dyDescent="0.2">
      <c r="E972" s="87"/>
      <c r="F972" s="87"/>
      <c r="G972" s="96"/>
    </row>
    <row r="973" spans="5:7" x14ac:dyDescent="0.2">
      <c r="E973" s="100" t="s">
        <v>325</v>
      </c>
      <c r="F973" s="87"/>
      <c r="G973" s="96"/>
    </row>
    <row r="974" spans="5:7" x14ac:dyDescent="0.2">
      <c r="E974" s="101" t="s">
        <v>17</v>
      </c>
      <c r="F974" s="101">
        <v>80974.262575690009</v>
      </c>
      <c r="G974" s="102">
        <v>4782.1820479082298</v>
      </c>
    </row>
    <row r="975" spans="5:7" x14ac:dyDescent="0.2">
      <c r="E975" s="101" t="s">
        <v>16</v>
      </c>
      <c r="F975" s="101">
        <v>8656.7882490000011</v>
      </c>
      <c r="G975" s="102">
        <v>4376.3451999936833</v>
      </c>
    </row>
    <row r="976" spans="5:7" x14ac:dyDescent="0.2">
      <c r="E976" s="87"/>
      <c r="F976" s="87"/>
      <c r="G976" s="96"/>
    </row>
    <row r="977" spans="5:7" x14ac:dyDescent="0.2">
      <c r="E977" s="100" t="s">
        <v>326</v>
      </c>
      <c r="F977" s="87"/>
      <c r="G977" s="96"/>
    </row>
    <row r="978" spans="5:7" x14ac:dyDescent="0.2">
      <c r="E978" s="101" t="s">
        <v>17</v>
      </c>
      <c r="F978" s="101">
        <v>80974.262575690009</v>
      </c>
      <c r="G978" s="102">
        <v>4666.4722559154452</v>
      </c>
    </row>
    <row r="979" spans="5:7" x14ac:dyDescent="0.2">
      <c r="E979" s="101" t="s">
        <v>16</v>
      </c>
      <c r="F979" s="101">
        <v>8656.7882490000011</v>
      </c>
      <c r="G979" s="102">
        <v>4367.6651249842926</v>
      </c>
    </row>
    <row r="980" spans="5:7" x14ac:dyDescent="0.2">
      <c r="E980" s="87"/>
      <c r="F980" s="87"/>
      <c r="G980" s="96"/>
    </row>
    <row r="981" spans="5:7" x14ac:dyDescent="0.2">
      <c r="E981" s="100" t="s">
        <v>327</v>
      </c>
      <c r="F981" s="87"/>
      <c r="G981" s="96"/>
    </row>
    <row r="982" spans="5:7" x14ac:dyDescent="0.2">
      <c r="E982" s="101" t="s">
        <v>17</v>
      </c>
      <c r="F982" s="101">
        <v>80974.262575690009</v>
      </c>
      <c r="G982" s="102">
        <v>5110.5245852263952</v>
      </c>
    </row>
    <row r="983" spans="5:7" x14ac:dyDescent="0.2">
      <c r="E983" s="101" t="s">
        <v>16</v>
      </c>
      <c r="F983" s="101">
        <v>8656.7882490000011</v>
      </c>
      <c r="G983" s="102">
        <v>5101.0374072734076</v>
      </c>
    </row>
    <row r="984" spans="5:7" x14ac:dyDescent="0.2">
      <c r="E984" s="87"/>
      <c r="F984" s="87"/>
      <c r="G984" s="96"/>
    </row>
    <row r="985" spans="5:7" x14ac:dyDescent="0.2">
      <c r="E985" s="100" t="s">
        <v>328</v>
      </c>
      <c r="F985" s="87"/>
      <c r="G985" s="96"/>
    </row>
    <row r="986" spans="5:7" x14ac:dyDescent="0.2">
      <c r="E986" s="101" t="s">
        <v>17</v>
      </c>
      <c r="F986" s="101">
        <v>80974.262575690009</v>
      </c>
      <c r="G986" s="102">
        <v>5503.9242743257464</v>
      </c>
    </row>
    <row r="987" spans="5:7" x14ac:dyDescent="0.2">
      <c r="E987" s="101" t="s">
        <v>16</v>
      </c>
      <c r="F987" s="101">
        <v>8656.7882490000011</v>
      </c>
      <c r="G987" s="102">
        <v>5274.8440733427051</v>
      </c>
    </row>
    <row r="988" spans="5:7" x14ac:dyDescent="0.2">
      <c r="E988" s="87"/>
      <c r="F988" s="87"/>
      <c r="G988" s="96"/>
    </row>
    <row r="989" spans="5:7" x14ac:dyDescent="0.2">
      <c r="E989" s="100" t="s">
        <v>329</v>
      </c>
      <c r="F989" s="87"/>
      <c r="G989" s="96"/>
    </row>
    <row r="990" spans="5:7" x14ac:dyDescent="0.2">
      <c r="E990" s="101" t="s">
        <v>17</v>
      </c>
      <c r="F990" s="101">
        <v>80974.262575690009</v>
      </c>
      <c r="G990" s="102">
        <v>5315.9514309251663</v>
      </c>
    </row>
    <row r="991" spans="5:7" x14ac:dyDescent="0.2">
      <c r="E991" s="101" t="s">
        <v>16</v>
      </c>
      <c r="F991" s="101">
        <v>8656.7882490000011</v>
      </c>
      <c r="G991" s="102">
        <v>5494.2981569847443</v>
      </c>
    </row>
    <row r="992" spans="5:7" x14ac:dyDescent="0.2">
      <c r="E992" s="87"/>
      <c r="F992" s="87"/>
      <c r="G992" s="96"/>
    </row>
    <row r="993" spans="5:7" x14ac:dyDescent="0.2">
      <c r="E993" s="100" t="s">
        <v>330</v>
      </c>
      <c r="F993" s="87"/>
      <c r="G993" s="96"/>
    </row>
    <row r="994" spans="5:7" x14ac:dyDescent="0.2">
      <c r="E994" s="101" t="s">
        <v>17</v>
      </c>
      <c r="F994" s="101">
        <v>80974.262575690009</v>
      </c>
      <c r="G994" s="102">
        <v>4619.613259905519</v>
      </c>
    </row>
    <row r="995" spans="5:7" x14ac:dyDescent="0.2">
      <c r="E995" s="101" t="s">
        <v>16</v>
      </c>
      <c r="F995" s="101">
        <v>8656.7882490000011</v>
      </c>
      <c r="G995" s="102">
        <v>5416.4589140862108</v>
      </c>
    </row>
    <row r="996" spans="5:7" x14ac:dyDescent="0.2">
      <c r="E996" s="87"/>
      <c r="F996" s="87"/>
      <c r="G996" s="96"/>
    </row>
    <row r="997" spans="5:7" x14ac:dyDescent="0.2">
      <c r="E997" s="100" t="s">
        <v>331</v>
      </c>
      <c r="F997" s="87"/>
      <c r="G997" s="96"/>
    </row>
    <row r="998" spans="5:7" x14ac:dyDescent="0.2">
      <c r="E998" s="101" t="s">
        <v>17</v>
      </c>
      <c r="F998" s="101">
        <v>80974.262575690009</v>
      </c>
      <c r="G998" s="102">
        <v>4551.779500660612</v>
      </c>
    </row>
    <row r="999" spans="5:7" x14ac:dyDescent="0.2">
      <c r="E999" s="101" t="s">
        <v>16</v>
      </c>
      <c r="F999" s="101">
        <v>8656.7882490000011</v>
      </c>
      <c r="G999" s="102">
        <v>5428.5050946383426</v>
      </c>
    </row>
    <row r="1000" spans="5:7" x14ac:dyDescent="0.2">
      <c r="E1000" s="87"/>
      <c r="F1000" s="87"/>
      <c r="G1000" s="96"/>
    </row>
    <row r="1001" spans="5:7" x14ac:dyDescent="0.2">
      <c r="E1001" s="100" t="s">
        <v>332</v>
      </c>
      <c r="F1001" s="87"/>
      <c r="G1001" s="96"/>
    </row>
    <row r="1002" spans="5:7" x14ac:dyDescent="0.2">
      <c r="E1002" s="101" t="s">
        <v>17</v>
      </c>
      <c r="F1002" s="101">
        <v>80974.262575690009</v>
      </c>
      <c r="G1002" s="102">
        <v>4580.5618022931412</v>
      </c>
    </row>
    <row r="1003" spans="5:7" x14ac:dyDescent="0.2">
      <c r="E1003" s="101" t="s">
        <v>16</v>
      </c>
      <c r="F1003" s="101">
        <v>8656.7882490000011</v>
      </c>
      <c r="G1003" s="102">
        <v>5467.7796444058195</v>
      </c>
    </row>
    <row r="1004" spans="5:7" x14ac:dyDescent="0.2">
      <c r="E1004" s="87"/>
      <c r="F1004" s="87"/>
      <c r="G1004" s="96"/>
    </row>
    <row r="1005" spans="5:7" x14ac:dyDescent="0.2">
      <c r="E1005" s="100" t="s">
        <v>333</v>
      </c>
      <c r="F1005" s="87"/>
      <c r="G1005" s="96"/>
    </row>
    <row r="1006" spans="5:7" x14ac:dyDescent="0.2">
      <c r="E1006" s="101" t="s">
        <v>17</v>
      </c>
      <c r="F1006" s="101">
        <v>80974.262575690009</v>
      </c>
      <c r="G1006" s="102">
        <v>4667.8374819824721</v>
      </c>
    </row>
    <row r="1007" spans="5:7" x14ac:dyDescent="0.2">
      <c r="E1007" s="101" t="s">
        <v>16</v>
      </c>
      <c r="F1007" s="101">
        <v>8656.7882490000011</v>
      </c>
      <c r="G1007" s="102">
        <v>5481.5981292161669</v>
      </c>
    </row>
    <row r="1008" spans="5:7" x14ac:dyDescent="0.2">
      <c r="E1008" s="87"/>
      <c r="F1008" s="87"/>
      <c r="G1008" s="96"/>
    </row>
    <row r="1009" spans="5:7" x14ac:dyDescent="0.2">
      <c r="E1009" s="100" t="s">
        <v>334</v>
      </c>
      <c r="F1009" s="87"/>
      <c r="G1009" s="96"/>
    </row>
    <row r="1010" spans="5:7" x14ac:dyDescent="0.2">
      <c r="E1010" s="101" t="s">
        <v>17</v>
      </c>
      <c r="F1010" s="101">
        <v>80974.262575690009</v>
      </c>
      <c r="G1010" s="102">
        <v>4841.0819167631607</v>
      </c>
    </row>
    <row r="1011" spans="5:7" x14ac:dyDescent="0.2">
      <c r="E1011" s="101" t="s">
        <v>16</v>
      </c>
      <c r="F1011" s="101">
        <v>8656.7882490000011</v>
      </c>
      <c r="G1011" s="102">
        <v>5571.5540189231788</v>
      </c>
    </row>
    <row r="1012" spans="5:7" x14ac:dyDescent="0.2">
      <c r="E1012" s="87"/>
      <c r="F1012" s="87"/>
      <c r="G1012" s="96"/>
    </row>
    <row r="1013" spans="5:7" x14ac:dyDescent="0.2">
      <c r="E1013" s="100" t="s">
        <v>335</v>
      </c>
      <c r="F1013" s="87"/>
      <c r="G1013" s="96"/>
    </row>
    <row r="1014" spans="5:7" x14ac:dyDescent="0.2">
      <c r="E1014" s="101" t="s">
        <v>16</v>
      </c>
      <c r="F1014" s="101">
        <v>8656.7882490000011</v>
      </c>
      <c r="G1014" s="102">
        <v>5563.0616230830256</v>
      </c>
    </row>
    <row r="1015" spans="5:7" x14ac:dyDescent="0.2">
      <c r="E1015" s="101" t="s">
        <v>41</v>
      </c>
      <c r="F1015" s="101">
        <v>1.443747510000001</v>
      </c>
      <c r="G1015" s="102">
        <v>2680.814110094394</v>
      </c>
    </row>
    <row r="1016" spans="5:7" x14ac:dyDescent="0.2">
      <c r="E1016" s="101" t="s">
        <v>17</v>
      </c>
      <c r="F1016" s="101">
        <v>36702.641885169993</v>
      </c>
      <c r="G1016" s="102">
        <v>2266.5041167576042</v>
      </c>
    </row>
    <row r="1017" spans="5:7" x14ac:dyDescent="0.2">
      <c r="E1017" s="87"/>
      <c r="F1017" s="87"/>
      <c r="G1017" s="96"/>
    </row>
    <row r="1018" spans="5:7" x14ac:dyDescent="0.2">
      <c r="E1018" s="100" t="s">
        <v>336</v>
      </c>
      <c r="F1018" s="87"/>
      <c r="G1018" s="96"/>
    </row>
    <row r="1019" spans="5:7" x14ac:dyDescent="0.2">
      <c r="E1019" s="101" t="s">
        <v>16</v>
      </c>
      <c r="F1019" s="101">
        <v>8656.7882490000011</v>
      </c>
      <c r="G1019" s="102">
        <v>5374.4627566611334</v>
      </c>
    </row>
    <row r="1020" spans="5:7" x14ac:dyDescent="0.2">
      <c r="E1020" s="101" t="s">
        <v>41</v>
      </c>
      <c r="F1020" s="101">
        <v>1.443747510000001</v>
      </c>
      <c r="G1020" s="102">
        <v>2637.6306707273088</v>
      </c>
    </row>
    <row r="1021" spans="5:7" x14ac:dyDescent="0.2">
      <c r="E1021" s="101" t="s">
        <v>17</v>
      </c>
      <c r="F1021" s="101">
        <v>36702.641885169993</v>
      </c>
      <c r="G1021" s="102">
        <v>2068.9620565239861</v>
      </c>
    </row>
    <row r="1022" spans="5:7" x14ac:dyDescent="0.2">
      <c r="E1022" s="87"/>
      <c r="F1022" s="87"/>
      <c r="G1022" s="96"/>
    </row>
    <row r="1023" spans="5:7" x14ac:dyDescent="0.2">
      <c r="E1023" s="100" t="s">
        <v>337</v>
      </c>
      <c r="F1023" s="87"/>
      <c r="G1023" s="96"/>
    </row>
    <row r="1024" spans="5:7" x14ac:dyDescent="0.2">
      <c r="E1024" s="101" t="s">
        <v>16</v>
      </c>
      <c r="F1024" s="101">
        <v>8656.7882490000011</v>
      </c>
      <c r="G1024" s="102">
        <v>5385.8487705413954</v>
      </c>
    </row>
    <row r="1025" spans="5:7" x14ac:dyDescent="0.2">
      <c r="E1025" s="101" t="s">
        <v>41</v>
      </c>
      <c r="F1025" s="101">
        <v>1.443747510000001</v>
      </c>
      <c r="G1025" s="102">
        <v>2637.3033640711828</v>
      </c>
    </row>
    <row r="1026" spans="5:7" x14ac:dyDescent="0.2">
      <c r="E1026" s="101" t="s">
        <v>17</v>
      </c>
      <c r="F1026" s="101">
        <v>36702.641885169993</v>
      </c>
      <c r="G1026" s="102">
        <v>2106.0199799826041</v>
      </c>
    </row>
    <row r="1027" spans="5:7" x14ac:dyDescent="0.2">
      <c r="E1027" s="87"/>
      <c r="F1027" s="87"/>
      <c r="G1027" s="96"/>
    </row>
    <row r="1028" spans="5:7" x14ac:dyDescent="0.2">
      <c r="E1028" s="100" t="s">
        <v>338</v>
      </c>
      <c r="F1028" s="87"/>
      <c r="G1028" s="96"/>
    </row>
    <row r="1029" spans="5:7" x14ac:dyDescent="0.2">
      <c r="E1029" s="101" t="s">
        <v>16</v>
      </c>
      <c r="F1029" s="101">
        <v>8656.7882490000011</v>
      </c>
      <c r="G1029" s="102">
        <v>5440.1874303803679</v>
      </c>
    </row>
    <row r="1030" spans="5:7" x14ac:dyDescent="0.2">
      <c r="E1030" s="101" t="s">
        <v>41</v>
      </c>
      <c r="F1030" s="101">
        <v>1.443747510000001</v>
      </c>
      <c r="G1030" s="102">
        <v>2649.3785774307621</v>
      </c>
    </row>
    <row r="1031" spans="5:7" x14ac:dyDescent="0.2">
      <c r="E1031" s="101" t="s">
        <v>17</v>
      </c>
      <c r="F1031" s="101">
        <v>36702.641885169993</v>
      </c>
      <c r="G1031" s="102">
        <v>1927.5086065928649</v>
      </c>
    </row>
    <row r="1032" spans="5:7" x14ac:dyDescent="0.2">
      <c r="E1032" s="87"/>
      <c r="F1032" s="87"/>
      <c r="G1032" s="96"/>
    </row>
    <row r="1033" spans="5:7" x14ac:dyDescent="0.2">
      <c r="E1033" s="100" t="s">
        <v>339</v>
      </c>
      <c r="F1033" s="87"/>
      <c r="G1033" s="96"/>
    </row>
    <row r="1034" spans="5:7" x14ac:dyDescent="0.2">
      <c r="E1034" s="101" t="s">
        <v>16</v>
      </c>
      <c r="F1034" s="101">
        <v>8656.7882490000011</v>
      </c>
      <c r="G1034" s="102">
        <v>5504.0729694361034</v>
      </c>
    </row>
    <row r="1035" spans="5:7" x14ac:dyDescent="0.2">
      <c r="E1035" s="101" t="s">
        <v>41</v>
      </c>
      <c r="F1035" s="101">
        <v>1.443747510000001</v>
      </c>
      <c r="G1035" s="102">
        <v>2639.836295651503</v>
      </c>
    </row>
    <row r="1036" spans="5:7" x14ac:dyDescent="0.2">
      <c r="E1036" s="101" t="s">
        <v>17</v>
      </c>
      <c r="F1036" s="101">
        <v>36702.641885169993</v>
      </c>
      <c r="G1036" s="102">
        <v>1955.6287026996069</v>
      </c>
    </row>
    <row r="1037" spans="5:7" x14ac:dyDescent="0.2">
      <c r="E1037" s="87"/>
      <c r="F1037" s="87"/>
      <c r="G1037" s="96"/>
    </row>
    <row r="1038" spans="5:7" x14ac:dyDescent="0.2">
      <c r="E1038" s="100" t="s">
        <v>340</v>
      </c>
      <c r="F1038" s="87"/>
      <c r="G1038" s="96"/>
    </row>
    <row r="1039" spans="5:7" x14ac:dyDescent="0.2">
      <c r="E1039" s="101" t="s">
        <v>42</v>
      </c>
      <c r="F1039" s="101">
        <v>1.100000000000008E-4</v>
      </c>
      <c r="G1039" s="102">
        <v>3.209376565624924</v>
      </c>
    </row>
    <row r="1040" spans="5:7" x14ac:dyDescent="0.2">
      <c r="E1040" s="101" t="s">
        <v>16</v>
      </c>
      <c r="F1040" s="101">
        <v>8656.7882490000011</v>
      </c>
      <c r="G1040" s="102">
        <v>5749.9290452872383</v>
      </c>
    </row>
    <row r="1041" spans="5:7" x14ac:dyDescent="0.2">
      <c r="E1041" s="101" t="s">
        <v>41</v>
      </c>
      <c r="F1041" s="101">
        <v>1.443747510000001</v>
      </c>
      <c r="G1041" s="102">
        <v>2650.2891848480081</v>
      </c>
    </row>
    <row r="1042" spans="5:7" x14ac:dyDescent="0.2">
      <c r="E1042" s="101" t="s">
        <v>17</v>
      </c>
      <c r="F1042" s="101">
        <v>36702.641885169993</v>
      </c>
      <c r="G1042" s="102">
        <v>1957.2876621128171</v>
      </c>
    </row>
    <row r="1043" spans="5:7" x14ac:dyDescent="0.2">
      <c r="E1043" s="87"/>
      <c r="F1043" s="87"/>
      <c r="G1043" s="96"/>
    </row>
    <row r="1044" spans="5:7" x14ac:dyDescent="0.2">
      <c r="E1044" s="100" t="s">
        <v>341</v>
      </c>
      <c r="F1044" s="87"/>
      <c r="G1044" s="96"/>
    </row>
    <row r="1045" spans="5:7" x14ac:dyDescent="0.2">
      <c r="E1045" s="101" t="s">
        <v>16</v>
      </c>
      <c r="F1045" s="101">
        <v>8656.7882490000011</v>
      </c>
      <c r="G1045" s="102">
        <v>5927.6468482874334</v>
      </c>
    </row>
    <row r="1046" spans="5:7" x14ac:dyDescent="0.2">
      <c r="E1046" s="101" t="s">
        <v>41</v>
      </c>
      <c r="F1046" s="101">
        <v>1.443747510000001</v>
      </c>
      <c r="G1046" s="102">
        <v>2653.625178876991</v>
      </c>
    </row>
    <row r="1047" spans="5:7" x14ac:dyDescent="0.2">
      <c r="E1047" s="101" t="s">
        <v>17</v>
      </c>
      <c r="F1047" s="101">
        <v>36702.641885169993</v>
      </c>
      <c r="G1047" s="102">
        <v>1930.92378742028</v>
      </c>
    </row>
    <row r="1048" spans="5:7" x14ac:dyDescent="0.2">
      <c r="E1048" s="87"/>
      <c r="F1048" s="87"/>
      <c r="G1048" s="96"/>
    </row>
    <row r="1049" spans="5:7" x14ac:dyDescent="0.2">
      <c r="E1049" s="100" t="s">
        <v>342</v>
      </c>
      <c r="F1049" s="87"/>
      <c r="G1049" s="96"/>
    </row>
    <row r="1050" spans="5:7" x14ac:dyDescent="0.2">
      <c r="E1050" s="101" t="s">
        <v>16</v>
      </c>
      <c r="F1050" s="101">
        <v>8656.7882490000011</v>
      </c>
      <c r="G1050" s="102">
        <v>6122.2149164785433</v>
      </c>
    </row>
    <row r="1051" spans="5:7" x14ac:dyDescent="0.2">
      <c r="E1051" s="101" t="s">
        <v>41</v>
      </c>
      <c r="F1051" s="101">
        <v>1.443747510000001</v>
      </c>
      <c r="G1051" s="102">
        <v>2699.4398449769928</v>
      </c>
    </row>
    <row r="1052" spans="5:7" x14ac:dyDescent="0.2">
      <c r="E1052" s="101" t="s">
        <v>17</v>
      </c>
      <c r="F1052" s="101">
        <v>36702.641885169993</v>
      </c>
      <c r="G1052" s="102">
        <v>1898.6302339047761</v>
      </c>
    </row>
    <row r="1053" spans="5:7" x14ac:dyDescent="0.2">
      <c r="E1053" s="87"/>
      <c r="F1053" s="87"/>
      <c r="G1053" s="96"/>
    </row>
    <row r="1054" spans="5:7" x14ac:dyDescent="0.2">
      <c r="E1054" s="100" t="s">
        <v>343</v>
      </c>
      <c r="F1054" s="87"/>
      <c r="G1054" s="96"/>
    </row>
    <row r="1055" spans="5:7" x14ac:dyDescent="0.2">
      <c r="E1055" s="101" t="s">
        <v>16</v>
      </c>
      <c r="F1055" s="101">
        <v>8656.7882490000011</v>
      </c>
      <c r="G1055" s="102">
        <v>6051.3571135991806</v>
      </c>
    </row>
    <row r="1056" spans="5:7" x14ac:dyDescent="0.2">
      <c r="E1056" s="101" t="s">
        <v>41</v>
      </c>
      <c r="F1056" s="101">
        <v>1.443747510000001</v>
      </c>
      <c r="G1056" s="102">
        <v>2681.437883010773</v>
      </c>
    </row>
    <row r="1057" spans="5:7" x14ac:dyDescent="0.2">
      <c r="E1057" s="101" t="s">
        <v>17</v>
      </c>
      <c r="F1057" s="101">
        <v>36702.641885169993</v>
      </c>
      <c r="G1057" s="102">
        <v>1921.5352516260541</v>
      </c>
    </row>
    <row r="1058" spans="5:7" x14ac:dyDescent="0.2">
      <c r="E1058" s="87"/>
      <c r="F1058" s="87"/>
      <c r="G1058" s="96"/>
    </row>
    <row r="1059" spans="5:7" x14ac:dyDescent="0.2">
      <c r="E1059" s="100" t="s">
        <v>344</v>
      </c>
      <c r="F1059" s="87"/>
      <c r="G1059" s="96"/>
    </row>
    <row r="1060" spans="5:7" x14ac:dyDescent="0.2">
      <c r="E1060" s="101" t="s">
        <v>16</v>
      </c>
      <c r="F1060" s="101">
        <v>8656.7882490000011</v>
      </c>
      <c r="G1060" s="102">
        <v>6102.2660405017823</v>
      </c>
    </row>
    <row r="1061" spans="5:7" x14ac:dyDescent="0.2">
      <c r="E1061" s="101" t="s">
        <v>41</v>
      </c>
      <c r="F1061" s="101">
        <v>1.443747510000001</v>
      </c>
      <c r="G1061" s="102">
        <v>2688.0700462032378</v>
      </c>
    </row>
    <row r="1062" spans="5:7" x14ac:dyDescent="0.2">
      <c r="E1062" s="101" t="s">
        <v>17</v>
      </c>
      <c r="F1062" s="101">
        <v>36702.641885169993</v>
      </c>
      <c r="G1062" s="102">
        <v>1943.2448643011321</v>
      </c>
    </row>
    <row r="1063" spans="5:7" x14ac:dyDescent="0.2">
      <c r="E1063" s="87"/>
      <c r="F1063" s="87"/>
      <c r="G1063" s="96"/>
    </row>
    <row r="1064" spans="5:7" x14ac:dyDescent="0.2">
      <c r="E1064" s="100" t="s">
        <v>345</v>
      </c>
      <c r="F1064" s="87"/>
      <c r="G1064" s="96"/>
    </row>
    <row r="1065" spans="5:7" x14ac:dyDescent="0.2">
      <c r="E1065" s="101" t="s">
        <v>16</v>
      </c>
      <c r="F1065" s="101">
        <v>8656.7882490000011</v>
      </c>
      <c r="G1065" s="102">
        <v>6168.8892888412638</v>
      </c>
    </row>
    <row r="1066" spans="5:7" x14ac:dyDescent="0.2">
      <c r="E1066" s="101" t="s">
        <v>41</v>
      </c>
      <c r="F1066" s="101">
        <v>1.443747510000001</v>
      </c>
      <c r="G1066" s="102">
        <v>2715.5707895041778</v>
      </c>
    </row>
    <row r="1067" spans="5:7" x14ac:dyDescent="0.2">
      <c r="E1067" s="101" t="s">
        <v>17</v>
      </c>
      <c r="F1067" s="101">
        <v>36702.641885169993</v>
      </c>
      <c r="G1067" s="102">
        <v>1977.0366196583891</v>
      </c>
    </row>
    <row r="1068" spans="5:7" x14ac:dyDescent="0.2">
      <c r="E1068" s="87"/>
      <c r="F1068" s="87"/>
      <c r="G1068" s="96"/>
    </row>
    <row r="1069" spans="5:7" x14ac:dyDescent="0.2">
      <c r="E1069" s="100" t="s">
        <v>346</v>
      </c>
      <c r="F1069" s="87"/>
      <c r="G1069" s="96"/>
    </row>
    <row r="1070" spans="5:7" x14ac:dyDescent="0.2">
      <c r="E1070" s="101" t="s">
        <v>16</v>
      </c>
      <c r="F1070" s="101">
        <v>8656.7882490000011</v>
      </c>
      <c r="G1070" s="102">
        <v>6166.2007501147718</v>
      </c>
    </row>
    <row r="1071" spans="5:7" x14ac:dyDescent="0.2">
      <c r="E1071" s="101" t="s">
        <v>41</v>
      </c>
      <c r="F1071" s="101">
        <v>1.443747510000001</v>
      </c>
      <c r="G1071" s="102">
        <v>2706.5847874087031</v>
      </c>
    </row>
    <row r="1072" spans="5:7" x14ac:dyDescent="0.2">
      <c r="E1072" s="101" t="s">
        <v>17</v>
      </c>
      <c r="F1072" s="101">
        <v>36702.641885169993</v>
      </c>
      <c r="G1072" s="102">
        <v>1932.376110959676</v>
      </c>
    </row>
    <row r="1073" spans="5:7" x14ac:dyDescent="0.2">
      <c r="E1073" s="87"/>
      <c r="F1073" s="87"/>
      <c r="G1073" s="96"/>
    </row>
    <row r="1074" spans="5:7" x14ac:dyDescent="0.2">
      <c r="E1074" s="100" t="s">
        <v>347</v>
      </c>
      <c r="F1074" s="87"/>
      <c r="G1074" s="96"/>
    </row>
    <row r="1075" spans="5:7" x14ac:dyDescent="0.2">
      <c r="E1075" s="101" t="s">
        <v>16</v>
      </c>
      <c r="F1075" s="101">
        <v>8656.7882490000011</v>
      </c>
      <c r="G1075" s="102">
        <v>6176.0624767201498</v>
      </c>
    </row>
    <row r="1076" spans="5:7" x14ac:dyDescent="0.2">
      <c r="E1076" s="101" t="s">
        <v>41</v>
      </c>
      <c r="F1076" s="101">
        <v>1.443747510000001</v>
      </c>
      <c r="G1076" s="102">
        <v>2683.6046962625928</v>
      </c>
    </row>
    <row r="1077" spans="5:7" x14ac:dyDescent="0.2">
      <c r="E1077" s="101" t="s">
        <v>17</v>
      </c>
      <c r="F1077" s="101">
        <v>36702.641885169993</v>
      </c>
      <c r="G1077" s="102">
        <v>1902.2916894592399</v>
      </c>
    </row>
    <row r="1078" spans="5:7" x14ac:dyDescent="0.2">
      <c r="E1078" s="87"/>
      <c r="F1078" s="87"/>
      <c r="G1078" s="96"/>
    </row>
    <row r="1079" spans="5:7" x14ac:dyDescent="0.2">
      <c r="E1079" s="100" t="s">
        <v>348</v>
      </c>
      <c r="F1079" s="87"/>
      <c r="G1079" s="96"/>
    </row>
    <row r="1080" spans="5:7" x14ac:dyDescent="0.2">
      <c r="E1080" s="101" t="s">
        <v>16</v>
      </c>
      <c r="F1080" s="101">
        <v>8656.7882490000011</v>
      </c>
      <c r="G1080" s="102">
        <v>6197.1998431556158</v>
      </c>
    </row>
    <row r="1081" spans="5:7" x14ac:dyDescent="0.2">
      <c r="E1081" s="101" t="s">
        <v>41</v>
      </c>
      <c r="F1081" s="101">
        <v>1.443747510000001</v>
      </c>
      <c r="G1081" s="102">
        <v>2702.0212612513801</v>
      </c>
    </row>
    <row r="1082" spans="5:7" x14ac:dyDescent="0.2">
      <c r="E1082" s="101" t="s">
        <v>17</v>
      </c>
      <c r="F1082" s="101">
        <v>36702.641885169993</v>
      </c>
      <c r="G1082" s="102">
        <v>1926.0981240652179</v>
      </c>
    </row>
    <row r="1083" spans="5:7" x14ac:dyDescent="0.2">
      <c r="E1083" s="87"/>
      <c r="F1083" s="87"/>
      <c r="G1083" s="96"/>
    </row>
    <row r="1084" spans="5:7" x14ac:dyDescent="0.2">
      <c r="E1084" s="100" t="s">
        <v>349</v>
      </c>
      <c r="F1084" s="87"/>
      <c r="G1084" s="96"/>
    </row>
    <row r="1085" spans="5:7" x14ac:dyDescent="0.2">
      <c r="E1085" s="101" t="s">
        <v>16</v>
      </c>
      <c r="F1085" s="101">
        <v>8656.7882490000011</v>
      </c>
      <c r="G1085" s="102">
        <v>6148.5079197235837</v>
      </c>
    </row>
    <row r="1086" spans="5:7" x14ac:dyDescent="0.2">
      <c r="E1086" s="101" t="s">
        <v>41</v>
      </c>
      <c r="F1086" s="101">
        <v>1.443747510000001</v>
      </c>
      <c r="G1086" s="102">
        <v>2681.900455367298</v>
      </c>
    </row>
    <row r="1087" spans="5:7" x14ac:dyDescent="0.2">
      <c r="E1087" s="101" t="s">
        <v>17</v>
      </c>
      <c r="F1087" s="101">
        <v>36702.641885169993</v>
      </c>
      <c r="G1087" s="102">
        <v>1918.908076519913</v>
      </c>
    </row>
    <row r="1088" spans="5:7" x14ac:dyDescent="0.2">
      <c r="E1088" s="87"/>
      <c r="F1088" s="87"/>
      <c r="G1088" s="96"/>
    </row>
    <row r="1089" spans="5:7" x14ac:dyDescent="0.2">
      <c r="E1089" s="100" t="s">
        <v>350</v>
      </c>
      <c r="F1089" s="87"/>
      <c r="G1089" s="96"/>
    </row>
    <row r="1090" spans="5:7" x14ac:dyDescent="0.2">
      <c r="E1090" s="101" t="s">
        <v>16</v>
      </c>
      <c r="F1090" s="101">
        <v>7238.0436229999996</v>
      </c>
      <c r="G1090" s="102">
        <v>5092.1474627080879</v>
      </c>
    </row>
    <row r="1091" spans="5:7" x14ac:dyDescent="0.2">
      <c r="E1091" s="101" t="s">
        <v>41</v>
      </c>
      <c r="F1091" s="101">
        <v>1.443747510000001</v>
      </c>
      <c r="G1091" s="102">
        <v>2671.555366090749</v>
      </c>
    </row>
    <row r="1092" spans="5:7" x14ac:dyDescent="0.2">
      <c r="E1092" s="101" t="s">
        <v>17</v>
      </c>
      <c r="F1092" s="101">
        <v>36702.641885169993</v>
      </c>
      <c r="G1092" s="102">
        <v>1910.539874170094</v>
      </c>
    </row>
    <row r="1093" spans="5:7" x14ac:dyDescent="0.2">
      <c r="E1093" s="87"/>
      <c r="F1093" s="87"/>
      <c r="G1093" s="96"/>
    </row>
    <row r="1094" spans="5:7" x14ac:dyDescent="0.2">
      <c r="E1094" s="100" t="s">
        <v>351</v>
      </c>
      <c r="F1094" s="87"/>
      <c r="G1094" s="96"/>
    </row>
    <row r="1095" spans="5:7" x14ac:dyDescent="0.2">
      <c r="E1095" s="101" t="s">
        <v>16</v>
      </c>
      <c r="F1095" s="101">
        <v>7238.0436229999996</v>
      </c>
      <c r="G1095" s="102">
        <v>5341.6116304248826</v>
      </c>
    </row>
    <row r="1096" spans="5:7" x14ac:dyDescent="0.2">
      <c r="E1096" s="101" t="s">
        <v>41</v>
      </c>
      <c r="F1096" s="101">
        <v>1.443747510000001</v>
      </c>
      <c r="G1096" s="102">
        <v>2725.545502927444</v>
      </c>
    </row>
    <row r="1097" spans="5:7" x14ac:dyDescent="0.2">
      <c r="E1097" s="101" t="s">
        <v>17</v>
      </c>
      <c r="F1097" s="101">
        <v>36702.641885169993</v>
      </c>
      <c r="G1097" s="102">
        <v>1961.3884482906469</v>
      </c>
    </row>
    <row r="1098" spans="5:7" x14ac:dyDescent="0.2">
      <c r="E1098" s="87"/>
      <c r="F1098" s="87"/>
      <c r="G1098" s="96"/>
    </row>
    <row r="1099" spans="5:7" x14ac:dyDescent="0.2">
      <c r="E1099" s="100" t="s">
        <v>352</v>
      </c>
      <c r="F1099" s="87"/>
      <c r="G1099" s="96"/>
    </row>
    <row r="1100" spans="5:7" x14ac:dyDescent="0.2">
      <c r="E1100" s="101" t="s">
        <v>16</v>
      </c>
      <c r="F1100" s="101">
        <v>7238.0436229999996</v>
      </c>
      <c r="G1100" s="102">
        <v>5293.9166143515604</v>
      </c>
    </row>
    <row r="1101" spans="5:7" x14ac:dyDescent="0.2">
      <c r="E1101" s="101" t="s">
        <v>41</v>
      </c>
      <c r="F1101" s="101">
        <v>1.443747510000001</v>
      </c>
      <c r="G1101" s="102">
        <v>2682.9321617558112</v>
      </c>
    </row>
    <row r="1102" spans="5:7" x14ac:dyDescent="0.2">
      <c r="E1102" s="101" t="s">
        <v>17</v>
      </c>
      <c r="F1102" s="101">
        <v>36702.641885169993</v>
      </c>
      <c r="G1102" s="102">
        <v>1960.452163896156</v>
      </c>
    </row>
    <row r="1103" spans="5:7" x14ac:dyDescent="0.2">
      <c r="E1103" s="87"/>
      <c r="F1103" s="87"/>
      <c r="G1103" s="96"/>
    </row>
    <row r="1104" spans="5:7" x14ac:dyDescent="0.2">
      <c r="E1104" s="100" t="s">
        <v>353</v>
      </c>
      <c r="F1104" s="87"/>
      <c r="G1104" s="96"/>
    </row>
    <row r="1105" spans="5:7" x14ac:dyDescent="0.2">
      <c r="E1105" s="101" t="s">
        <v>16</v>
      </c>
      <c r="F1105" s="101">
        <v>7238.0436229999996</v>
      </c>
      <c r="G1105" s="102">
        <v>5592.6977713371552</v>
      </c>
    </row>
    <row r="1106" spans="5:7" x14ac:dyDescent="0.2">
      <c r="E1106" s="101" t="s">
        <v>41</v>
      </c>
      <c r="F1106" s="101">
        <v>1.443747510000001</v>
      </c>
      <c r="G1106" s="102">
        <v>2730.8085718195312</v>
      </c>
    </row>
    <row r="1107" spans="5:7" x14ac:dyDescent="0.2">
      <c r="E1107" s="101" t="s">
        <v>17</v>
      </c>
      <c r="F1107" s="101">
        <v>36702.641885169993</v>
      </c>
      <c r="G1107" s="102">
        <v>2037.1783027042659</v>
      </c>
    </row>
    <row r="1108" spans="5:7" x14ac:dyDescent="0.2">
      <c r="E1108" s="87"/>
      <c r="F1108" s="87"/>
      <c r="G1108" s="96"/>
    </row>
    <row r="1109" spans="5:7" x14ac:dyDescent="0.2">
      <c r="E1109" s="100" t="s">
        <v>354</v>
      </c>
      <c r="F1109" s="87"/>
      <c r="G1109" s="96"/>
    </row>
    <row r="1110" spans="5:7" x14ac:dyDescent="0.2">
      <c r="E1110" s="101" t="s">
        <v>16</v>
      </c>
      <c r="F1110" s="101">
        <v>7238.0436229999996</v>
      </c>
      <c r="G1110" s="102">
        <v>5741.8215193517917</v>
      </c>
    </row>
    <row r="1111" spans="5:7" x14ac:dyDescent="0.2">
      <c r="E1111" s="101" t="s">
        <v>41</v>
      </c>
      <c r="F1111" s="101">
        <v>1.443747510000001</v>
      </c>
      <c r="G1111" s="102">
        <v>2730.147483631757</v>
      </c>
    </row>
    <row r="1112" spans="5:7" x14ac:dyDescent="0.2">
      <c r="E1112" s="101" t="s">
        <v>17</v>
      </c>
      <c r="F1112" s="101">
        <v>36702.641885169993</v>
      </c>
      <c r="G1112" s="102">
        <v>2099.677763464847</v>
      </c>
    </row>
    <row r="1113" spans="5:7" x14ac:dyDescent="0.2">
      <c r="E1113" s="87"/>
      <c r="F1113" s="87"/>
      <c r="G1113" s="96"/>
    </row>
    <row r="1114" spans="5:7" x14ac:dyDescent="0.2">
      <c r="E1114" s="100" t="s">
        <v>355</v>
      </c>
      <c r="F1114" s="87"/>
      <c r="G1114" s="96"/>
    </row>
    <row r="1115" spans="5:7" x14ac:dyDescent="0.2">
      <c r="E1115" s="101" t="s">
        <v>16</v>
      </c>
      <c r="F1115" s="101">
        <v>7238.0436229999996</v>
      </c>
      <c r="G1115" s="102">
        <v>5944.147059408564</v>
      </c>
    </row>
    <row r="1116" spans="5:7" x14ac:dyDescent="0.2">
      <c r="E1116" s="101" t="s">
        <v>41</v>
      </c>
      <c r="F1116" s="101">
        <v>1.443747510000001</v>
      </c>
      <c r="G1116" s="102">
        <v>2727.5621650955381</v>
      </c>
    </row>
    <row r="1117" spans="5:7" x14ac:dyDescent="0.2">
      <c r="E1117" s="101" t="s">
        <v>17</v>
      </c>
      <c r="F1117" s="101">
        <v>36702.641885169993</v>
      </c>
      <c r="G1117" s="102">
        <v>2066.9151501860501</v>
      </c>
    </row>
    <row r="1118" spans="5:7" x14ac:dyDescent="0.2">
      <c r="E1118" s="87"/>
      <c r="F1118" s="87"/>
      <c r="G1118" s="96"/>
    </row>
    <row r="1119" spans="5:7" x14ac:dyDescent="0.2">
      <c r="E1119" s="100" t="s">
        <v>356</v>
      </c>
      <c r="F1119" s="87"/>
      <c r="G1119" s="96"/>
    </row>
    <row r="1120" spans="5:7" x14ac:dyDescent="0.2">
      <c r="E1120" s="101" t="s">
        <v>16</v>
      </c>
      <c r="F1120" s="101">
        <v>7238.0436229999996</v>
      </c>
      <c r="G1120" s="102">
        <v>5654.8163264597752</v>
      </c>
    </row>
    <row r="1121" spans="5:7" x14ac:dyDescent="0.2">
      <c r="E1121" s="101" t="s">
        <v>41</v>
      </c>
      <c r="F1121" s="101">
        <v>1.443747510000001</v>
      </c>
      <c r="G1121" s="102">
        <v>2739.076494848211</v>
      </c>
    </row>
    <row r="1122" spans="5:7" x14ac:dyDescent="0.2">
      <c r="E1122" s="101" t="s">
        <v>17</v>
      </c>
      <c r="F1122" s="101">
        <v>36702.641885169993</v>
      </c>
      <c r="G1122" s="102">
        <v>1930.5039091971139</v>
      </c>
    </row>
    <row r="1123" spans="5:7" x14ac:dyDescent="0.2">
      <c r="E1123" s="87"/>
      <c r="F1123" s="87"/>
      <c r="G1123" s="96"/>
    </row>
    <row r="1124" spans="5:7" x14ac:dyDescent="0.2">
      <c r="E1124" s="100" t="s">
        <v>357</v>
      </c>
      <c r="F1124" s="87"/>
      <c r="G1124" s="96"/>
    </row>
    <row r="1125" spans="5:7" x14ac:dyDescent="0.2">
      <c r="E1125" s="101" t="s">
        <v>34</v>
      </c>
      <c r="F1125" s="101">
        <v>75.213398999999995</v>
      </c>
      <c r="G1125" s="102">
        <v>710.33677973538488</v>
      </c>
    </row>
    <row r="1126" spans="5:7" x14ac:dyDescent="0.2">
      <c r="E1126" s="101" t="s">
        <v>16</v>
      </c>
      <c r="F1126" s="101">
        <v>4402.375986</v>
      </c>
      <c r="G1126" s="102">
        <v>3255.5404006657732</v>
      </c>
    </row>
    <row r="1127" spans="5:7" x14ac:dyDescent="0.2">
      <c r="E1127" s="101" t="s">
        <v>17</v>
      </c>
      <c r="F1127" s="101">
        <v>36702.641885169993</v>
      </c>
      <c r="G1127" s="102">
        <v>1904.8260068814111</v>
      </c>
    </row>
    <row r="1128" spans="5:7" x14ac:dyDescent="0.2">
      <c r="E1128" s="101" t="s">
        <v>43</v>
      </c>
      <c r="F1128" s="101">
        <v>105.2927045</v>
      </c>
      <c r="G1128" s="102">
        <v>757.51041959547615</v>
      </c>
    </row>
    <row r="1129" spans="5:7" x14ac:dyDescent="0.2">
      <c r="E1129" s="101" t="s">
        <v>36</v>
      </c>
      <c r="F1129" s="101">
        <v>2232.1241340000001</v>
      </c>
      <c r="G1129" s="102">
        <v>697.77146849472797</v>
      </c>
    </row>
    <row r="1130" spans="5:7" x14ac:dyDescent="0.2">
      <c r="E1130" s="101" t="s">
        <v>41</v>
      </c>
      <c r="F1130" s="101">
        <v>1.4450574199999999</v>
      </c>
      <c r="G1130" s="102">
        <v>2763.1272914918691</v>
      </c>
    </row>
    <row r="1131" spans="5:7" x14ac:dyDescent="0.2">
      <c r="E1131" s="87"/>
      <c r="F1131" s="87"/>
      <c r="G1131" s="96"/>
    </row>
    <row r="1132" spans="5:7" x14ac:dyDescent="0.2">
      <c r="E1132" s="100" t="s">
        <v>358</v>
      </c>
      <c r="F1132" s="87"/>
      <c r="G1132" s="96"/>
    </row>
    <row r="1133" spans="5:7" x14ac:dyDescent="0.2">
      <c r="E1133" s="101" t="s">
        <v>34</v>
      </c>
      <c r="F1133" s="101">
        <v>75.213398999999995</v>
      </c>
      <c r="G1133" s="102">
        <v>707.57087242281705</v>
      </c>
    </row>
    <row r="1134" spans="5:7" x14ac:dyDescent="0.2">
      <c r="E1134" s="101" t="s">
        <v>16</v>
      </c>
      <c r="F1134" s="101">
        <v>4402.375986</v>
      </c>
      <c r="G1134" s="102">
        <v>3291.5117305860199</v>
      </c>
    </row>
    <row r="1135" spans="5:7" x14ac:dyDescent="0.2">
      <c r="E1135" s="101" t="s">
        <v>17</v>
      </c>
      <c r="F1135" s="101">
        <v>36702.641885169993</v>
      </c>
      <c r="G1135" s="102">
        <v>1864.7118544330151</v>
      </c>
    </row>
    <row r="1136" spans="5:7" x14ac:dyDescent="0.2">
      <c r="E1136" s="101" t="s">
        <v>43</v>
      </c>
      <c r="F1136" s="101">
        <v>105.2927045</v>
      </c>
      <c r="G1136" s="102">
        <v>696.40844615887784</v>
      </c>
    </row>
    <row r="1137" spans="5:7" x14ac:dyDescent="0.2">
      <c r="E1137" s="101" t="s">
        <v>36</v>
      </c>
      <c r="F1137" s="101">
        <v>2232.1241340000001</v>
      </c>
      <c r="G1137" s="102">
        <v>702.51136177203568</v>
      </c>
    </row>
    <row r="1138" spans="5:7" x14ac:dyDescent="0.2">
      <c r="E1138" s="101" t="s">
        <v>41</v>
      </c>
      <c r="F1138" s="101">
        <v>1.4450574199999999</v>
      </c>
      <c r="G1138" s="102">
        <v>2778.8974260164359</v>
      </c>
    </row>
    <row r="1139" spans="5:7" x14ac:dyDescent="0.2">
      <c r="E1139" s="87"/>
      <c r="F1139" s="87"/>
      <c r="G1139" s="96"/>
    </row>
    <row r="1140" spans="5:7" x14ac:dyDescent="0.2">
      <c r="E1140" s="100" t="s">
        <v>359</v>
      </c>
      <c r="F1140" s="87"/>
      <c r="G1140" s="96"/>
    </row>
    <row r="1141" spans="5:7" x14ac:dyDescent="0.2">
      <c r="E1141" s="101" t="s">
        <v>34</v>
      </c>
      <c r="F1141" s="101">
        <v>75.213398999999995</v>
      </c>
      <c r="G1141" s="102">
        <v>730.23780812093673</v>
      </c>
    </row>
    <row r="1142" spans="5:7" x14ac:dyDescent="0.2">
      <c r="E1142" s="101" t="s">
        <v>16</v>
      </c>
      <c r="F1142" s="101">
        <v>4402.375986</v>
      </c>
      <c r="G1142" s="102">
        <v>3140.0192812962619</v>
      </c>
    </row>
    <row r="1143" spans="5:7" x14ac:dyDescent="0.2">
      <c r="E1143" s="101" t="s">
        <v>17</v>
      </c>
      <c r="F1143" s="101">
        <v>36702.641885169993</v>
      </c>
      <c r="G1143" s="102">
        <v>1909.6531383421491</v>
      </c>
    </row>
    <row r="1144" spans="5:7" x14ac:dyDescent="0.2">
      <c r="E1144" s="101" t="s">
        <v>43</v>
      </c>
      <c r="F1144" s="101">
        <v>105.2927045</v>
      </c>
      <c r="G1144" s="102">
        <v>728.39959279566256</v>
      </c>
    </row>
    <row r="1145" spans="5:7" x14ac:dyDescent="0.2">
      <c r="E1145" s="101" t="s">
        <v>36</v>
      </c>
      <c r="F1145" s="101">
        <v>2232.1241340000001</v>
      </c>
      <c r="G1145" s="102">
        <v>727.53505812231083</v>
      </c>
    </row>
    <row r="1146" spans="5:7" x14ac:dyDescent="0.2">
      <c r="E1146" s="101" t="s">
        <v>41</v>
      </c>
      <c r="F1146" s="101">
        <v>1.4450574199999999</v>
      </c>
      <c r="G1146" s="102">
        <v>2790.968560489639</v>
      </c>
    </row>
    <row r="1147" spans="5:7" x14ac:dyDescent="0.2">
      <c r="E1147" s="87"/>
      <c r="F1147" s="87"/>
      <c r="G1147" s="96"/>
    </row>
    <row r="1148" spans="5:7" x14ac:dyDescent="0.2">
      <c r="E1148" s="100" t="s">
        <v>360</v>
      </c>
      <c r="F1148" s="87"/>
      <c r="G1148" s="96"/>
    </row>
    <row r="1149" spans="5:7" x14ac:dyDescent="0.2">
      <c r="E1149" s="101" t="s">
        <v>34</v>
      </c>
      <c r="F1149" s="101">
        <v>75.213398999999995</v>
      </c>
      <c r="G1149" s="102">
        <v>734.26037939972866</v>
      </c>
    </row>
    <row r="1150" spans="5:7" x14ac:dyDescent="0.2">
      <c r="E1150" s="101" t="s">
        <v>16</v>
      </c>
      <c r="F1150" s="101">
        <v>4402.375986</v>
      </c>
      <c r="G1150" s="102">
        <v>3168.2992641551291</v>
      </c>
    </row>
    <row r="1151" spans="5:7" x14ac:dyDescent="0.2">
      <c r="E1151" s="101" t="s">
        <v>17</v>
      </c>
      <c r="F1151" s="101">
        <v>36702.641885169993</v>
      </c>
      <c r="G1151" s="102">
        <v>1873.6661979737401</v>
      </c>
    </row>
    <row r="1152" spans="5:7" x14ac:dyDescent="0.2">
      <c r="E1152" s="101" t="s">
        <v>43</v>
      </c>
      <c r="F1152" s="101">
        <v>105.2927045</v>
      </c>
      <c r="G1152" s="102">
        <v>730.61781315405085</v>
      </c>
    </row>
    <row r="1153" spans="5:7" x14ac:dyDescent="0.2">
      <c r="E1153" s="101" t="s">
        <v>36</v>
      </c>
      <c r="F1153" s="101">
        <v>2232.1241340000001</v>
      </c>
      <c r="G1153" s="102">
        <v>733.62616774413539</v>
      </c>
    </row>
    <row r="1154" spans="5:7" x14ac:dyDescent="0.2">
      <c r="E1154" s="101" t="s">
        <v>41</v>
      </c>
      <c r="F1154" s="101">
        <v>1.4450574199999999</v>
      </c>
      <c r="G1154" s="102">
        <v>2797.5448095579241</v>
      </c>
    </row>
    <row r="1155" spans="5:7" x14ac:dyDescent="0.2">
      <c r="E1155" s="87"/>
      <c r="F1155" s="87"/>
      <c r="G1155" s="96"/>
    </row>
    <row r="1156" spans="5:7" x14ac:dyDescent="0.2">
      <c r="E1156" s="100" t="s">
        <v>361</v>
      </c>
      <c r="F1156" s="87"/>
      <c r="G1156" s="96"/>
    </row>
    <row r="1157" spans="5:7" x14ac:dyDescent="0.2">
      <c r="E1157" s="101" t="s">
        <v>44</v>
      </c>
      <c r="F1157" s="101">
        <v>10508.52390858</v>
      </c>
      <c r="G1157" s="102">
        <v>398.017068492769</v>
      </c>
    </row>
    <row r="1158" spans="5:7" x14ac:dyDescent="0.2">
      <c r="E1158" s="101" t="s">
        <v>34</v>
      </c>
      <c r="F1158" s="101">
        <v>34.086134999999992</v>
      </c>
      <c r="G1158" s="102">
        <v>337.16499225589308</v>
      </c>
    </row>
    <row r="1159" spans="5:7" x14ac:dyDescent="0.2">
      <c r="E1159" s="101" t="s">
        <v>16</v>
      </c>
      <c r="F1159" s="101">
        <v>4402.375986</v>
      </c>
      <c r="G1159" s="102">
        <v>3576.971782911749</v>
      </c>
    </row>
    <row r="1160" spans="5:7" x14ac:dyDescent="0.2">
      <c r="E1160" s="101" t="s">
        <v>17</v>
      </c>
      <c r="F1160" s="101">
        <v>36702.641885169993</v>
      </c>
      <c r="G1160" s="102">
        <v>1920.9946217110851</v>
      </c>
    </row>
    <row r="1161" spans="5:7" x14ac:dyDescent="0.2">
      <c r="E1161" s="101" t="s">
        <v>43</v>
      </c>
      <c r="F1161" s="101">
        <v>105.2927045</v>
      </c>
      <c r="G1161" s="102">
        <v>744.85458503342807</v>
      </c>
    </row>
    <row r="1162" spans="5:7" x14ac:dyDescent="0.2">
      <c r="E1162" s="101" t="s">
        <v>36</v>
      </c>
      <c r="F1162" s="101">
        <v>2232.1241340000001</v>
      </c>
      <c r="G1162" s="102">
        <v>796.61037157307487</v>
      </c>
    </row>
    <row r="1163" spans="5:7" x14ac:dyDescent="0.2">
      <c r="E1163" s="101" t="s">
        <v>41</v>
      </c>
      <c r="F1163" s="101">
        <v>1.4450574199999999</v>
      </c>
      <c r="G1163" s="102">
        <v>2894.816502043785</v>
      </c>
    </row>
    <row r="1164" spans="5:7" x14ac:dyDescent="0.2">
      <c r="E1164" s="87"/>
      <c r="F1164" s="87"/>
      <c r="G1164" s="96"/>
    </row>
    <row r="1165" spans="5:7" x14ac:dyDescent="0.2">
      <c r="E1165" s="100" t="s">
        <v>362</v>
      </c>
      <c r="F1165" s="87"/>
      <c r="G1165" s="96"/>
    </row>
    <row r="1166" spans="5:7" x14ac:dyDescent="0.2">
      <c r="E1166" s="101" t="s">
        <v>44</v>
      </c>
      <c r="F1166" s="101">
        <v>10508.52390858</v>
      </c>
      <c r="G1166" s="102">
        <v>387.84240038876459</v>
      </c>
    </row>
    <row r="1167" spans="5:7" x14ac:dyDescent="0.2">
      <c r="E1167" s="101" t="s">
        <v>34</v>
      </c>
      <c r="F1167" s="101">
        <v>34.086134999999992</v>
      </c>
      <c r="G1167" s="102">
        <v>309.26878893281571</v>
      </c>
    </row>
    <row r="1168" spans="5:7" x14ac:dyDescent="0.2">
      <c r="E1168" s="101" t="s">
        <v>16</v>
      </c>
      <c r="F1168" s="101">
        <v>4402.375986</v>
      </c>
      <c r="G1168" s="102">
        <v>2075.173942539137</v>
      </c>
    </row>
    <row r="1169" spans="5:7" x14ac:dyDescent="0.2">
      <c r="E1169" s="101" t="s">
        <v>17</v>
      </c>
      <c r="F1169" s="101">
        <v>36702.641885169993</v>
      </c>
      <c r="G1169" s="102">
        <v>1774.3851846479361</v>
      </c>
    </row>
    <row r="1170" spans="5:7" x14ac:dyDescent="0.2">
      <c r="E1170" s="101" t="s">
        <v>43</v>
      </c>
      <c r="F1170" s="101">
        <v>105.2927045</v>
      </c>
      <c r="G1170" s="102">
        <v>658.52347615915585</v>
      </c>
    </row>
    <row r="1171" spans="5:7" x14ac:dyDescent="0.2">
      <c r="E1171" s="101" t="s">
        <v>36</v>
      </c>
      <c r="F1171" s="101">
        <v>2232.1241340000001</v>
      </c>
      <c r="G1171" s="102">
        <v>644.49941534275342</v>
      </c>
    </row>
    <row r="1172" spans="5:7" x14ac:dyDescent="0.2">
      <c r="E1172" s="101" t="s">
        <v>41</v>
      </c>
      <c r="F1172" s="101">
        <v>1.4450574199999999</v>
      </c>
      <c r="G1172" s="102">
        <v>2707.3249249854398</v>
      </c>
    </row>
    <row r="1173" spans="5:7" x14ac:dyDescent="0.2">
      <c r="E1173" s="87"/>
      <c r="F1173" s="87"/>
      <c r="G1173" s="96"/>
    </row>
    <row r="1174" spans="5:7" x14ac:dyDescent="0.2">
      <c r="E1174" s="100" t="s">
        <v>363</v>
      </c>
      <c r="F1174" s="87"/>
      <c r="G1174" s="96"/>
    </row>
    <row r="1175" spans="5:7" x14ac:dyDescent="0.2">
      <c r="E1175" s="101" t="s">
        <v>44</v>
      </c>
      <c r="F1175" s="101">
        <v>10508.52390858</v>
      </c>
      <c r="G1175" s="102">
        <v>388.89630025155611</v>
      </c>
    </row>
    <row r="1176" spans="5:7" x14ac:dyDescent="0.2">
      <c r="E1176" s="101" t="s">
        <v>34</v>
      </c>
      <c r="F1176" s="101">
        <v>34.086134999999992</v>
      </c>
      <c r="G1176" s="102">
        <v>313.75784428836471</v>
      </c>
    </row>
    <row r="1177" spans="5:7" x14ac:dyDescent="0.2">
      <c r="E1177" s="101" t="s">
        <v>16</v>
      </c>
      <c r="F1177" s="101">
        <v>4402.375986</v>
      </c>
      <c r="G1177" s="102">
        <v>2093.1682141443139</v>
      </c>
    </row>
    <row r="1178" spans="5:7" x14ac:dyDescent="0.2">
      <c r="E1178" s="101" t="s">
        <v>17</v>
      </c>
      <c r="F1178" s="101">
        <v>36702.641885169993</v>
      </c>
      <c r="G1178" s="102">
        <v>1774.307375047139</v>
      </c>
    </row>
    <row r="1179" spans="5:7" x14ac:dyDescent="0.2">
      <c r="E1179" s="101" t="s">
        <v>43</v>
      </c>
      <c r="F1179" s="101">
        <v>105.2927045</v>
      </c>
      <c r="G1179" s="102">
        <v>653.27786837878602</v>
      </c>
    </row>
    <row r="1180" spans="5:7" x14ac:dyDescent="0.2">
      <c r="E1180" s="101" t="s">
        <v>36</v>
      </c>
      <c r="F1180" s="101">
        <v>2232.1241340000001</v>
      </c>
      <c r="G1180" s="102">
        <v>653.26905160413662</v>
      </c>
    </row>
    <row r="1181" spans="5:7" x14ac:dyDescent="0.2">
      <c r="E1181" s="101" t="s">
        <v>41</v>
      </c>
      <c r="F1181" s="101">
        <v>1.4450574199999999</v>
      </c>
      <c r="G1181" s="102">
        <v>2710.7338971572171</v>
      </c>
    </row>
    <row r="1182" spans="5:7" x14ac:dyDescent="0.2">
      <c r="E1182" s="87"/>
      <c r="F1182" s="87"/>
      <c r="G1182" s="96"/>
    </row>
    <row r="1183" spans="5:7" x14ac:dyDescent="0.2">
      <c r="E1183" s="100" t="s">
        <v>364</v>
      </c>
      <c r="F1183" s="87"/>
      <c r="G1183" s="96"/>
    </row>
    <row r="1184" spans="5:7" x14ac:dyDescent="0.2">
      <c r="E1184" s="101" t="s">
        <v>44</v>
      </c>
      <c r="F1184" s="101">
        <v>10508.52390858</v>
      </c>
      <c r="G1184" s="102">
        <v>388.86708655509022</v>
      </c>
    </row>
    <row r="1185" spans="5:7" x14ac:dyDescent="0.2">
      <c r="E1185" s="101" t="s">
        <v>34</v>
      </c>
      <c r="F1185" s="101">
        <v>34.086134999999992</v>
      </c>
      <c r="G1185" s="102">
        <v>315.03756732357772</v>
      </c>
    </row>
    <row r="1186" spans="5:7" x14ac:dyDescent="0.2">
      <c r="E1186" s="101" t="s">
        <v>16</v>
      </c>
      <c r="F1186" s="101">
        <v>4402.375986</v>
      </c>
      <c r="G1186" s="102">
        <v>2101.3299991035592</v>
      </c>
    </row>
    <row r="1187" spans="5:7" x14ac:dyDescent="0.2">
      <c r="E1187" s="101" t="s">
        <v>17</v>
      </c>
      <c r="F1187" s="101">
        <v>36702.641885169993</v>
      </c>
      <c r="G1187" s="102">
        <v>1745.526631386464</v>
      </c>
    </row>
    <row r="1188" spans="5:7" x14ac:dyDescent="0.2">
      <c r="E1188" s="101" t="s">
        <v>43</v>
      </c>
      <c r="F1188" s="101">
        <v>105.2927045</v>
      </c>
      <c r="G1188" s="102">
        <v>649.38692178792064</v>
      </c>
    </row>
    <row r="1189" spans="5:7" x14ac:dyDescent="0.2">
      <c r="E1189" s="101" t="s">
        <v>36</v>
      </c>
      <c r="F1189" s="101">
        <v>2232.1241340000001</v>
      </c>
      <c r="G1189" s="102">
        <v>642.28829549685429</v>
      </c>
    </row>
    <row r="1190" spans="5:7" x14ac:dyDescent="0.2">
      <c r="E1190" s="101" t="s">
        <v>41</v>
      </c>
      <c r="F1190" s="101">
        <v>1.4450574199999999</v>
      </c>
      <c r="G1190" s="102">
        <v>2709.8790022568869</v>
      </c>
    </row>
    <row r="1191" spans="5:7" x14ac:dyDescent="0.2">
      <c r="E1191" s="87"/>
      <c r="F1191" s="87"/>
      <c r="G1191" s="96"/>
    </row>
    <row r="1192" spans="5:7" x14ac:dyDescent="0.2">
      <c r="E1192" s="100" t="s">
        <v>365</v>
      </c>
      <c r="F1192" s="87"/>
      <c r="G1192" s="96"/>
    </row>
    <row r="1193" spans="5:7" x14ac:dyDescent="0.2">
      <c r="E1193" s="101" t="s">
        <v>16</v>
      </c>
      <c r="F1193" s="101">
        <v>4402.375986</v>
      </c>
      <c r="G1193" s="102">
        <v>2061.1578339699499</v>
      </c>
    </row>
    <row r="1194" spans="5:7" x14ac:dyDescent="0.2">
      <c r="E1194" s="101" t="s">
        <v>34</v>
      </c>
      <c r="F1194" s="101">
        <v>34.09613499999999</v>
      </c>
      <c r="G1194" s="102">
        <v>321.9631342829166</v>
      </c>
    </row>
    <row r="1195" spans="5:7" x14ac:dyDescent="0.2">
      <c r="E1195" s="101" t="s">
        <v>17</v>
      </c>
      <c r="F1195" s="101">
        <v>36702.641885169993</v>
      </c>
      <c r="G1195" s="102">
        <v>1730.134277432662</v>
      </c>
    </row>
    <row r="1196" spans="5:7" x14ac:dyDescent="0.2">
      <c r="E1196" s="101" t="s">
        <v>44</v>
      </c>
      <c r="F1196" s="101">
        <v>10561.520754220001</v>
      </c>
      <c r="G1196" s="102">
        <v>386.84748780077769</v>
      </c>
    </row>
    <row r="1197" spans="5:7" x14ac:dyDescent="0.2">
      <c r="E1197" s="101" t="s">
        <v>43</v>
      </c>
      <c r="F1197" s="101">
        <v>105.2927045</v>
      </c>
      <c r="G1197" s="102">
        <v>646.93184443783264</v>
      </c>
    </row>
    <row r="1198" spans="5:7" x14ac:dyDescent="0.2">
      <c r="E1198" s="101" t="s">
        <v>36</v>
      </c>
      <c r="F1198" s="101">
        <v>2232.1241340000001</v>
      </c>
      <c r="G1198" s="102">
        <v>634.93534378083825</v>
      </c>
    </row>
    <row r="1199" spans="5:7" x14ac:dyDescent="0.2">
      <c r="E1199" s="101" t="s">
        <v>41</v>
      </c>
      <c r="F1199" s="101">
        <v>1.4450574199999999</v>
      </c>
      <c r="G1199" s="102">
        <v>2697.8018912429538</v>
      </c>
    </row>
    <row r="1200" spans="5:7" x14ac:dyDescent="0.2">
      <c r="E1200" s="87"/>
      <c r="F1200" s="87"/>
      <c r="G1200" s="96"/>
    </row>
    <row r="1201" spans="5:7" x14ac:dyDescent="0.2">
      <c r="E1201" s="100" t="s">
        <v>366</v>
      </c>
      <c r="F1201" s="87"/>
      <c r="G1201" s="96"/>
    </row>
    <row r="1202" spans="5:7" x14ac:dyDescent="0.2">
      <c r="E1202" s="101" t="s">
        <v>16</v>
      </c>
      <c r="F1202" s="101">
        <v>4402.375986</v>
      </c>
      <c r="G1202" s="102">
        <v>2070.9966160135418</v>
      </c>
    </row>
    <row r="1203" spans="5:7" x14ac:dyDescent="0.2">
      <c r="E1203" s="101" t="s">
        <v>34</v>
      </c>
      <c r="F1203" s="101">
        <v>34.09613499999999</v>
      </c>
      <c r="G1203" s="102">
        <v>313.9611485016697</v>
      </c>
    </row>
    <row r="1204" spans="5:7" x14ac:dyDescent="0.2">
      <c r="E1204" s="101" t="s">
        <v>17</v>
      </c>
      <c r="F1204" s="101">
        <v>36702.641885169993</v>
      </c>
      <c r="G1204" s="102">
        <v>1730.883745379957</v>
      </c>
    </row>
    <row r="1205" spans="5:7" x14ac:dyDescent="0.2">
      <c r="E1205" s="101" t="s">
        <v>44</v>
      </c>
      <c r="F1205" s="101">
        <v>10561.520754220001</v>
      </c>
      <c r="G1205" s="102">
        <v>400.75025126080271</v>
      </c>
    </row>
    <row r="1206" spans="5:7" x14ac:dyDescent="0.2">
      <c r="E1206" s="101" t="s">
        <v>43</v>
      </c>
      <c r="F1206" s="101">
        <v>105.2927045</v>
      </c>
      <c r="G1206" s="102">
        <v>652.17546534486848</v>
      </c>
    </row>
    <row r="1207" spans="5:7" x14ac:dyDescent="0.2">
      <c r="E1207" s="101" t="s">
        <v>36</v>
      </c>
      <c r="F1207" s="101">
        <v>2232.1241340000001</v>
      </c>
      <c r="G1207" s="102">
        <v>648.64042971490869</v>
      </c>
    </row>
    <row r="1208" spans="5:7" x14ac:dyDescent="0.2">
      <c r="E1208" s="101" t="s">
        <v>41</v>
      </c>
      <c r="F1208" s="101">
        <v>1.4450574199999999</v>
      </c>
      <c r="G1208" s="102">
        <v>2694.8421960644978</v>
      </c>
    </row>
    <row r="1209" spans="5:7" x14ac:dyDescent="0.2">
      <c r="E1209" s="87"/>
      <c r="F1209" s="87"/>
      <c r="G1209" s="96"/>
    </row>
    <row r="1210" spans="5:7" x14ac:dyDescent="0.2">
      <c r="E1210" s="100" t="s">
        <v>367</v>
      </c>
      <c r="F1210" s="87"/>
      <c r="G1210" s="96"/>
    </row>
    <row r="1211" spans="5:7" x14ac:dyDescent="0.2">
      <c r="E1211" s="101" t="s">
        <v>16</v>
      </c>
      <c r="F1211" s="101">
        <v>4402.375986</v>
      </c>
      <c r="G1211" s="102">
        <v>2061.9137219267459</v>
      </c>
    </row>
    <row r="1212" spans="5:7" x14ac:dyDescent="0.2">
      <c r="E1212" s="101" t="s">
        <v>34</v>
      </c>
      <c r="F1212" s="101">
        <v>34.09613499999999</v>
      </c>
      <c r="G1212" s="102">
        <v>313.9734950531145</v>
      </c>
    </row>
    <row r="1213" spans="5:7" x14ac:dyDescent="0.2">
      <c r="E1213" s="101" t="s">
        <v>17</v>
      </c>
      <c r="F1213" s="101">
        <v>36702.641885169993</v>
      </c>
      <c r="G1213" s="102">
        <v>1728.9586918130799</v>
      </c>
    </row>
    <row r="1214" spans="5:7" x14ac:dyDescent="0.2">
      <c r="E1214" s="101" t="s">
        <v>44</v>
      </c>
      <c r="F1214" s="101">
        <v>10561.520754220001</v>
      </c>
      <c r="G1214" s="102">
        <v>403.94785728435039</v>
      </c>
    </row>
    <row r="1215" spans="5:7" x14ac:dyDescent="0.2">
      <c r="E1215" s="101" t="s">
        <v>43</v>
      </c>
      <c r="F1215" s="101">
        <v>105.2927045</v>
      </c>
      <c r="G1215" s="102">
        <v>647.66827845993839</v>
      </c>
    </row>
    <row r="1216" spans="5:7" x14ac:dyDescent="0.2">
      <c r="E1216" s="101" t="s">
        <v>36</v>
      </c>
      <c r="F1216" s="101">
        <v>2232.1241340000001</v>
      </c>
      <c r="G1216" s="102">
        <v>634.26671099649843</v>
      </c>
    </row>
    <row r="1217" spans="5:7" x14ac:dyDescent="0.2">
      <c r="E1217" s="101" t="s">
        <v>41</v>
      </c>
      <c r="F1217" s="101">
        <v>1.4450574199999999</v>
      </c>
      <c r="G1217" s="102">
        <v>2701.2706716101861</v>
      </c>
    </row>
    <row r="1218" spans="5:7" x14ac:dyDescent="0.2">
      <c r="E1218" s="87"/>
      <c r="F1218" s="87"/>
      <c r="G1218" s="96"/>
    </row>
    <row r="1219" spans="5:7" x14ac:dyDescent="0.2">
      <c r="E1219" s="100" t="s">
        <v>368</v>
      </c>
      <c r="F1219" s="87"/>
      <c r="G1219" s="96"/>
    </row>
    <row r="1220" spans="5:7" x14ac:dyDescent="0.2">
      <c r="E1220" s="101" t="s">
        <v>16</v>
      </c>
      <c r="F1220" s="101">
        <v>4402.375986</v>
      </c>
      <c r="G1220" s="102">
        <v>2044.502060759557</v>
      </c>
    </row>
    <row r="1221" spans="5:7" x14ac:dyDescent="0.2">
      <c r="E1221" s="101" t="s">
        <v>34</v>
      </c>
      <c r="F1221" s="101">
        <v>34.09613499999999</v>
      </c>
      <c r="G1221" s="102">
        <v>314.82825106142951</v>
      </c>
    </row>
    <row r="1222" spans="5:7" x14ac:dyDescent="0.2">
      <c r="E1222" s="101" t="s">
        <v>17</v>
      </c>
      <c r="F1222" s="101">
        <v>36702.641885169993</v>
      </c>
      <c r="G1222" s="102">
        <v>1698.6845176540969</v>
      </c>
    </row>
    <row r="1223" spans="5:7" x14ac:dyDescent="0.2">
      <c r="E1223" s="101" t="s">
        <v>44</v>
      </c>
      <c r="F1223" s="101">
        <v>10561.520754220001</v>
      </c>
      <c r="G1223" s="102">
        <v>389.71895406343498</v>
      </c>
    </row>
    <row r="1224" spans="5:7" x14ac:dyDescent="0.2">
      <c r="E1224" s="101" t="s">
        <v>43</v>
      </c>
      <c r="F1224" s="101">
        <v>105.2927045</v>
      </c>
      <c r="G1224" s="102">
        <v>642.41224354304188</v>
      </c>
    </row>
    <row r="1225" spans="5:7" x14ac:dyDescent="0.2">
      <c r="E1225" s="101" t="s">
        <v>36</v>
      </c>
      <c r="F1225" s="101">
        <v>2232.1241340000001</v>
      </c>
      <c r="G1225" s="102">
        <v>625.03346255248346</v>
      </c>
    </row>
    <row r="1226" spans="5:7" x14ac:dyDescent="0.2">
      <c r="E1226" s="101" t="s">
        <v>41</v>
      </c>
      <c r="F1226" s="101">
        <v>1.4450574199999999</v>
      </c>
      <c r="G1226" s="102">
        <v>2681.2676037218771</v>
      </c>
    </row>
    <row r="1227" spans="5:7" x14ac:dyDescent="0.2">
      <c r="E1227" s="87"/>
      <c r="F1227" s="87"/>
      <c r="G1227" s="96"/>
    </row>
    <row r="1228" spans="5:7" x14ac:dyDescent="0.2">
      <c r="E1228" s="100" t="s">
        <v>369</v>
      </c>
      <c r="F1228" s="87"/>
      <c r="G1228" s="96"/>
    </row>
    <row r="1229" spans="5:7" x14ac:dyDescent="0.2">
      <c r="E1229" s="101" t="s">
        <v>16</v>
      </c>
      <c r="F1229" s="101">
        <v>4402.375986</v>
      </c>
      <c r="G1229" s="102">
        <v>2103.4795912500031</v>
      </c>
    </row>
    <row r="1230" spans="5:7" x14ac:dyDescent="0.2">
      <c r="E1230" s="101" t="s">
        <v>34</v>
      </c>
      <c r="F1230" s="101">
        <v>34.09613499999999</v>
      </c>
      <c r="G1230" s="102">
        <v>320.30466281653622</v>
      </c>
    </row>
    <row r="1231" spans="5:7" x14ac:dyDescent="0.2">
      <c r="E1231" s="101" t="s">
        <v>17</v>
      </c>
      <c r="F1231" s="101">
        <v>36702.641885169993</v>
      </c>
      <c r="G1231" s="102">
        <v>1734.055587691674</v>
      </c>
    </row>
    <row r="1232" spans="5:7" x14ac:dyDescent="0.2">
      <c r="E1232" s="101" t="s">
        <v>44</v>
      </c>
      <c r="F1232" s="101">
        <v>10561.520754220001</v>
      </c>
      <c r="G1232" s="102">
        <v>399.23847518004368</v>
      </c>
    </row>
    <row r="1233" spans="5:7" x14ac:dyDescent="0.2">
      <c r="E1233" s="101" t="s">
        <v>43</v>
      </c>
      <c r="F1233" s="101">
        <v>105.2927045</v>
      </c>
      <c r="G1233" s="102">
        <v>663.83720410762885</v>
      </c>
    </row>
    <row r="1234" spans="5:7" x14ac:dyDescent="0.2">
      <c r="E1234" s="101" t="s">
        <v>36</v>
      </c>
      <c r="F1234" s="101">
        <v>2232.1241340000001</v>
      </c>
      <c r="G1234" s="102">
        <v>634.26470208477792</v>
      </c>
    </row>
    <row r="1235" spans="5:7" x14ac:dyDescent="0.2">
      <c r="E1235" s="101" t="s">
        <v>41</v>
      </c>
      <c r="F1235" s="101">
        <v>1.4450574199999999</v>
      </c>
      <c r="G1235" s="102">
        <v>2760.7898026490088</v>
      </c>
    </row>
    <row r="1236" spans="5:7" x14ac:dyDescent="0.2">
      <c r="E1236" s="87"/>
      <c r="F1236" s="87"/>
      <c r="G1236" s="96"/>
    </row>
    <row r="1237" spans="5:7" x14ac:dyDescent="0.2">
      <c r="E1237" s="100" t="s">
        <v>370</v>
      </c>
      <c r="F1237" s="87"/>
      <c r="G1237" s="96"/>
    </row>
    <row r="1238" spans="5:7" x14ac:dyDescent="0.2">
      <c r="E1238" s="101" t="s">
        <v>16</v>
      </c>
      <c r="F1238" s="101">
        <v>4402.375986</v>
      </c>
      <c r="G1238" s="102">
        <v>2148.5104386405601</v>
      </c>
    </row>
    <row r="1239" spans="5:7" x14ac:dyDescent="0.2">
      <c r="E1239" s="101" t="s">
        <v>34</v>
      </c>
      <c r="F1239" s="101">
        <v>34.09613499999999</v>
      </c>
      <c r="G1239" s="102">
        <v>330.66011999578137</v>
      </c>
    </row>
    <row r="1240" spans="5:7" x14ac:dyDescent="0.2">
      <c r="E1240" s="101" t="s">
        <v>17</v>
      </c>
      <c r="F1240" s="101">
        <v>36702.641885169993</v>
      </c>
      <c r="G1240" s="102">
        <v>1780.030785022713</v>
      </c>
    </row>
    <row r="1241" spans="5:7" x14ac:dyDescent="0.2">
      <c r="E1241" s="101" t="s">
        <v>44</v>
      </c>
      <c r="F1241" s="101">
        <v>10561.520754220001</v>
      </c>
      <c r="G1241" s="102">
        <v>411.24069298034692</v>
      </c>
    </row>
    <row r="1242" spans="5:7" x14ac:dyDescent="0.2">
      <c r="E1242" s="101" t="s">
        <v>43</v>
      </c>
      <c r="F1242" s="101">
        <v>105.2927045</v>
      </c>
      <c r="G1242" s="102">
        <v>687.62175943908233</v>
      </c>
    </row>
    <row r="1243" spans="5:7" x14ac:dyDescent="0.2">
      <c r="E1243" s="101" t="s">
        <v>36</v>
      </c>
      <c r="F1243" s="101">
        <v>2232.1241340000001</v>
      </c>
      <c r="G1243" s="102">
        <v>653.73663696772689</v>
      </c>
    </row>
    <row r="1244" spans="5:7" x14ac:dyDescent="0.2">
      <c r="E1244" s="101" t="s">
        <v>41</v>
      </c>
      <c r="F1244" s="101">
        <v>1.4450574199999999</v>
      </c>
      <c r="G1244" s="102">
        <v>2799.076837469735</v>
      </c>
    </row>
    <row r="1245" spans="5:7" x14ac:dyDescent="0.2">
      <c r="E1245" s="87"/>
      <c r="F1245" s="87"/>
      <c r="G1245" s="96"/>
    </row>
    <row r="1246" spans="5:7" x14ac:dyDescent="0.2">
      <c r="E1246" s="100" t="s">
        <v>371</v>
      </c>
      <c r="F1246" s="87"/>
      <c r="G1246" s="96"/>
    </row>
    <row r="1247" spans="5:7" x14ac:dyDescent="0.2">
      <c r="E1247" s="101" t="s">
        <v>16</v>
      </c>
      <c r="F1247" s="101">
        <v>4402.375986</v>
      </c>
      <c r="G1247" s="102">
        <v>2155.0352881369299</v>
      </c>
    </row>
    <row r="1248" spans="5:7" x14ac:dyDescent="0.2">
      <c r="E1248" s="101" t="s">
        <v>34</v>
      </c>
      <c r="F1248" s="101">
        <v>34.09613499999999</v>
      </c>
      <c r="G1248" s="102">
        <v>338.2464445687022</v>
      </c>
    </row>
    <row r="1249" spans="5:7" x14ac:dyDescent="0.2">
      <c r="E1249" s="101" t="s">
        <v>17</v>
      </c>
      <c r="F1249" s="101">
        <v>36702.641885169993</v>
      </c>
      <c r="G1249" s="102">
        <v>1840.0983287319821</v>
      </c>
    </row>
    <row r="1250" spans="5:7" x14ac:dyDescent="0.2">
      <c r="E1250" s="101" t="s">
        <v>44</v>
      </c>
      <c r="F1250" s="101">
        <v>10561.520754220001</v>
      </c>
      <c r="G1250" s="102">
        <v>416.51089183670268</v>
      </c>
    </row>
    <row r="1251" spans="5:7" x14ac:dyDescent="0.2">
      <c r="E1251" s="101" t="s">
        <v>43</v>
      </c>
      <c r="F1251" s="101">
        <v>105.2927045</v>
      </c>
      <c r="G1251" s="102">
        <v>696.59398032762317</v>
      </c>
    </row>
    <row r="1252" spans="5:7" x14ac:dyDescent="0.2">
      <c r="E1252" s="101" t="s">
        <v>36</v>
      </c>
      <c r="F1252" s="101">
        <v>2232.1241340000001</v>
      </c>
      <c r="G1252" s="102">
        <v>660.07908376703983</v>
      </c>
    </row>
    <row r="1253" spans="5:7" x14ac:dyDescent="0.2">
      <c r="E1253" s="101" t="s">
        <v>41</v>
      </c>
      <c r="F1253" s="101">
        <v>1.4450574199999999</v>
      </c>
      <c r="G1253" s="102">
        <v>2823.3259155666001</v>
      </c>
    </row>
    <row r="1254" spans="5:7" x14ac:dyDescent="0.2">
      <c r="E1254" s="87"/>
      <c r="F1254" s="87"/>
      <c r="G1254" s="96"/>
    </row>
    <row r="1255" spans="5:7" x14ac:dyDescent="0.2">
      <c r="E1255" s="100" t="s">
        <v>372</v>
      </c>
      <c r="F1255" s="87"/>
      <c r="G1255" s="96"/>
    </row>
    <row r="1256" spans="5:7" x14ac:dyDescent="0.2">
      <c r="E1256" s="101" t="s">
        <v>16</v>
      </c>
      <c r="F1256" s="101">
        <v>4402.375986</v>
      </c>
      <c r="G1256" s="102">
        <v>2129.984404040034</v>
      </c>
    </row>
    <row r="1257" spans="5:7" x14ac:dyDescent="0.2">
      <c r="E1257" s="101" t="s">
        <v>34</v>
      </c>
      <c r="F1257" s="101">
        <v>34.09613499999999</v>
      </c>
      <c r="G1257" s="102">
        <v>326.59632816179231</v>
      </c>
    </row>
    <row r="1258" spans="5:7" x14ac:dyDescent="0.2">
      <c r="E1258" s="101" t="s">
        <v>17</v>
      </c>
      <c r="F1258" s="101">
        <v>36702.641885169993</v>
      </c>
      <c r="G1258" s="102">
        <v>1836.6350674436969</v>
      </c>
    </row>
    <row r="1259" spans="5:7" x14ac:dyDescent="0.2">
      <c r="E1259" s="101" t="s">
        <v>44</v>
      </c>
      <c r="F1259" s="101">
        <v>10561.520754220001</v>
      </c>
      <c r="G1259" s="102">
        <v>419.51596133690089</v>
      </c>
    </row>
    <row r="1260" spans="5:7" x14ac:dyDescent="0.2">
      <c r="E1260" s="101" t="s">
        <v>43</v>
      </c>
      <c r="F1260" s="101">
        <v>105.2927045</v>
      </c>
      <c r="G1260" s="102">
        <v>686.85384395125823</v>
      </c>
    </row>
    <row r="1261" spans="5:7" x14ac:dyDescent="0.2">
      <c r="E1261" s="101" t="s">
        <v>36</v>
      </c>
      <c r="F1261" s="101">
        <v>2232.1241340000001</v>
      </c>
      <c r="G1261" s="102">
        <v>650.83244257822082</v>
      </c>
    </row>
    <row r="1262" spans="5:7" x14ac:dyDescent="0.2">
      <c r="E1262" s="101" t="s">
        <v>41</v>
      </c>
      <c r="F1262" s="101">
        <v>1.4450574199999999</v>
      </c>
      <c r="G1262" s="102">
        <v>2794.683076570489</v>
      </c>
    </row>
    <row r="1263" spans="5:7" x14ac:dyDescent="0.2">
      <c r="E1263" s="87"/>
      <c r="F1263" s="87"/>
      <c r="G1263" s="96"/>
    </row>
    <row r="1264" spans="5:7" x14ac:dyDescent="0.2">
      <c r="E1264" s="100" t="s">
        <v>373</v>
      </c>
      <c r="F1264" s="87"/>
      <c r="G1264" s="96"/>
    </row>
    <row r="1265" spans="5:7" x14ac:dyDescent="0.2">
      <c r="E1265" s="101" t="s">
        <v>16</v>
      </c>
      <c r="F1265" s="101">
        <v>4402.375986</v>
      </c>
      <c r="G1265" s="102">
        <v>2083.716048759813</v>
      </c>
    </row>
    <row r="1266" spans="5:7" x14ac:dyDescent="0.2">
      <c r="E1266" s="101" t="s">
        <v>34</v>
      </c>
      <c r="F1266" s="101">
        <v>34.09613499999999</v>
      </c>
      <c r="G1266" s="102">
        <v>325.93998506419189</v>
      </c>
    </row>
    <row r="1267" spans="5:7" x14ac:dyDescent="0.2">
      <c r="E1267" s="101" t="s">
        <v>17</v>
      </c>
      <c r="F1267" s="101">
        <v>36702.641885169993</v>
      </c>
      <c r="G1267" s="102">
        <v>1862.004300541146</v>
      </c>
    </row>
    <row r="1268" spans="5:7" x14ac:dyDescent="0.2">
      <c r="E1268" s="101" t="s">
        <v>44</v>
      </c>
      <c r="F1268" s="101">
        <v>10561.520754220001</v>
      </c>
      <c r="G1268" s="102">
        <v>413.37771108975568</v>
      </c>
    </row>
    <row r="1269" spans="5:7" x14ac:dyDescent="0.2">
      <c r="E1269" s="101" t="s">
        <v>43</v>
      </c>
      <c r="F1269" s="101">
        <v>105.2927045</v>
      </c>
      <c r="G1269" s="102">
        <v>684.14749714407833</v>
      </c>
    </row>
    <row r="1270" spans="5:7" x14ac:dyDescent="0.2">
      <c r="E1270" s="101" t="s">
        <v>36</v>
      </c>
      <c r="F1270" s="101">
        <v>2232.1241340000001</v>
      </c>
      <c r="G1270" s="102">
        <v>652.07312413562204</v>
      </c>
    </row>
    <row r="1271" spans="5:7" x14ac:dyDescent="0.2">
      <c r="E1271" s="101" t="s">
        <v>41</v>
      </c>
      <c r="F1271" s="101">
        <v>1.4450574199999999</v>
      </c>
      <c r="G1271" s="102">
        <v>2781.110171708121</v>
      </c>
    </row>
    <row r="1272" spans="5:7" x14ac:dyDescent="0.2">
      <c r="E1272" s="87"/>
      <c r="F1272" s="87"/>
      <c r="G1272" s="96"/>
    </row>
    <row r="1273" spans="5:7" x14ac:dyDescent="0.2">
      <c r="E1273" s="100" t="s">
        <v>374</v>
      </c>
      <c r="F1273" s="87"/>
      <c r="G1273" s="96"/>
    </row>
    <row r="1274" spans="5:7" x14ac:dyDescent="0.2">
      <c r="E1274" s="101" t="s">
        <v>16</v>
      </c>
      <c r="F1274" s="101">
        <v>4402.375986</v>
      </c>
      <c r="G1274" s="102">
        <v>2085.1761848030892</v>
      </c>
    </row>
    <row r="1275" spans="5:7" x14ac:dyDescent="0.2">
      <c r="E1275" s="101" t="s">
        <v>34</v>
      </c>
      <c r="F1275" s="101">
        <v>34.09613499999999</v>
      </c>
      <c r="G1275" s="102">
        <v>316.72050813281902</v>
      </c>
    </row>
    <row r="1276" spans="5:7" x14ac:dyDescent="0.2">
      <c r="E1276" s="101" t="s">
        <v>17</v>
      </c>
      <c r="F1276" s="101">
        <v>36702.641885169993</v>
      </c>
      <c r="G1276" s="102">
        <v>1850.1111764646751</v>
      </c>
    </row>
    <row r="1277" spans="5:7" x14ac:dyDescent="0.2">
      <c r="E1277" s="101" t="s">
        <v>44</v>
      </c>
      <c r="F1277" s="101">
        <v>10561.520754220001</v>
      </c>
      <c r="G1277" s="102">
        <v>401.188765602518</v>
      </c>
    </row>
    <row r="1278" spans="5:7" x14ac:dyDescent="0.2">
      <c r="E1278" s="101" t="s">
        <v>43</v>
      </c>
      <c r="F1278" s="101">
        <v>105.2927045</v>
      </c>
      <c r="G1278" s="102">
        <v>664.15002452099031</v>
      </c>
    </row>
    <row r="1279" spans="5:7" x14ac:dyDescent="0.2">
      <c r="E1279" s="101" t="s">
        <v>36</v>
      </c>
      <c r="F1279" s="101">
        <v>2232.1241340000001</v>
      </c>
      <c r="G1279" s="102">
        <v>640.2749195279863</v>
      </c>
    </row>
    <row r="1280" spans="5:7" x14ac:dyDescent="0.2">
      <c r="E1280" s="101" t="s">
        <v>41</v>
      </c>
      <c r="F1280" s="101">
        <v>1.4450574199999999</v>
      </c>
      <c r="G1280" s="102">
        <v>2794.807110010614</v>
      </c>
    </row>
    <row r="1281" spans="5:7" x14ac:dyDescent="0.2">
      <c r="E1281" s="87"/>
      <c r="F1281" s="87"/>
      <c r="G1281" s="96"/>
    </row>
    <row r="1282" spans="5:7" x14ac:dyDescent="0.2">
      <c r="E1282" s="100" t="s">
        <v>375</v>
      </c>
      <c r="F1282" s="87"/>
      <c r="G1282" s="96"/>
    </row>
    <row r="1283" spans="5:7" x14ac:dyDescent="0.2">
      <c r="E1283" s="101" t="s">
        <v>16</v>
      </c>
      <c r="F1283" s="101">
        <v>4402.375986</v>
      </c>
      <c r="G1283" s="102">
        <v>2089.3158269902451</v>
      </c>
    </row>
    <row r="1284" spans="5:7" x14ac:dyDescent="0.2">
      <c r="E1284" s="101" t="s">
        <v>34</v>
      </c>
      <c r="F1284" s="101">
        <v>34.09613499999999</v>
      </c>
      <c r="G1284" s="102">
        <v>306.87665152560157</v>
      </c>
    </row>
    <row r="1285" spans="5:7" x14ac:dyDescent="0.2">
      <c r="E1285" s="101" t="s">
        <v>17</v>
      </c>
      <c r="F1285" s="101">
        <v>36702.641885169993</v>
      </c>
      <c r="G1285" s="102">
        <v>1773.908050303429</v>
      </c>
    </row>
    <row r="1286" spans="5:7" x14ac:dyDescent="0.2">
      <c r="E1286" s="101" t="s">
        <v>44</v>
      </c>
      <c r="F1286" s="101">
        <v>10561.520754220001</v>
      </c>
      <c r="G1286" s="102">
        <v>404.03403929370478</v>
      </c>
    </row>
    <row r="1287" spans="5:7" x14ac:dyDescent="0.2">
      <c r="E1287" s="101" t="s">
        <v>43</v>
      </c>
      <c r="F1287" s="101">
        <v>105.2927045</v>
      </c>
      <c r="G1287" s="102">
        <v>621.64403042886795</v>
      </c>
    </row>
    <row r="1288" spans="5:7" x14ac:dyDescent="0.2">
      <c r="E1288" s="101" t="s">
        <v>36</v>
      </c>
      <c r="F1288" s="101">
        <v>2232.1241340000001</v>
      </c>
      <c r="G1288" s="102">
        <v>615.47796234724296</v>
      </c>
    </row>
    <row r="1289" spans="5:7" x14ac:dyDescent="0.2">
      <c r="E1289" s="101" t="s">
        <v>41</v>
      </c>
      <c r="F1289" s="101">
        <v>1.4450574199999999</v>
      </c>
      <c r="G1289" s="102">
        <v>2678.334805108168</v>
      </c>
    </row>
    <row r="1290" spans="5:7" x14ac:dyDescent="0.2">
      <c r="E1290" s="87"/>
      <c r="F1290" s="87"/>
      <c r="G1290" s="96"/>
    </row>
    <row r="1291" spans="5:7" x14ac:dyDescent="0.2">
      <c r="E1291" s="100" t="s">
        <v>376</v>
      </c>
      <c r="F1291" s="87"/>
      <c r="G1291" s="96"/>
    </row>
    <row r="1292" spans="5:7" x14ac:dyDescent="0.2">
      <c r="E1292" s="101" t="s">
        <v>16</v>
      </c>
      <c r="F1292" s="101">
        <v>4402.375986</v>
      </c>
      <c r="G1292" s="102">
        <v>2046.304613607025</v>
      </c>
    </row>
    <row r="1293" spans="5:7" x14ac:dyDescent="0.2">
      <c r="E1293" s="101" t="s">
        <v>34</v>
      </c>
      <c r="F1293" s="101">
        <v>34.09613499999999</v>
      </c>
      <c r="G1293" s="102">
        <v>310.90780790301409</v>
      </c>
    </row>
    <row r="1294" spans="5:7" x14ac:dyDescent="0.2">
      <c r="E1294" s="101" t="s">
        <v>17</v>
      </c>
      <c r="F1294" s="101">
        <v>36702.641885169993</v>
      </c>
      <c r="G1294" s="102">
        <v>1746.366387832797</v>
      </c>
    </row>
    <row r="1295" spans="5:7" x14ac:dyDescent="0.2">
      <c r="E1295" s="101" t="s">
        <v>44</v>
      </c>
      <c r="F1295" s="101">
        <v>10561.520754220001</v>
      </c>
      <c r="G1295" s="102">
        <v>401.75908772324578</v>
      </c>
    </row>
    <row r="1296" spans="5:7" x14ac:dyDescent="0.2">
      <c r="E1296" s="101" t="s">
        <v>43</v>
      </c>
      <c r="F1296" s="101">
        <v>105.2927045</v>
      </c>
      <c r="G1296" s="102">
        <v>612.40089246457569</v>
      </c>
    </row>
    <row r="1297" spans="5:7" x14ac:dyDescent="0.2">
      <c r="E1297" s="101" t="s">
        <v>36</v>
      </c>
      <c r="F1297" s="101">
        <v>2232.1241340000001</v>
      </c>
      <c r="G1297" s="102">
        <v>595.94901901391154</v>
      </c>
    </row>
    <row r="1298" spans="5:7" x14ac:dyDescent="0.2">
      <c r="E1298" s="101" t="s">
        <v>41</v>
      </c>
      <c r="F1298" s="101">
        <v>1.4450574199999999</v>
      </c>
      <c r="G1298" s="102">
        <v>2642.2272861756769</v>
      </c>
    </row>
    <row r="1299" spans="5:7" x14ac:dyDescent="0.2">
      <c r="E1299" s="87"/>
      <c r="F1299" s="87"/>
      <c r="G1299" s="96"/>
    </row>
    <row r="1300" spans="5:7" x14ac:dyDescent="0.2">
      <c r="E1300" s="100" t="s">
        <v>377</v>
      </c>
      <c r="F1300" s="87"/>
      <c r="G1300" s="96"/>
    </row>
    <row r="1301" spans="5:7" x14ac:dyDescent="0.2">
      <c r="E1301" s="101" t="s">
        <v>16</v>
      </c>
      <c r="F1301" s="101">
        <v>4402.375986</v>
      </c>
      <c r="G1301" s="102">
        <v>2132.377095388425</v>
      </c>
    </row>
    <row r="1302" spans="5:7" x14ac:dyDescent="0.2">
      <c r="E1302" s="101" t="s">
        <v>34</v>
      </c>
      <c r="F1302" s="101">
        <v>34.09613499999999</v>
      </c>
      <c r="G1302" s="102">
        <v>321.17789927098261</v>
      </c>
    </row>
    <row r="1303" spans="5:7" x14ac:dyDescent="0.2">
      <c r="E1303" s="101" t="s">
        <v>17</v>
      </c>
      <c r="F1303" s="101">
        <v>36702.641885169993</v>
      </c>
      <c r="G1303" s="102">
        <v>1854.8157211015159</v>
      </c>
    </row>
    <row r="1304" spans="5:7" x14ac:dyDescent="0.2">
      <c r="E1304" s="101" t="s">
        <v>44</v>
      </c>
      <c r="F1304" s="101">
        <v>10561.520754220001</v>
      </c>
      <c r="G1304" s="102">
        <v>422.55651754683322</v>
      </c>
    </row>
    <row r="1305" spans="5:7" x14ac:dyDescent="0.2">
      <c r="E1305" s="101" t="s">
        <v>43</v>
      </c>
      <c r="F1305" s="101">
        <v>105.2927045</v>
      </c>
      <c r="G1305" s="102">
        <v>653.03147081513146</v>
      </c>
    </row>
    <row r="1306" spans="5:7" x14ac:dyDescent="0.2">
      <c r="E1306" s="101" t="s">
        <v>36</v>
      </c>
      <c r="F1306" s="101">
        <v>2232.1241340000001</v>
      </c>
      <c r="G1306" s="102">
        <v>639.2008437159468</v>
      </c>
    </row>
    <row r="1307" spans="5:7" x14ac:dyDescent="0.2">
      <c r="E1307" s="101" t="s">
        <v>41</v>
      </c>
      <c r="F1307" s="101">
        <v>1.4450574199999999</v>
      </c>
      <c r="G1307" s="102">
        <v>2731.177170503036</v>
      </c>
    </row>
    <row r="1308" spans="5:7" x14ac:dyDescent="0.2">
      <c r="E1308" s="87"/>
      <c r="F1308" s="87"/>
      <c r="G1308" s="96"/>
    </row>
    <row r="1309" spans="5:7" x14ac:dyDescent="0.2">
      <c r="E1309" s="100" t="s">
        <v>378</v>
      </c>
      <c r="F1309" s="87"/>
      <c r="G1309" s="96"/>
    </row>
    <row r="1310" spans="5:7" x14ac:dyDescent="0.2">
      <c r="E1310" s="101" t="s">
        <v>16</v>
      </c>
      <c r="F1310" s="101">
        <v>4402.375986</v>
      </c>
      <c r="G1310" s="102">
        <v>2109.3984096681402</v>
      </c>
    </row>
    <row r="1311" spans="5:7" x14ac:dyDescent="0.2">
      <c r="E1311" s="101" t="s">
        <v>34</v>
      </c>
      <c r="F1311" s="101">
        <v>34.09613499999999</v>
      </c>
      <c r="G1311" s="102">
        <v>314.15843351223862</v>
      </c>
    </row>
    <row r="1312" spans="5:7" x14ac:dyDescent="0.2">
      <c r="E1312" s="101" t="s">
        <v>17</v>
      </c>
      <c r="F1312" s="101">
        <v>36702.641885169993</v>
      </c>
      <c r="G1312" s="102">
        <v>1820.4983839124629</v>
      </c>
    </row>
    <row r="1313" spans="5:7" x14ac:dyDescent="0.2">
      <c r="E1313" s="101" t="s">
        <v>44</v>
      </c>
      <c r="F1313" s="101">
        <v>10561.520754220001</v>
      </c>
      <c r="G1313" s="102">
        <v>430.74951165671189</v>
      </c>
    </row>
    <row r="1314" spans="5:7" x14ac:dyDescent="0.2">
      <c r="E1314" s="101" t="s">
        <v>43</v>
      </c>
      <c r="F1314" s="101">
        <v>105.2927045</v>
      </c>
      <c r="G1314" s="102">
        <v>638.97669737548244</v>
      </c>
    </row>
    <row r="1315" spans="5:7" x14ac:dyDescent="0.2">
      <c r="E1315" s="101" t="s">
        <v>36</v>
      </c>
      <c r="F1315" s="101">
        <v>2232.1241340000001</v>
      </c>
      <c r="G1315" s="102">
        <v>626.37041562378408</v>
      </c>
    </row>
    <row r="1316" spans="5:7" x14ac:dyDescent="0.2">
      <c r="E1316" s="101" t="s">
        <v>41</v>
      </c>
      <c r="F1316" s="101">
        <v>1.4450574199999999</v>
      </c>
      <c r="G1316" s="102">
        <v>2687.5212862347362</v>
      </c>
    </row>
    <row r="1317" spans="5:7" x14ac:dyDescent="0.2">
      <c r="E1317" s="87"/>
      <c r="F1317" s="87"/>
      <c r="G1317" s="96"/>
    </row>
    <row r="1318" spans="5:7" x14ac:dyDescent="0.2">
      <c r="E1318" s="100" t="s">
        <v>379</v>
      </c>
      <c r="F1318" s="87"/>
      <c r="G1318" s="96"/>
    </row>
    <row r="1319" spans="5:7" x14ac:dyDescent="0.2">
      <c r="E1319" s="101" t="s">
        <v>16</v>
      </c>
      <c r="F1319" s="101">
        <v>4402.375986</v>
      </c>
      <c r="G1319" s="102">
        <v>2155.2813369307878</v>
      </c>
    </row>
    <row r="1320" spans="5:7" x14ac:dyDescent="0.2">
      <c r="E1320" s="101" t="s">
        <v>34</v>
      </c>
      <c r="F1320" s="101">
        <v>34.09613499999999</v>
      </c>
      <c r="G1320" s="102">
        <v>323.2121050306427</v>
      </c>
    </row>
    <row r="1321" spans="5:7" x14ac:dyDescent="0.2">
      <c r="E1321" s="101" t="s">
        <v>17</v>
      </c>
      <c r="F1321" s="101">
        <v>36702.641885169993</v>
      </c>
      <c r="G1321" s="102">
        <v>1898.7630974684</v>
      </c>
    </row>
    <row r="1322" spans="5:7" x14ac:dyDescent="0.2">
      <c r="E1322" s="101" t="s">
        <v>44</v>
      </c>
      <c r="F1322" s="101">
        <v>10561.520754220001</v>
      </c>
      <c r="G1322" s="102">
        <v>433.86241428381072</v>
      </c>
    </row>
    <row r="1323" spans="5:7" x14ac:dyDescent="0.2">
      <c r="E1323" s="101" t="s">
        <v>43</v>
      </c>
      <c r="F1323" s="101">
        <v>105.2927045</v>
      </c>
      <c r="G1323" s="102">
        <v>647.25010216645433</v>
      </c>
    </row>
    <row r="1324" spans="5:7" x14ac:dyDescent="0.2">
      <c r="E1324" s="101" t="s">
        <v>36</v>
      </c>
      <c r="F1324" s="101">
        <v>2232.1241340000001</v>
      </c>
      <c r="G1324" s="102">
        <v>651.8214074970308</v>
      </c>
    </row>
    <row r="1325" spans="5:7" x14ac:dyDescent="0.2">
      <c r="E1325" s="101" t="s">
        <v>41</v>
      </c>
      <c r="F1325" s="101">
        <v>1.4450574199999999</v>
      </c>
      <c r="G1325" s="102">
        <v>2744.376915023161</v>
      </c>
    </row>
    <row r="1326" spans="5:7" x14ac:dyDescent="0.2">
      <c r="E1326" s="87"/>
      <c r="F1326" s="87"/>
      <c r="G1326" s="96"/>
    </row>
    <row r="1327" spans="5:7" x14ac:dyDescent="0.2">
      <c r="E1327" s="100" t="s">
        <v>380</v>
      </c>
      <c r="F1327" s="87"/>
      <c r="G1327" s="96"/>
    </row>
    <row r="1328" spans="5:7" x14ac:dyDescent="0.2">
      <c r="E1328" s="101" t="s">
        <v>16</v>
      </c>
      <c r="F1328" s="101">
        <v>4402.375986</v>
      </c>
      <c r="G1328" s="102">
        <v>2142.6225689256039</v>
      </c>
    </row>
    <row r="1329" spans="5:7" x14ac:dyDescent="0.2">
      <c r="E1329" s="101" t="s">
        <v>34</v>
      </c>
      <c r="F1329" s="101">
        <v>34.09613499999999</v>
      </c>
      <c r="G1329" s="102">
        <v>319.68599663003363</v>
      </c>
    </row>
    <row r="1330" spans="5:7" x14ac:dyDescent="0.2">
      <c r="E1330" s="101" t="s">
        <v>17</v>
      </c>
      <c r="F1330" s="101">
        <v>36702.641885169993</v>
      </c>
      <c r="G1330" s="102">
        <v>1879.4446619121411</v>
      </c>
    </row>
    <row r="1331" spans="5:7" x14ac:dyDescent="0.2">
      <c r="E1331" s="101" t="s">
        <v>44</v>
      </c>
      <c r="F1331" s="101">
        <v>10561.520754220001</v>
      </c>
      <c r="G1331" s="102">
        <v>423.5470825783716</v>
      </c>
    </row>
    <row r="1332" spans="5:7" x14ac:dyDescent="0.2">
      <c r="E1332" s="101" t="s">
        <v>43</v>
      </c>
      <c r="F1332" s="101">
        <v>105.2927045</v>
      </c>
      <c r="G1332" s="102">
        <v>646.79069324988802</v>
      </c>
    </row>
    <row r="1333" spans="5:7" x14ac:dyDescent="0.2">
      <c r="E1333" s="101" t="s">
        <v>36</v>
      </c>
      <c r="F1333" s="101">
        <v>2232.1241340000001</v>
      </c>
      <c r="G1333" s="102">
        <v>646.45390787696635</v>
      </c>
    </row>
    <row r="1334" spans="5:7" x14ac:dyDescent="0.2">
      <c r="E1334" s="101" t="s">
        <v>41</v>
      </c>
      <c r="F1334" s="101">
        <v>1.4450574199999999</v>
      </c>
      <c r="G1334" s="102">
        <v>2709.5693109318649</v>
      </c>
    </row>
    <row r="1335" spans="5:7" x14ac:dyDescent="0.2">
      <c r="E1335" s="87"/>
      <c r="F1335" s="87"/>
      <c r="G1335" s="96"/>
    </row>
    <row r="1336" spans="5:7" x14ac:dyDescent="0.2">
      <c r="E1336" s="100" t="s">
        <v>381</v>
      </c>
      <c r="F1336" s="87"/>
      <c r="G1336" s="96"/>
    </row>
    <row r="1337" spans="5:7" x14ac:dyDescent="0.2">
      <c r="E1337" s="101" t="s">
        <v>16</v>
      </c>
      <c r="F1337" s="101">
        <v>4402.375986</v>
      </c>
      <c r="G1337" s="102">
        <v>2184.165237727414</v>
      </c>
    </row>
    <row r="1338" spans="5:7" x14ac:dyDescent="0.2">
      <c r="E1338" s="101" t="s">
        <v>34</v>
      </c>
      <c r="F1338" s="101">
        <v>34.09613499999999</v>
      </c>
      <c r="G1338" s="102">
        <v>315.73421264528753</v>
      </c>
    </row>
    <row r="1339" spans="5:7" x14ac:dyDescent="0.2">
      <c r="E1339" s="101" t="s">
        <v>17</v>
      </c>
      <c r="F1339" s="101">
        <v>36702.641885169993</v>
      </c>
      <c r="G1339" s="102">
        <v>1909.209036375338</v>
      </c>
    </row>
    <row r="1340" spans="5:7" x14ac:dyDescent="0.2">
      <c r="E1340" s="101" t="s">
        <v>44</v>
      </c>
      <c r="F1340" s="101">
        <v>10561.520754220001</v>
      </c>
      <c r="G1340" s="102">
        <v>437.53930211918492</v>
      </c>
    </row>
    <row r="1341" spans="5:7" x14ac:dyDescent="0.2">
      <c r="E1341" s="101" t="s">
        <v>43</v>
      </c>
      <c r="F1341" s="101">
        <v>105.2927045</v>
      </c>
      <c r="G1341" s="102">
        <v>637.33135356373782</v>
      </c>
    </row>
    <row r="1342" spans="5:7" x14ac:dyDescent="0.2">
      <c r="E1342" s="101" t="s">
        <v>36</v>
      </c>
      <c r="F1342" s="101">
        <v>2232.1241340000001</v>
      </c>
      <c r="G1342" s="102">
        <v>660.42100054188597</v>
      </c>
    </row>
    <row r="1343" spans="5:7" x14ac:dyDescent="0.2">
      <c r="E1343" s="101" t="s">
        <v>41</v>
      </c>
      <c r="F1343" s="101">
        <v>1.4450574199999999</v>
      </c>
      <c r="G1343" s="102">
        <v>2733.1021376192612</v>
      </c>
    </row>
    <row r="1344" spans="5:7" x14ac:dyDescent="0.2">
      <c r="E1344" s="87"/>
      <c r="F1344" s="87"/>
      <c r="G1344" s="96"/>
    </row>
    <row r="1345" spans="5:7" x14ac:dyDescent="0.2">
      <c r="E1345" s="100" t="s">
        <v>382</v>
      </c>
      <c r="F1345" s="87"/>
      <c r="G1345" s="96"/>
    </row>
    <row r="1346" spans="5:7" x14ac:dyDescent="0.2">
      <c r="E1346" s="101" t="s">
        <v>16</v>
      </c>
      <c r="F1346" s="101">
        <v>4402.375986</v>
      </c>
      <c r="G1346" s="102">
        <v>2180.34573632196</v>
      </c>
    </row>
    <row r="1347" spans="5:7" x14ac:dyDescent="0.2">
      <c r="E1347" s="101" t="s">
        <v>34</v>
      </c>
      <c r="F1347" s="101">
        <v>34.09613499999999</v>
      </c>
      <c r="G1347" s="102">
        <v>307.48582909869509</v>
      </c>
    </row>
    <row r="1348" spans="5:7" x14ac:dyDescent="0.2">
      <c r="E1348" s="101" t="s">
        <v>17</v>
      </c>
      <c r="F1348" s="101">
        <v>36702.641885169993</v>
      </c>
      <c r="G1348" s="102">
        <v>1843.8082317737351</v>
      </c>
    </row>
    <row r="1349" spans="5:7" x14ac:dyDescent="0.2">
      <c r="E1349" s="101" t="s">
        <v>44</v>
      </c>
      <c r="F1349" s="101">
        <v>10561.520754220001</v>
      </c>
      <c r="G1349" s="102">
        <v>436.37066984773043</v>
      </c>
    </row>
    <row r="1350" spans="5:7" x14ac:dyDescent="0.2">
      <c r="E1350" s="101" t="s">
        <v>43</v>
      </c>
      <c r="F1350" s="101">
        <v>105.2927045</v>
      </c>
      <c r="G1350" s="102">
        <v>586.94705291915534</v>
      </c>
    </row>
    <row r="1351" spans="5:7" x14ac:dyDescent="0.2">
      <c r="E1351" s="101" t="s">
        <v>36</v>
      </c>
      <c r="F1351" s="101">
        <v>2232.1241340000001</v>
      </c>
      <c r="G1351" s="102">
        <v>647.89621720739183</v>
      </c>
    </row>
    <row r="1352" spans="5:7" x14ac:dyDescent="0.2">
      <c r="E1352" s="101" t="s">
        <v>41</v>
      </c>
      <c r="F1352" s="101">
        <v>1.4450574199999999</v>
      </c>
      <c r="G1352" s="102">
        <v>2708.2947487416191</v>
      </c>
    </row>
    <row r="1353" spans="5:7" x14ac:dyDescent="0.2">
      <c r="E1353" s="87"/>
      <c r="F1353" s="87"/>
      <c r="G1353" s="96"/>
    </row>
    <row r="1354" spans="5:7" x14ac:dyDescent="0.2">
      <c r="E1354" s="100" t="s">
        <v>383</v>
      </c>
      <c r="F1354" s="87"/>
      <c r="G1354" s="96"/>
    </row>
    <row r="1355" spans="5:7" x14ac:dyDescent="0.2">
      <c r="E1355" s="101" t="s">
        <v>16</v>
      </c>
      <c r="F1355" s="101">
        <v>4402.375986</v>
      </c>
      <c r="G1355" s="102">
        <v>2205.5787026896369</v>
      </c>
    </row>
    <row r="1356" spans="5:7" x14ac:dyDescent="0.2">
      <c r="E1356" s="101" t="s">
        <v>34</v>
      </c>
      <c r="F1356" s="101">
        <v>34.09613499999999</v>
      </c>
      <c r="G1356" s="102">
        <v>308.9647833914164</v>
      </c>
    </row>
    <row r="1357" spans="5:7" x14ac:dyDescent="0.2">
      <c r="E1357" s="101" t="s">
        <v>17</v>
      </c>
      <c r="F1357" s="101">
        <v>36702.641885169993</v>
      </c>
      <c r="G1357" s="102">
        <v>1850.9123951370291</v>
      </c>
    </row>
    <row r="1358" spans="5:7" x14ac:dyDescent="0.2">
      <c r="E1358" s="101" t="s">
        <v>44</v>
      </c>
      <c r="F1358" s="101">
        <v>10561.520754220001</v>
      </c>
      <c r="G1358" s="102">
        <v>436.37542253206982</v>
      </c>
    </row>
    <row r="1359" spans="5:7" x14ac:dyDescent="0.2">
      <c r="E1359" s="101" t="s">
        <v>43</v>
      </c>
      <c r="F1359" s="101">
        <v>105.2927045</v>
      </c>
      <c r="G1359" s="102">
        <v>585.2234471460099</v>
      </c>
    </row>
    <row r="1360" spans="5:7" x14ac:dyDescent="0.2">
      <c r="E1360" s="101" t="s">
        <v>36</v>
      </c>
      <c r="F1360" s="101">
        <v>2232.1241340000001</v>
      </c>
      <c r="G1360" s="102">
        <v>640.94977993865984</v>
      </c>
    </row>
    <row r="1361" spans="5:7" x14ac:dyDescent="0.2">
      <c r="E1361" s="101" t="s">
        <v>41</v>
      </c>
      <c r="F1361" s="101">
        <v>1.4450574199999999</v>
      </c>
      <c r="G1361" s="102">
        <v>2735.348571717821</v>
      </c>
    </row>
    <row r="1362" spans="5:7" x14ac:dyDescent="0.2">
      <c r="E1362" s="87"/>
      <c r="F1362" s="87"/>
      <c r="G1362" s="96"/>
    </row>
    <row r="1363" spans="5:7" x14ac:dyDescent="0.2">
      <c r="E1363" s="100" t="s">
        <v>384</v>
      </c>
      <c r="F1363" s="87"/>
      <c r="G1363" s="96"/>
    </row>
    <row r="1364" spans="5:7" x14ac:dyDescent="0.2">
      <c r="E1364" s="101" t="s">
        <v>34</v>
      </c>
      <c r="F1364" s="101">
        <v>34.09613499999999</v>
      </c>
      <c r="G1364" s="102">
        <v>299.28050658387809</v>
      </c>
    </row>
    <row r="1365" spans="5:7" x14ac:dyDescent="0.2">
      <c r="E1365" s="101" t="s">
        <v>17</v>
      </c>
      <c r="F1365" s="101">
        <v>36702.641885169993</v>
      </c>
      <c r="G1365" s="102">
        <v>1796.630655894538</v>
      </c>
    </row>
    <row r="1366" spans="5:7" x14ac:dyDescent="0.2">
      <c r="E1366" s="101" t="s">
        <v>44</v>
      </c>
      <c r="F1366" s="101">
        <v>10561.520754220001</v>
      </c>
      <c r="G1366" s="102">
        <v>424.11212393872228</v>
      </c>
    </row>
    <row r="1367" spans="5:7" x14ac:dyDescent="0.2">
      <c r="E1367" s="101" t="s">
        <v>16</v>
      </c>
      <c r="F1367" s="101">
        <v>4404.4075869999997</v>
      </c>
      <c r="G1367" s="102">
        <v>2168.1723454856792</v>
      </c>
    </row>
    <row r="1368" spans="5:7" x14ac:dyDescent="0.2">
      <c r="E1368" s="101" t="s">
        <v>43</v>
      </c>
      <c r="F1368" s="101">
        <v>105.2927045</v>
      </c>
      <c r="G1368" s="102">
        <v>553.46685369655052</v>
      </c>
    </row>
    <row r="1369" spans="5:7" x14ac:dyDescent="0.2">
      <c r="E1369" s="101" t="s">
        <v>36</v>
      </c>
      <c r="F1369" s="101">
        <v>2232.1241340000001</v>
      </c>
      <c r="G1369" s="102">
        <v>601.92296443994235</v>
      </c>
    </row>
    <row r="1370" spans="5:7" x14ac:dyDescent="0.2">
      <c r="E1370" s="101" t="s">
        <v>41</v>
      </c>
      <c r="F1370" s="101">
        <v>1.4450574199999999</v>
      </c>
      <c r="G1370" s="102">
        <v>2586.927979589957</v>
      </c>
    </row>
    <row r="1371" spans="5:7" x14ac:dyDescent="0.2">
      <c r="E1371" s="87"/>
      <c r="F1371" s="87"/>
      <c r="G1371" s="96"/>
    </row>
    <row r="1372" spans="5:7" x14ac:dyDescent="0.2">
      <c r="E1372" s="100" t="s">
        <v>385</v>
      </c>
      <c r="F1372" s="87"/>
      <c r="G1372" s="96"/>
    </row>
    <row r="1373" spans="5:7" x14ac:dyDescent="0.2">
      <c r="E1373" s="101" t="s">
        <v>17</v>
      </c>
      <c r="F1373" s="101">
        <v>36702.641885169993</v>
      </c>
      <c r="G1373" s="102">
        <v>1650.110406251169</v>
      </c>
    </row>
    <row r="1374" spans="5:7" x14ac:dyDescent="0.2">
      <c r="E1374" s="101" t="s">
        <v>34</v>
      </c>
      <c r="F1374" s="101">
        <v>45.775306</v>
      </c>
      <c r="G1374" s="102">
        <v>392.93478543005023</v>
      </c>
    </row>
    <row r="1375" spans="5:7" x14ac:dyDescent="0.2">
      <c r="E1375" s="101" t="s">
        <v>44</v>
      </c>
      <c r="F1375" s="101">
        <v>10561.520754220001</v>
      </c>
      <c r="G1375" s="102">
        <v>411.5956656928962</v>
      </c>
    </row>
    <row r="1376" spans="5:7" x14ac:dyDescent="0.2">
      <c r="E1376" s="101" t="s">
        <v>16</v>
      </c>
      <c r="F1376" s="101">
        <v>4404.4075869999997</v>
      </c>
      <c r="G1376" s="102">
        <v>2175.5160344758629</v>
      </c>
    </row>
    <row r="1377" spans="5:7" x14ac:dyDescent="0.2">
      <c r="E1377" s="101" t="s">
        <v>43</v>
      </c>
      <c r="F1377" s="101">
        <v>105.2927045</v>
      </c>
      <c r="G1377" s="102">
        <v>538.57332383748974</v>
      </c>
    </row>
    <row r="1378" spans="5:7" x14ac:dyDescent="0.2">
      <c r="E1378" s="101" t="s">
        <v>36</v>
      </c>
      <c r="F1378" s="101">
        <v>2232.1241340000001</v>
      </c>
      <c r="G1378" s="102">
        <v>587.12712872655129</v>
      </c>
    </row>
    <row r="1379" spans="5:7" x14ac:dyDescent="0.2">
      <c r="E1379" s="101" t="s">
        <v>41</v>
      </c>
      <c r="F1379" s="101">
        <v>1.4450574199999999</v>
      </c>
      <c r="G1379" s="102">
        <v>2506.8756462908</v>
      </c>
    </row>
    <row r="1380" spans="5:7" x14ac:dyDescent="0.2">
      <c r="E1380" s="87"/>
      <c r="F1380" s="87"/>
      <c r="G1380" s="96"/>
    </row>
    <row r="1381" spans="5:7" x14ac:dyDescent="0.2">
      <c r="E1381" s="100" t="s">
        <v>386</v>
      </c>
      <c r="F1381" s="87"/>
      <c r="G1381" s="96"/>
    </row>
    <row r="1382" spans="5:7" x14ac:dyDescent="0.2">
      <c r="E1382" s="101" t="s">
        <v>17</v>
      </c>
      <c r="F1382" s="101">
        <v>36702.641885169993</v>
      </c>
      <c r="G1382" s="102">
        <v>1661.0121919703211</v>
      </c>
    </row>
    <row r="1383" spans="5:7" x14ac:dyDescent="0.2">
      <c r="E1383" s="101" t="s">
        <v>34</v>
      </c>
      <c r="F1383" s="101">
        <v>45.775306</v>
      </c>
      <c r="G1383" s="102">
        <v>391.57500845092642</v>
      </c>
    </row>
    <row r="1384" spans="5:7" x14ac:dyDescent="0.2">
      <c r="E1384" s="101" t="s">
        <v>44</v>
      </c>
      <c r="F1384" s="101">
        <v>10561.520754220001</v>
      </c>
      <c r="G1384" s="102">
        <v>421.83442637286731</v>
      </c>
    </row>
    <row r="1385" spans="5:7" x14ac:dyDescent="0.2">
      <c r="E1385" s="101" t="s">
        <v>16</v>
      </c>
      <c r="F1385" s="101">
        <v>4404.4075869999997</v>
      </c>
      <c r="G1385" s="102">
        <v>2152.597127023922</v>
      </c>
    </row>
    <row r="1386" spans="5:7" x14ac:dyDescent="0.2">
      <c r="E1386" s="101" t="s">
        <v>43</v>
      </c>
      <c r="F1386" s="101">
        <v>105.2927045</v>
      </c>
      <c r="G1386" s="102">
        <v>543.11901942323675</v>
      </c>
    </row>
    <row r="1387" spans="5:7" x14ac:dyDescent="0.2">
      <c r="E1387" s="101" t="s">
        <v>36</v>
      </c>
      <c r="F1387" s="101">
        <v>2232.1241340000001</v>
      </c>
      <c r="G1387" s="102">
        <v>582.8684367700514</v>
      </c>
    </row>
    <row r="1388" spans="5:7" x14ac:dyDescent="0.2">
      <c r="E1388" s="101" t="s">
        <v>41</v>
      </c>
      <c r="F1388" s="101">
        <v>1.4450574199999999</v>
      </c>
      <c r="G1388" s="102">
        <v>2484.4484390468838</v>
      </c>
    </row>
    <row r="1389" spans="5:7" x14ac:dyDescent="0.2">
      <c r="E1389" s="87"/>
      <c r="F1389" s="87"/>
      <c r="G1389" s="96"/>
    </row>
    <row r="1390" spans="5:7" x14ac:dyDescent="0.2">
      <c r="E1390" s="100" t="s">
        <v>387</v>
      </c>
      <c r="F1390" s="87"/>
      <c r="G1390" s="96"/>
    </row>
    <row r="1391" spans="5:7" x14ac:dyDescent="0.2">
      <c r="E1391" s="101" t="s">
        <v>17</v>
      </c>
      <c r="F1391" s="101">
        <v>36702.641885169993</v>
      </c>
      <c r="G1391" s="102">
        <v>1679.109530631061</v>
      </c>
    </row>
    <row r="1392" spans="5:7" x14ac:dyDescent="0.2">
      <c r="E1392" s="101" t="s">
        <v>34</v>
      </c>
      <c r="F1392" s="101">
        <v>45.775306</v>
      </c>
      <c r="G1392" s="102">
        <v>407.14040962943989</v>
      </c>
    </row>
    <row r="1393" spans="5:7" x14ac:dyDescent="0.2">
      <c r="E1393" s="101" t="s">
        <v>44</v>
      </c>
      <c r="F1393" s="101">
        <v>10561.520754220001</v>
      </c>
      <c r="G1393" s="102">
        <v>415.81087424111291</v>
      </c>
    </row>
    <row r="1394" spans="5:7" x14ac:dyDescent="0.2">
      <c r="E1394" s="101" t="s">
        <v>16</v>
      </c>
      <c r="F1394" s="101">
        <v>4404.4075869999997</v>
      </c>
      <c r="G1394" s="102">
        <v>2118.1589760130182</v>
      </c>
    </row>
    <row r="1395" spans="5:7" x14ac:dyDescent="0.2">
      <c r="E1395" s="101" t="s">
        <v>43</v>
      </c>
      <c r="F1395" s="101">
        <v>105.2927045</v>
      </c>
      <c r="G1395" s="102">
        <v>555.67544187833118</v>
      </c>
    </row>
    <row r="1396" spans="5:7" x14ac:dyDescent="0.2">
      <c r="E1396" s="101" t="s">
        <v>36</v>
      </c>
      <c r="F1396" s="101">
        <v>2232.1241340000001</v>
      </c>
      <c r="G1396" s="102">
        <v>595.89870693593116</v>
      </c>
    </row>
    <row r="1397" spans="5:7" x14ac:dyDescent="0.2">
      <c r="E1397" s="101" t="s">
        <v>41</v>
      </c>
      <c r="F1397" s="101">
        <v>1.4450574199999999</v>
      </c>
      <c r="G1397" s="102">
        <v>2494.7078383865851</v>
      </c>
    </row>
    <row r="1398" spans="5:7" x14ac:dyDescent="0.2">
      <c r="E1398" s="87"/>
      <c r="F1398" s="87"/>
      <c r="G1398" s="96"/>
    </row>
    <row r="1399" spans="5:7" x14ac:dyDescent="0.2">
      <c r="E1399" s="100" t="s">
        <v>388</v>
      </c>
      <c r="F1399" s="87"/>
      <c r="G1399" s="96"/>
    </row>
    <row r="1400" spans="5:7" x14ac:dyDescent="0.2">
      <c r="E1400" s="101" t="s">
        <v>17</v>
      </c>
      <c r="F1400" s="101">
        <v>36702.641885169993</v>
      </c>
      <c r="G1400" s="102">
        <v>1630.9259353377911</v>
      </c>
    </row>
    <row r="1401" spans="5:7" x14ac:dyDescent="0.2">
      <c r="E1401" s="101" t="s">
        <v>34</v>
      </c>
      <c r="F1401" s="101">
        <v>45.775306</v>
      </c>
      <c r="G1401" s="102">
        <v>400.15504300347271</v>
      </c>
    </row>
    <row r="1402" spans="5:7" x14ac:dyDescent="0.2">
      <c r="E1402" s="101" t="s">
        <v>44</v>
      </c>
      <c r="F1402" s="101">
        <v>10561.520754220001</v>
      </c>
      <c r="G1402" s="102">
        <v>434.17461283730552</v>
      </c>
    </row>
    <row r="1403" spans="5:7" x14ac:dyDescent="0.2">
      <c r="E1403" s="101" t="s">
        <v>16</v>
      </c>
      <c r="F1403" s="101">
        <v>4404.4075869999997</v>
      </c>
      <c r="G1403" s="102">
        <v>2102.798076024445</v>
      </c>
    </row>
    <row r="1404" spans="5:7" x14ac:dyDescent="0.2">
      <c r="E1404" s="101" t="s">
        <v>43</v>
      </c>
      <c r="F1404" s="101">
        <v>105.2927045</v>
      </c>
      <c r="G1404" s="102">
        <v>559.70433454721592</v>
      </c>
    </row>
    <row r="1405" spans="5:7" x14ac:dyDescent="0.2">
      <c r="E1405" s="101" t="s">
        <v>36</v>
      </c>
      <c r="F1405" s="101">
        <v>2232.1241340000001</v>
      </c>
      <c r="G1405" s="102">
        <v>587.82549340435594</v>
      </c>
    </row>
    <row r="1406" spans="5:7" x14ac:dyDescent="0.2">
      <c r="E1406" s="101" t="s">
        <v>41</v>
      </c>
      <c r="F1406" s="101">
        <v>1.4450574199999999</v>
      </c>
      <c r="G1406" s="102">
        <v>2480.263725558531</v>
      </c>
    </row>
    <row r="1407" spans="5:7" x14ac:dyDescent="0.2">
      <c r="E1407" s="87"/>
      <c r="F1407" s="87"/>
      <c r="G1407" s="96"/>
    </row>
    <row r="1408" spans="5:7" x14ac:dyDescent="0.2">
      <c r="E1408" s="100" t="s">
        <v>389</v>
      </c>
      <c r="F1408" s="87"/>
      <c r="G1408" s="96"/>
    </row>
    <row r="1409" spans="5:7" x14ac:dyDescent="0.2">
      <c r="E1409" s="101" t="s">
        <v>17</v>
      </c>
      <c r="F1409" s="101">
        <v>36702.641885169993</v>
      </c>
      <c r="G1409" s="102">
        <v>1575.5412817066499</v>
      </c>
    </row>
    <row r="1410" spans="5:7" x14ac:dyDescent="0.2">
      <c r="E1410" s="101" t="s">
        <v>34</v>
      </c>
      <c r="F1410" s="101">
        <v>45.775306</v>
      </c>
      <c r="G1410" s="102">
        <v>397.58437643226148</v>
      </c>
    </row>
    <row r="1411" spans="5:7" x14ac:dyDescent="0.2">
      <c r="E1411" s="101" t="s">
        <v>44</v>
      </c>
      <c r="F1411" s="101">
        <v>10561.520754220001</v>
      </c>
      <c r="G1411" s="102">
        <v>429.12747329927879</v>
      </c>
    </row>
    <row r="1412" spans="5:7" x14ac:dyDescent="0.2">
      <c r="E1412" s="101" t="s">
        <v>16</v>
      </c>
      <c r="F1412" s="101">
        <v>4404.4075869999997</v>
      </c>
      <c r="G1412" s="102">
        <v>2122.3524124766</v>
      </c>
    </row>
    <row r="1413" spans="5:7" x14ac:dyDescent="0.2">
      <c r="E1413" s="101" t="s">
        <v>43</v>
      </c>
      <c r="F1413" s="101">
        <v>105.2927045</v>
      </c>
      <c r="G1413" s="102">
        <v>558.15218109651596</v>
      </c>
    </row>
    <row r="1414" spans="5:7" x14ac:dyDescent="0.2">
      <c r="E1414" s="101" t="s">
        <v>36</v>
      </c>
      <c r="F1414" s="101">
        <v>2232.1241340000001</v>
      </c>
      <c r="G1414" s="102">
        <v>584.14760014752278</v>
      </c>
    </row>
    <row r="1415" spans="5:7" x14ac:dyDescent="0.2">
      <c r="E1415" s="101" t="s">
        <v>41</v>
      </c>
      <c r="F1415" s="101">
        <v>1.4450574199999999</v>
      </c>
      <c r="G1415" s="102">
        <v>2405.988036159441</v>
      </c>
    </row>
    <row r="1416" spans="5:7" x14ac:dyDescent="0.2">
      <c r="E1416" s="87"/>
      <c r="F1416" s="87"/>
      <c r="G1416" s="96"/>
    </row>
    <row r="1417" spans="5:7" x14ac:dyDescent="0.2">
      <c r="E1417" s="100" t="s">
        <v>390</v>
      </c>
      <c r="F1417" s="87"/>
      <c r="G1417" s="96"/>
    </row>
    <row r="1418" spans="5:7" x14ac:dyDescent="0.2">
      <c r="E1418" s="101" t="s">
        <v>17</v>
      </c>
      <c r="F1418" s="101">
        <v>36702.641885169993</v>
      </c>
      <c r="G1418" s="102">
        <v>1668.165169847322</v>
      </c>
    </row>
    <row r="1419" spans="5:7" x14ac:dyDescent="0.2">
      <c r="E1419" s="101" t="s">
        <v>34</v>
      </c>
      <c r="F1419" s="101">
        <v>45.775306</v>
      </c>
      <c r="G1419" s="102">
        <v>387.76527529801939</v>
      </c>
    </row>
    <row r="1420" spans="5:7" x14ac:dyDescent="0.2">
      <c r="E1420" s="101" t="s">
        <v>44</v>
      </c>
      <c r="F1420" s="101">
        <v>10561.520754220001</v>
      </c>
      <c r="G1420" s="102">
        <v>406.69427514127779</v>
      </c>
    </row>
    <row r="1421" spans="5:7" x14ac:dyDescent="0.2">
      <c r="E1421" s="101" t="s">
        <v>16</v>
      </c>
      <c r="F1421" s="101">
        <v>4404.4075869999997</v>
      </c>
      <c r="G1421" s="102">
        <v>2122.8600204510021</v>
      </c>
    </row>
    <row r="1422" spans="5:7" x14ac:dyDescent="0.2">
      <c r="E1422" s="101" t="s">
        <v>43</v>
      </c>
      <c r="F1422" s="101">
        <v>105.2927045</v>
      </c>
      <c r="G1422" s="102">
        <v>552.09636806648666</v>
      </c>
    </row>
    <row r="1423" spans="5:7" x14ac:dyDescent="0.2">
      <c r="E1423" s="101" t="s">
        <v>36</v>
      </c>
      <c r="F1423" s="101">
        <v>2232.1241340000001</v>
      </c>
      <c r="G1423" s="102">
        <v>587.51540671966075</v>
      </c>
    </row>
    <row r="1424" spans="5:7" x14ac:dyDescent="0.2">
      <c r="E1424" s="101" t="s">
        <v>41</v>
      </c>
      <c r="F1424" s="101">
        <v>1.4450574199999999</v>
      </c>
      <c r="G1424" s="102">
        <v>2385.3225664640008</v>
      </c>
    </row>
    <row r="1425" spans="5:7" x14ac:dyDescent="0.2">
      <c r="E1425" s="87"/>
      <c r="F1425" s="87"/>
      <c r="G1425" s="96"/>
    </row>
    <row r="1426" spans="5:7" x14ac:dyDescent="0.2">
      <c r="E1426" s="100" t="s">
        <v>391</v>
      </c>
      <c r="F1426" s="87"/>
      <c r="G1426" s="96"/>
    </row>
    <row r="1427" spans="5:7" x14ac:dyDescent="0.2">
      <c r="E1427" s="101" t="s">
        <v>17</v>
      </c>
      <c r="F1427" s="101">
        <v>36702.641885169993</v>
      </c>
      <c r="G1427" s="102">
        <v>1718.216562586128</v>
      </c>
    </row>
    <row r="1428" spans="5:7" x14ac:dyDescent="0.2">
      <c r="E1428" s="101" t="s">
        <v>34</v>
      </c>
      <c r="F1428" s="101">
        <v>45.775306</v>
      </c>
      <c r="G1428" s="102">
        <v>395.36478173940498</v>
      </c>
    </row>
    <row r="1429" spans="5:7" x14ac:dyDescent="0.2">
      <c r="E1429" s="101" t="s">
        <v>44</v>
      </c>
      <c r="F1429" s="101">
        <v>10561.520754220001</v>
      </c>
      <c r="G1429" s="102">
        <v>417.01150792045257</v>
      </c>
    </row>
    <row r="1430" spans="5:7" x14ac:dyDescent="0.2">
      <c r="E1430" s="101" t="s">
        <v>16</v>
      </c>
      <c r="F1430" s="101">
        <v>4404.4075869999997</v>
      </c>
      <c r="G1430" s="102">
        <v>2300.083692055191</v>
      </c>
    </row>
    <row r="1431" spans="5:7" x14ac:dyDescent="0.2">
      <c r="E1431" s="101" t="s">
        <v>43</v>
      </c>
      <c r="F1431" s="101">
        <v>105.2927045</v>
      </c>
      <c r="G1431" s="102">
        <v>556.96612616765435</v>
      </c>
    </row>
    <row r="1432" spans="5:7" x14ac:dyDescent="0.2">
      <c r="E1432" s="101" t="s">
        <v>36</v>
      </c>
      <c r="F1432" s="101">
        <v>2232.1241340000001</v>
      </c>
      <c r="G1432" s="102">
        <v>613.64286613295747</v>
      </c>
    </row>
    <row r="1433" spans="5:7" x14ac:dyDescent="0.2">
      <c r="E1433" s="101" t="s">
        <v>41</v>
      </c>
      <c r="F1433" s="101">
        <v>1.4450574199999999</v>
      </c>
      <c r="G1433" s="102">
        <v>2509.760463160133</v>
      </c>
    </row>
    <row r="1434" spans="5:7" x14ac:dyDescent="0.2">
      <c r="E1434" s="87"/>
      <c r="F1434" s="87"/>
      <c r="G1434" s="96"/>
    </row>
    <row r="1435" spans="5:7" x14ac:dyDescent="0.2">
      <c r="E1435" s="100" t="s">
        <v>392</v>
      </c>
      <c r="F1435" s="87"/>
      <c r="G1435" s="96"/>
    </row>
    <row r="1436" spans="5:7" x14ac:dyDescent="0.2">
      <c r="E1436" s="101" t="s">
        <v>17</v>
      </c>
      <c r="F1436" s="101">
        <v>36702.641885169993</v>
      </c>
      <c r="G1436" s="102">
        <v>1663.02936916833</v>
      </c>
    </row>
    <row r="1437" spans="5:7" x14ac:dyDescent="0.2">
      <c r="E1437" s="101" t="s">
        <v>34</v>
      </c>
      <c r="F1437" s="101">
        <v>45.775306</v>
      </c>
      <c r="G1437" s="102">
        <v>400.97627762728399</v>
      </c>
    </row>
    <row r="1438" spans="5:7" x14ac:dyDescent="0.2">
      <c r="E1438" s="101" t="s">
        <v>44</v>
      </c>
      <c r="F1438" s="101">
        <v>10561.520754220001</v>
      </c>
      <c r="G1438" s="102">
        <v>419.92902241359837</v>
      </c>
    </row>
    <row r="1439" spans="5:7" x14ac:dyDescent="0.2">
      <c r="E1439" s="101" t="s">
        <v>16</v>
      </c>
      <c r="F1439" s="101">
        <v>4404.4075869999997</v>
      </c>
      <c r="G1439" s="102">
        <v>2322.4070795572929</v>
      </c>
    </row>
    <row r="1440" spans="5:7" x14ac:dyDescent="0.2">
      <c r="E1440" s="101" t="s">
        <v>43</v>
      </c>
      <c r="F1440" s="101">
        <v>105.2927045</v>
      </c>
      <c r="G1440" s="102">
        <v>543.76359293115547</v>
      </c>
    </row>
    <row r="1441" spans="5:7" x14ac:dyDescent="0.2">
      <c r="E1441" s="101" t="s">
        <v>36</v>
      </c>
      <c r="F1441" s="101">
        <v>2232.1241340000001</v>
      </c>
      <c r="G1441" s="102">
        <v>615.29986116259101</v>
      </c>
    </row>
    <row r="1442" spans="5:7" x14ac:dyDescent="0.2">
      <c r="E1442" s="101" t="s">
        <v>41</v>
      </c>
      <c r="F1442" s="101">
        <v>1.4450574199999999</v>
      </c>
      <c r="G1442" s="102">
        <v>2518.1513558289889</v>
      </c>
    </row>
    <row r="1443" spans="5:7" x14ac:dyDescent="0.2">
      <c r="E1443" s="87"/>
      <c r="F1443" s="87"/>
      <c r="G1443" s="96"/>
    </row>
    <row r="1444" spans="5:7" x14ac:dyDescent="0.2">
      <c r="E1444" s="100" t="s">
        <v>393</v>
      </c>
      <c r="F1444" s="87"/>
      <c r="G1444" s="96"/>
    </row>
    <row r="1445" spans="5:7" x14ac:dyDescent="0.2">
      <c r="E1445" s="101" t="s">
        <v>17</v>
      </c>
      <c r="F1445" s="101">
        <v>36702.641885169993</v>
      </c>
      <c r="G1445" s="102">
        <v>1626.845702639416</v>
      </c>
    </row>
    <row r="1446" spans="5:7" x14ac:dyDescent="0.2">
      <c r="E1446" s="101" t="s">
        <v>34</v>
      </c>
      <c r="F1446" s="101">
        <v>45.775306</v>
      </c>
      <c r="G1446" s="102">
        <v>386.20956581887071</v>
      </c>
    </row>
    <row r="1447" spans="5:7" x14ac:dyDescent="0.2">
      <c r="E1447" s="101" t="s">
        <v>44</v>
      </c>
      <c r="F1447" s="101">
        <v>10561.520754220001</v>
      </c>
      <c r="G1447" s="102">
        <v>439.50627974445081</v>
      </c>
    </row>
    <row r="1448" spans="5:7" x14ac:dyDescent="0.2">
      <c r="E1448" s="101" t="s">
        <v>16</v>
      </c>
      <c r="F1448" s="101">
        <v>4404.4075869999997</v>
      </c>
      <c r="G1448" s="102">
        <v>2305.5562565701898</v>
      </c>
    </row>
    <row r="1449" spans="5:7" x14ac:dyDescent="0.2">
      <c r="E1449" s="101" t="s">
        <v>43</v>
      </c>
      <c r="F1449" s="101">
        <v>105.2927045</v>
      </c>
      <c r="G1449" s="102">
        <v>544.35893683508527</v>
      </c>
    </row>
    <row r="1450" spans="5:7" x14ac:dyDescent="0.2">
      <c r="E1450" s="101" t="s">
        <v>36</v>
      </c>
      <c r="F1450" s="101">
        <v>2232.1241340000001</v>
      </c>
      <c r="G1450" s="102">
        <v>609.14486814805139</v>
      </c>
    </row>
    <row r="1451" spans="5:7" x14ac:dyDescent="0.2">
      <c r="E1451" s="101" t="s">
        <v>41</v>
      </c>
      <c r="F1451" s="101">
        <v>1.4450574199999999</v>
      </c>
      <c r="G1451" s="102">
        <v>2531.3426259688322</v>
      </c>
    </row>
    <row r="1452" spans="5:7" x14ac:dyDescent="0.2">
      <c r="E1452" s="87"/>
      <c r="F1452" s="87"/>
      <c r="G1452" s="96"/>
    </row>
    <row r="1453" spans="5:7" x14ac:dyDescent="0.2">
      <c r="E1453" s="100" t="s">
        <v>394</v>
      </c>
      <c r="F1453" s="87"/>
      <c r="G1453" s="96"/>
    </row>
    <row r="1454" spans="5:7" x14ac:dyDescent="0.2">
      <c r="E1454" s="101" t="s">
        <v>34</v>
      </c>
      <c r="F1454" s="101">
        <v>45.775306</v>
      </c>
      <c r="G1454" s="102">
        <v>377.69584915639803</v>
      </c>
    </row>
    <row r="1455" spans="5:7" x14ac:dyDescent="0.2">
      <c r="E1455" s="101" t="s">
        <v>44</v>
      </c>
      <c r="F1455" s="101">
        <v>10561.520754220001</v>
      </c>
      <c r="G1455" s="102">
        <v>434.20312894334182</v>
      </c>
    </row>
    <row r="1456" spans="5:7" x14ac:dyDescent="0.2">
      <c r="E1456" s="101" t="s">
        <v>17</v>
      </c>
      <c r="F1456" s="101">
        <v>36572.399698799993</v>
      </c>
      <c r="G1456" s="102">
        <v>1668.5773352380661</v>
      </c>
    </row>
    <row r="1457" spans="5:7" x14ac:dyDescent="0.2">
      <c r="E1457" s="101" t="s">
        <v>16</v>
      </c>
      <c r="F1457" s="101">
        <v>4404.4075869999997</v>
      </c>
      <c r="G1457" s="102">
        <v>2249.8731812989349</v>
      </c>
    </row>
    <row r="1458" spans="5:7" x14ac:dyDescent="0.2">
      <c r="E1458" s="101" t="s">
        <v>43</v>
      </c>
      <c r="F1458" s="101">
        <v>105.2927045</v>
      </c>
      <c r="G1458" s="102">
        <v>552.77507957505838</v>
      </c>
    </row>
    <row r="1459" spans="5:7" x14ac:dyDescent="0.2">
      <c r="E1459" s="101" t="s">
        <v>36</v>
      </c>
      <c r="F1459" s="101">
        <v>2232.1241340000001</v>
      </c>
      <c r="G1459" s="102">
        <v>616.75808553809179</v>
      </c>
    </row>
    <row r="1460" spans="5:7" x14ac:dyDescent="0.2">
      <c r="E1460" s="101" t="s">
        <v>41</v>
      </c>
      <c r="F1460" s="101">
        <v>1.4450574199999999</v>
      </c>
      <c r="G1460" s="102">
        <v>2535.603568389226</v>
      </c>
    </row>
    <row r="1461" spans="5:7" x14ac:dyDescent="0.2">
      <c r="E1461" s="87"/>
      <c r="F1461" s="87"/>
      <c r="G1461" s="96"/>
    </row>
    <row r="1462" spans="5:7" x14ac:dyDescent="0.2">
      <c r="E1462" s="100" t="s">
        <v>395</v>
      </c>
      <c r="F1462" s="87"/>
      <c r="G1462" s="96"/>
    </row>
    <row r="1463" spans="5:7" x14ac:dyDescent="0.2">
      <c r="E1463" s="101" t="s">
        <v>34</v>
      </c>
      <c r="F1463" s="101">
        <v>45.775306</v>
      </c>
      <c r="G1463" s="102">
        <v>419.51354762397642</v>
      </c>
    </row>
    <row r="1464" spans="5:7" x14ac:dyDescent="0.2">
      <c r="E1464" s="101" t="s">
        <v>44</v>
      </c>
      <c r="F1464" s="101">
        <v>10561.520754220001</v>
      </c>
      <c r="G1464" s="102">
        <v>451.54208318075229</v>
      </c>
    </row>
    <row r="1465" spans="5:7" x14ac:dyDescent="0.2">
      <c r="E1465" s="101" t="s">
        <v>17</v>
      </c>
      <c r="F1465" s="101">
        <v>36572.399698799993</v>
      </c>
      <c r="G1465" s="102">
        <v>1775.201240767941</v>
      </c>
    </row>
    <row r="1466" spans="5:7" x14ac:dyDescent="0.2">
      <c r="E1466" s="101" t="s">
        <v>16</v>
      </c>
      <c r="F1466" s="101">
        <v>4404.4075869999997</v>
      </c>
      <c r="G1466" s="102">
        <v>2372.7261589605678</v>
      </c>
    </row>
    <row r="1467" spans="5:7" x14ac:dyDescent="0.2">
      <c r="E1467" s="101" t="s">
        <v>43</v>
      </c>
      <c r="F1467" s="101">
        <v>105.2927045</v>
      </c>
      <c r="G1467" s="102">
        <v>629.90798098790265</v>
      </c>
    </row>
    <row r="1468" spans="5:7" x14ac:dyDescent="0.2">
      <c r="E1468" s="101" t="s">
        <v>36</v>
      </c>
      <c r="F1468" s="101">
        <v>2232.1241340000001</v>
      </c>
      <c r="G1468" s="102">
        <v>658.97275376126413</v>
      </c>
    </row>
    <row r="1469" spans="5:7" x14ac:dyDescent="0.2">
      <c r="E1469" s="101" t="s">
        <v>41</v>
      </c>
      <c r="F1469" s="101">
        <v>1.4450574199999999</v>
      </c>
      <c r="G1469" s="102">
        <v>2657.7611856177869</v>
      </c>
    </row>
    <row r="1470" spans="5:7" x14ac:dyDescent="0.2">
      <c r="E1470" s="87"/>
      <c r="F1470" s="87"/>
      <c r="G1470" s="96"/>
    </row>
    <row r="1471" spans="5:7" x14ac:dyDescent="0.2">
      <c r="E1471" s="100" t="s">
        <v>396</v>
      </c>
      <c r="F1471" s="87"/>
      <c r="G1471" s="96"/>
    </row>
    <row r="1472" spans="5:7" x14ac:dyDescent="0.2">
      <c r="E1472" s="101" t="s">
        <v>34</v>
      </c>
      <c r="F1472" s="101">
        <v>45.775306</v>
      </c>
      <c r="G1472" s="102">
        <v>432.33186603296701</v>
      </c>
    </row>
    <row r="1473" spans="5:7" x14ac:dyDescent="0.2">
      <c r="E1473" s="101" t="s">
        <v>44</v>
      </c>
      <c r="F1473" s="101">
        <v>10561.520754220001</v>
      </c>
      <c r="G1473" s="102">
        <v>465.38696950704428</v>
      </c>
    </row>
    <row r="1474" spans="5:7" x14ac:dyDescent="0.2">
      <c r="E1474" s="101" t="s">
        <v>17</v>
      </c>
      <c r="F1474" s="101">
        <v>36572.399698799993</v>
      </c>
      <c r="G1474" s="102">
        <v>1785.010689815153</v>
      </c>
    </row>
    <row r="1475" spans="5:7" x14ac:dyDescent="0.2">
      <c r="E1475" s="101" t="s">
        <v>16</v>
      </c>
      <c r="F1475" s="101">
        <v>4404.4075869999997</v>
      </c>
      <c r="G1475" s="102">
        <v>2313.1902841085089</v>
      </c>
    </row>
    <row r="1476" spans="5:7" x14ac:dyDescent="0.2">
      <c r="E1476" s="101" t="s">
        <v>43</v>
      </c>
      <c r="F1476" s="101">
        <v>105.2927045</v>
      </c>
      <c r="G1476" s="102">
        <v>630.95323640645279</v>
      </c>
    </row>
    <row r="1477" spans="5:7" x14ac:dyDescent="0.2">
      <c r="E1477" s="101" t="s">
        <v>36</v>
      </c>
      <c r="F1477" s="101">
        <v>2232.1241340000001</v>
      </c>
      <c r="G1477" s="102">
        <v>721.34957429210078</v>
      </c>
    </row>
    <row r="1478" spans="5:7" x14ac:dyDescent="0.2">
      <c r="E1478" s="101" t="s">
        <v>41</v>
      </c>
      <c r="F1478" s="101">
        <v>1.4450574199999999</v>
      </c>
      <c r="G1478" s="102">
        <v>2667.6193516148028</v>
      </c>
    </row>
    <row r="1479" spans="5:7" x14ac:dyDescent="0.2">
      <c r="E1479" s="87"/>
      <c r="F1479" s="87"/>
      <c r="G1479" s="96"/>
    </row>
    <row r="1480" spans="5:7" x14ac:dyDescent="0.2">
      <c r="E1480" s="100" t="s">
        <v>397</v>
      </c>
      <c r="F1480" s="87"/>
      <c r="G1480" s="96"/>
    </row>
    <row r="1481" spans="5:7" x14ac:dyDescent="0.2">
      <c r="E1481" s="101" t="s">
        <v>34</v>
      </c>
      <c r="F1481" s="101">
        <v>45.775306</v>
      </c>
      <c r="G1481" s="102">
        <v>431.22666979142139</v>
      </c>
    </row>
    <row r="1482" spans="5:7" x14ac:dyDescent="0.2">
      <c r="E1482" s="101" t="s">
        <v>44</v>
      </c>
      <c r="F1482" s="101">
        <v>10561.520754220001</v>
      </c>
      <c r="G1482" s="102">
        <v>463.23917864646609</v>
      </c>
    </row>
    <row r="1483" spans="5:7" x14ac:dyDescent="0.2">
      <c r="E1483" s="101" t="s">
        <v>17</v>
      </c>
      <c r="F1483" s="101">
        <v>36572.399698799993</v>
      </c>
      <c r="G1483" s="102">
        <v>1776.2772007670801</v>
      </c>
    </row>
    <row r="1484" spans="5:7" x14ac:dyDescent="0.2">
      <c r="E1484" s="101" t="s">
        <v>16</v>
      </c>
      <c r="F1484" s="101">
        <v>4404.4075869999997</v>
      </c>
      <c r="G1484" s="102">
        <v>2294.0868268610352</v>
      </c>
    </row>
    <row r="1485" spans="5:7" x14ac:dyDescent="0.2">
      <c r="E1485" s="101" t="s">
        <v>43</v>
      </c>
      <c r="F1485" s="101">
        <v>105.2927045</v>
      </c>
      <c r="G1485" s="102">
        <v>622.82909665923421</v>
      </c>
    </row>
    <row r="1486" spans="5:7" x14ac:dyDescent="0.2">
      <c r="E1486" s="101" t="s">
        <v>36</v>
      </c>
      <c r="F1486" s="101">
        <v>2232.1241340000001</v>
      </c>
      <c r="G1486" s="102">
        <v>719.61706650301403</v>
      </c>
    </row>
    <row r="1487" spans="5:7" x14ac:dyDescent="0.2">
      <c r="E1487" s="101" t="s">
        <v>41</v>
      </c>
      <c r="F1487" s="101">
        <v>1.4450574199999999</v>
      </c>
      <c r="G1487" s="102">
        <v>2647.8081934500119</v>
      </c>
    </row>
    <row r="1488" spans="5:7" x14ac:dyDescent="0.2">
      <c r="E1488" s="87"/>
      <c r="F1488" s="87"/>
      <c r="G1488" s="96"/>
    </row>
    <row r="1489" spans="5:7" x14ac:dyDescent="0.2">
      <c r="E1489" s="100" t="s">
        <v>398</v>
      </c>
      <c r="F1489" s="87"/>
      <c r="G1489" s="96"/>
    </row>
    <row r="1490" spans="5:7" x14ac:dyDescent="0.2">
      <c r="E1490" s="101" t="s">
        <v>34</v>
      </c>
      <c r="F1490" s="101">
        <v>45.775306</v>
      </c>
      <c r="G1490" s="102">
        <v>465.21251139964193</v>
      </c>
    </row>
    <row r="1491" spans="5:7" x14ac:dyDescent="0.2">
      <c r="E1491" s="101" t="s">
        <v>44</v>
      </c>
      <c r="F1491" s="101">
        <v>10561.520754220001</v>
      </c>
      <c r="G1491" s="102">
        <v>475.01823151323248</v>
      </c>
    </row>
    <row r="1492" spans="5:7" x14ac:dyDescent="0.2">
      <c r="E1492" s="101" t="s">
        <v>17</v>
      </c>
      <c r="F1492" s="101">
        <v>36572.399698799993</v>
      </c>
      <c r="G1492" s="102">
        <v>1816.6311865947359</v>
      </c>
    </row>
    <row r="1493" spans="5:7" x14ac:dyDescent="0.2">
      <c r="E1493" s="101" t="s">
        <v>16</v>
      </c>
      <c r="F1493" s="101">
        <v>4404.4075869999997</v>
      </c>
      <c r="G1493" s="102">
        <v>2341.885748287104</v>
      </c>
    </row>
    <row r="1494" spans="5:7" x14ac:dyDescent="0.2">
      <c r="E1494" s="101" t="s">
        <v>43</v>
      </c>
      <c r="F1494" s="101">
        <v>105.2927045</v>
      </c>
      <c r="G1494" s="102">
        <v>658.95755691565455</v>
      </c>
    </row>
    <row r="1495" spans="5:7" x14ac:dyDescent="0.2">
      <c r="E1495" s="101" t="s">
        <v>36</v>
      </c>
      <c r="F1495" s="101">
        <v>2232.1241340000001</v>
      </c>
      <c r="G1495" s="102">
        <v>790.40573611779496</v>
      </c>
    </row>
    <row r="1496" spans="5:7" x14ac:dyDescent="0.2">
      <c r="E1496" s="101" t="s">
        <v>41</v>
      </c>
      <c r="F1496" s="101">
        <v>1.4450574199999999</v>
      </c>
      <c r="G1496" s="102">
        <v>2721.39367057956</v>
      </c>
    </row>
    <row r="1497" spans="5:7" x14ac:dyDescent="0.2">
      <c r="E1497" s="87"/>
      <c r="F1497" s="87"/>
      <c r="G1497" s="96"/>
    </row>
    <row r="1498" spans="5:7" x14ac:dyDescent="0.2">
      <c r="E1498" s="100" t="s">
        <v>399</v>
      </c>
      <c r="F1498" s="87"/>
      <c r="G1498" s="96"/>
    </row>
    <row r="1499" spans="5:7" x14ac:dyDescent="0.2">
      <c r="E1499" s="101" t="s">
        <v>34</v>
      </c>
      <c r="F1499" s="101">
        <v>45.775306</v>
      </c>
      <c r="G1499" s="102">
        <v>458.9392323001066</v>
      </c>
    </row>
    <row r="1500" spans="5:7" x14ac:dyDescent="0.2">
      <c r="E1500" s="101" t="s">
        <v>44</v>
      </c>
      <c r="F1500" s="101">
        <v>10561.520754220001</v>
      </c>
      <c r="G1500" s="102">
        <v>442.5843293530607</v>
      </c>
    </row>
    <row r="1501" spans="5:7" x14ac:dyDescent="0.2">
      <c r="E1501" s="101" t="s">
        <v>17</v>
      </c>
      <c r="F1501" s="101">
        <v>36572.399698799993</v>
      </c>
      <c r="G1501" s="102">
        <v>1793.5305960489859</v>
      </c>
    </row>
    <row r="1502" spans="5:7" x14ac:dyDescent="0.2">
      <c r="E1502" s="101" t="s">
        <v>16</v>
      </c>
      <c r="F1502" s="101">
        <v>4404.4075869999997</v>
      </c>
      <c r="G1502" s="102">
        <v>2256.1830236962228</v>
      </c>
    </row>
    <row r="1503" spans="5:7" x14ac:dyDescent="0.2">
      <c r="E1503" s="101" t="s">
        <v>43</v>
      </c>
      <c r="F1503" s="101">
        <v>105.2927045</v>
      </c>
      <c r="G1503" s="102">
        <v>638.98990423940791</v>
      </c>
    </row>
    <row r="1504" spans="5:7" x14ac:dyDescent="0.2">
      <c r="E1504" s="101" t="s">
        <v>36</v>
      </c>
      <c r="F1504" s="101">
        <v>2232.1241340000001</v>
      </c>
      <c r="G1504" s="102">
        <v>785.88642134740928</v>
      </c>
    </row>
    <row r="1505" spans="5:7" x14ac:dyDescent="0.2">
      <c r="E1505" s="101" t="s">
        <v>41</v>
      </c>
      <c r="F1505" s="101">
        <v>1.4450574199999999</v>
      </c>
      <c r="G1505" s="102">
        <v>2620.8741329311251</v>
      </c>
    </row>
    <row r="1506" spans="5:7" x14ac:dyDescent="0.2">
      <c r="E1506" s="87"/>
      <c r="F1506" s="87"/>
      <c r="G1506" s="96"/>
    </row>
    <row r="1507" spans="5:7" x14ac:dyDescent="0.2">
      <c r="E1507" s="100" t="s">
        <v>400</v>
      </c>
      <c r="F1507" s="87"/>
      <c r="G1507" s="96"/>
    </row>
    <row r="1508" spans="5:7" x14ac:dyDescent="0.2">
      <c r="E1508" s="101" t="s">
        <v>34</v>
      </c>
      <c r="F1508" s="101">
        <v>45.775306</v>
      </c>
      <c r="G1508" s="102">
        <v>492.81175622281802</v>
      </c>
    </row>
    <row r="1509" spans="5:7" x14ac:dyDescent="0.2">
      <c r="E1509" s="101" t="s">
        <v>44</v>
      </c>
      <c r="F1509" s="101">
        <v>10561.520754220001</v>
      </c>
      <c r="G1509" s="102">
        <v>486.95021520052012</v>
      </c>
    </row>
    <row r="1510" spans="5:7" x14ac:dyDescent="0.2">
      <c r="E1510" s="101" t="s">
        <v>17</v>
      </c>
      <c r="F1510" s="101">
        <v>36572.399698799993</v>
      </c>
      <c r="G1510" s="102">
        <v>1845.8854491138061</v>
      </c>
    </row>
    <row r="1511" spans="5:7" x14ac:dyDescent="0.2">
      <c r="E1511" s="101" t="s">
        <v>16</v>
      </c>
      <c r="F1511" s="101">
        <v>4404.4075869999997</v>
      </c>
      <c r="G1511" s="102">
        <v>2367.914079407316</v>
      </c>
    </row>
    <row r="1512" spans="5:7" x14ac:dyDescent="0.2">
      <c r="E1512" s="101" t="s">
        <v>43</v>
      </c>
      <c r="F1512" s="101">
        <v>105.2927045</v>
      </c>
      <c r="G1512" s="102">
        <v>680.69720262739963</v>
      </c>
    </row>
    <row r="1513" spans="5:7" x14ac:dyDescent="0.2">
      <c r="E1513" s="101" t="s">
        <v>36</v>
      </c>
      <c r="F1513" s="101">
        <v>2232.1241340000001</v>
      </c>
      <c r="G1513" s="102">
        <v>845.13907165533419</v>
      </c>
    </row>
    <row r="1514" spans="5:7" x14ac:dyDescent="0.2">
      <c r="E1514" s="101" t="s">
        <v>41</v>
      </c>
      <c r="F1514" s="101">
        <v>1.4450574199999999</v>
      </c>
      <c r="G1514" s="102">
        <v>2735.75132144596</v>
      </c>
    </row>
    <row r="1515" spans="5:7" x14ac:dyDescent="0.2">
      <c r="E1515" s="87"/>
      <c r="F1515" s="87"/>
      <c r="G1515" s="96"/>
    </row>
    <row r="1516" spans="5:7" x14ac:dyDescent="0.2">
      <c r="E1516" s="100" t="s">
        <v>401</v>
      </c>
      <c r="F1516" s="87"/>
      <c r="G1516" s="96"/>
    </row>
    <row r="1517" spans="5:7" x14ac:dyDescent="0.2">
      <c r="E1517" s="101" t="s">
        <v>17</v>
      </c>
      <c r="F1517" s="101">
        <v>36572.399698799993</v>
      </c>
      <c r="G1517" s="102">
        <v>1846.701379351086</v>
      </c>
    </row>
    <row r="1518" spans="5:7" x14ac:dyDescent="0.2">
      <c r="E1518" s="101" t="s">
        <v>16</v>
      </c>
      <c r="F1518" s="101">
        <v>4404.4075869999997</v>
      </c>
      <c r="G1518" s="102">
        <v>2290.1699871939159</v>
      </c>
    </row>
    <row r="1519" spans="5:7" x14ac:dyDescent="0.2">
      <c r="E1519" s="101" t="s">
        <v>43</v>
      </c>
      <c r="F1519" s="101">
        <v>105.2927045</v>
      </c>
      <c r="G1519" s="102">
        <v>676.02352481225989</v>
      </c>
    </row>
    <row r="1520" spans="5:7" x14ac:dyDescent="0.2">
      <c r="E1520" s="101" t="s">
        <v>36</v>
      </c>
      <c r="F1520" s="101">
        <v>2232.1241340000001</v>
      </c>
      <c r="G1520" s="102">
        <v>839.16354142116813</v>
      </c>
    </row>
    <row r="1521" spans="5:7" x14ac:dyDescent="0.2">
      <c r="E1521" s="101" t="s">
        <v>41</v>
      </c>
      <c r="F1521" s="101">
        <v>1.4450574199999999</v>
      </c>
      <c r="G1521" s="102">
        <v>2734.161608113593</v>
      </c>
    </row>
    <row r="1522" spans="5:7" x14ac:dyDescent="0.2">
      <c r="E1522" s="87"/>
      <c r="F1522" s="87"/>
      <c r="G1522" s="96"/>
    </row>
    <row r="1523" spans="5:7" x14ac:dyDescent="0.2">
      <c r="E1523" s="100" t="s">
        <v>402</v>
      </c>
      <c r="F1523" s="87"/>
      <c r="G1523" s="96"/>
    </row>
    <row r="1524" spans="5:7" x14ac:dyDescent="0.2">
      <c r="E1524" s="101" t="s">
        <v>17</v>
      </c>
      <c r="F1524" s="101">
        <v>36572.399698799993</v>
      </c>
      <c r="G1524" s="102">
        <v>1866.7423229380349</v>
      </c>
    </row>
    <row r="1525" spans="5:7" x14ac:dyDescent="0.2">
      <c r="E1525" s="101" t="s">
        <v>16</v>
      </c>
      <c r="F1525" s="101">
        <v>4404.4075869999997</v>
      </c>
      <c r="G1525" s="102">
        <v>2316.335295390083</v>
      </c>
    </row>
    <row r="1526" spans="5:7" x14ac:dyDescent="0.2">
      <c r="E1526" s="101" t="s">
        <v>43</v>
      </c>
      <c r="F1526" s="101">
        <v>105.2927045</v>
      </c>
      <c r="G1526" s="102">
        <v>679.77196930978198</v>
      </c>
    </row>
    <row r="1527" spans="5:7" x14ac:dyDescent="0.2">
      <c r="E1527" s="101" t="s">
        <v>36</v>
      </c>
      <c r="F1527" s="101">
        <v>2232.1241340000001</v>
      </c>
      <c r="G1527" s="102">
        <v>844.83661883517721</v>
      </c>
    </row>
    <row r="1528" spans="5:7" x14ac:dyDescent="0.2">
      <c r="E1528" s="101" t="s">
        <v>41</v>
      </c>
      <c r="F1528" s="101">
        <v>1.4450574199999999</v>
      </c>
      <c r="G1528" s="102">
        <v>2756.0313172047709</v>
      </c>
    </row>
    <row r="1529" spans="5:7" x14ac:dyDescent="0.2">
      <c r="E1529" s="87"/>
      <c r="F1529" s="87"/>
      <c r="G1529" s="96"/>
    </row>
    <row r="1530" spans="5:7" x14ac:dyDescent="0.2">
      <c r="E1530" s="100" t="s">
        <v>403</v>
      </c>
      <c r="F1530" s="87"/>
      <c r="G1530" s="96"/>
    </row>
    <row r="1531" spans="5:7" x14ac:dyDescent="0.2">
      <c r="E1531" s="101" t="s">
        <v>17</v>
      </c>
      <c r="F1531" s="101">
        <v>36572.399698799993</v>
      </c>
      <c r="G1531" s="102">
        <v>1845.835344926219</v>
      </c>
    </row>
    <row r="1532" spans="5:7" x14ac:dyDescent="0.2">
      <c r="E1532" s="101" t="s">
        <v>16</v>
      </c>
      <c r="F1532" s="101">
        <v>4404.4075869999997</v>
      </c>
      <c r="G1532" s="102">
        <v>2239.466226831993</v>
      </c>
    </row>
    <row r="1533" spans="5:7" x14ac:dyDescent="0.2">
      <c r="E1533" s="101" t="s">
        <v>43</v>
      </c>
      <c r="F1533" s="101">
        <v>105.2927045</v>
      </c>
      <c r="G1533" s="102">
        <v>667.87703563558432</v>
      </c>
    </row>
    <row r="1534" spans="5:7" x14ac:dyDescent="0.2">
      <c r="E1534" s="101" t="s">
        <v>36</v>
      </c>
      <c r="F1534" s="101">
        <v>2232.1241340000001</v>
      </c>
      <c r="G1534" s="102">
        <v>815.11577438476047</v>
      </c>
    </row>
    <row r="1535" spans="5:7" x14ac:dyDescent="0.2">
      <c r="E1535" s="101" t="s">
        <v>41</v>
      </c>
      <c r="F1535" s="101">
        <v>1.4450574199999999</v>
      </c>
      <c r="G1535" s="102">
        <v>2690.300084414469</v>
      </c>
    </row>
    <row r="1536" spans="5:7" x14ac:dyDescent="0.2">
      <c r="E1536" s="87"/>
      <c r="F1536" s="87"/>
      <c r="G1536" s="96"/>
    </row>
    <row r="1537" spans="5:7" x14ac:dyDescent="0.2">
      <c r="E1537" s="100" t="s">
        <v>404</v>
      </c>
      <c r="F1537" s="87"/>
      <c r="G1537" s="96"/>
    </row>
    <row r="1538" spans="5:7" x14ac:dyDescent="0.2">
      <c r="E1538" s="101" t="s">
        <v>17</v>
      </c>
      <c r="F1538" s="101">
        <v>36572.399698799993</v>
      </c>
      <c r="G1538" s="102">
        <v>1887.923959671589</v>
      </c>
    </row>
    <row r="1539" spans="5:7" x14ac:dyDescent="0.2">
      <c r="E1539" s="101" t="s">
        <v>16</v>
      </c>
      <c r="F1539" s="101">
        <v>4404.4075869999997</v>
      </c>
      <c r="G1539" s="102">
        <v>2287.4169241435102</v>
      </c>
    </row>
    <row r="1540" spans="5:7" x14ac:dyDescent="0.2">
      <c r="E1540" s="101" t="s">
        <v>43</v>
      </c>
      <c r="F1540" s="101">
        <v>105.2927045</v>
      </c>
      <c r="G1540" s="102">
        <v>682.95431074034093</v>
      </c>
    </row>
    <row r="1541" spans="5:7" x14ac:dyDescent="0.2">
      <c r="E1541" s="101" t="s">
        <v>36</v>
      </c>
      <c r="F1541" s="101">
        <v>2232.1241340000001</v>
      </c>
      <c r="G1541" s="102">
        <v>837.23762007587027</v>
      </c>
    </row>
    <row r="1542" spans="5:7" x14ac:dyDescent="0.2">
      <c r="E1542" s="101" t="s">
        <v>41</v>
      </c>
      <c r="F1542" s="101">
        <v>1.4450574199999999</v>
      </c>
      <c r="G1542" s="102">
        <v>2709.041753848649</v>
      </c>
    </row>
    <row r="1543" spans="5:7" x14ac:dyDescent="0.2">
      <c r="E1543" s="87"/>
      <c r="F1543" s="87"/>
      <c r="G1543" s="96"/>
    </row>
    <row r="1544" spans="5:7" x14ac:dyDescent="0.2">
      <c r="E1544" s="100" t="s">
        <v>405</v>
      </c>
      <c r="F1544" s="87"/>
      <c r="G1544" s="96"/>
    </row>
    <row r="1545" spans="5:7" x14ac:dyDescent="0.2">
      <c r="E1545" s="101" t="s">
        <v>17</v>
      </c>
      <c r="F1545" s="101">
        <v>36572.399698799993</v>
      </c>
      <c r="G1545" s="102">
        <v>1939.3897376997311</v>
      </c>
    </row>
    <row r="1546" spans="5:7" x14ac:dyDescent="0.2">
      <c r="E1546" s="101" t="s">
        <v>16</v>
      </c>
      <c r="F1546" s="101">
        <v>4404.4075869999997</v>
      </c>
      <c r="G1546" s="102">
        <v>2300.5065151835429</v>
      </c>
    </row>
    <row r="1547" spans="5:7" x14ac:dyDescent="0.2">
      <c r="E1547" s="101" t="s">
        <v>43</v>
      </c>
      <c r="F1547" s="101">
        <v>105.2927045</v>
      </c>
      <c r="G1547" s="102">
        <v>696.15325981317869</v>
      </c>
    </row>
    <row r="1548" spans="5:7" x14ac:dyDescent="0.2">
      <c r="E1548" s="101" t="s">
        <v>36</v>
      </c>
      <c r="F1548" s="101">
        <v>2232.1241340000001</v>
      </c>
      <c r="G1548" s="102">
        <v>843.69995426242031</v>
      </c>
    </row>
    <row r="1549" spans="5:7" x14ac:dyDescent="0.2">
      <c r="E1549" s="101" t="s">
        <v>41</v>
      </c>
      <c r="F1549" s="101">
        <v>1.4450574199999999</v>
      </c>
      <c r="G1549" s="102">
        <v>2747.16731809777</v>
      </c>
    </row>
    <row r="1550" spans="5:7" x14ac:dyDescent="0.2">
      <c r="E1550" s="87"/>
      <c r="F1550" s="87"/>
      <c r="G1550" s="96"/>
    </row>
    <row r="1551" spans="5:7" x14ac:dyDescent="0.2">
      <c r="E1551" s="100" t="s">
        <v>406</v>
      </c>
      <c r="F1551" s="87"/>
      <c r="G1551" s="96"/>
    </row>
    <row r="1552" spans="5:7" x14ac:dyDescent="0.2">
      <c r="E1552" s="101" t="s">
        <v>17</v>
      </c>
      <c r="F1552" s="101">
        <v>36572.399698799993</v>
      </c>
      <c r="G1552" s="102">
        <v>1937.652182990041</v>
      </c>
    </row>
    <row r="1553" spans="5:7" x14ac:dyDescent="0.2">
      <c r="E1553" s="101" t="s">
        <v>16</v>
      </c>
      <c r="F1553" s="101">
        <v>4404.4075869999997</v>
      </c>
      <c r="G1553" s="102">
        <v>2174.741739622069</v>
      </c>
    </row>
    <row r="1554" spans="5:7" x14ac:dyDescent="0.2">
      <c r="E1554" s="101" t="s">
        <v>43</v>
      </c>
      <c r="F1554" s="101">
        <v>105.2927045</v>
      </c>
      <c r="G1554" s="102">
        <v>699.16430580742178</v>
      </c>
    </row>
    <row r="1555" spans="5:7" x14ac:dyDescent="0.2">
      <c r="E1555" s="101" t="s">
        <v>36</v>
      </c>
      <c r="F1555" s="101">
        <v>2232.1241340000001</v>
      </c>
      <c r="G1555" s="102">
        <v>845.98183244336724</v>
      </c>
    </row>
    <row r="1556" spans="5:7" x14ac:dyDescent="0.2">
      <c r="E1556" s="101" t="s">
        <v>41</v>
      </c>
      <c r="F1556" s="101">
        <v>1.4450574199999999</v>
      </c>
      <c r="G1556" s="102">
        <v>2736.5258631336692</v>
      </c>
    </row>
    <row r="1557" spans="5:7" x14ac:dyDescent="0.2">
      <c r="E1557" s="87"/>
      <c r="F1557" s="87"/>
      <c r="G1557" s="96"/>
    </row>
    <row r="1558" spans="5:7" x14ac:dyDescent="0.2">
      <c r="E1558" s="100" t="s">
        <v>407</v>
      </c>
      <c r="F1558" s="87"/>
      <c r="G1558" s="96"/>
    </row>
    <row r="1559" spans="5:7" x14ac:dyDescent="0.2">
      <c r="E1559" s="101" t="s">
        <v>17</v>
      </c>
      <c r="F1559" s="101">
        <v>36572.399698799993</v>
      </c>
      <c r="G1559" s="102">
        <v>1960.71400679211</v>
      </c>
    </row>
    <row r="1560" spans="5:7" x14ac:dyDescent="0.2">
      <c r="E1560" s="101" t="s">
        <v>16</v>
      </c>
      <c r="F1560" s="101">
        <v>4404.4075869999997</v>
      </c>
      <c r="G1560" s="102">
        <v>2129.6336910112768</v>
      </c>
    </row>
    <row r="1561" spans="5:7" x14ac:dyDescent="0.2">
      <c r="E1561" s="101" t="s">
        <v>43</v>
      </c>
      <c r="F1561" s="101">
        <v>105.2927045</v>
      </c>
      <c r="G1561" s="102">
        <v>699.60466095618165</v>
      </c>
    </row>
    <row r="1562" spans="5:7" x14ac:dyDescent="0.2">
      <c r="E1562" s="101" t="s">
        <v>36</v>
      </c>
      <c r="F1562" s="101">
        <v>2232.1241340000001</v>
      </c>
      <c r="G1562" s="102">
        <v>855.70094734763006</v>
      </c>
    </row>
    <row r="1563" spans="5:7" x14ac:dyDescent="0.2">
      <c r="E1563" s="101" t="s">
        <v>41</v>
      </c>
      <c r="F1563" s="101">
        <v>1.4450574199999999</v>
      </c>
      <c r="G1563" s="102">
        <v>2765.5743715964368</v>
      </c>
    </row>
    <row r="1564" spans="5:7" x14ac:dyDescent="0.2">
      <c r="E1564" s="87"/>
      <c r="F1564" s="87"/>
      <c r="G1564" s="96"/>
    </row>
    <row r="1565" spans="5:7" x14ac:dyDescent="0.2">
      <c r="E1565" s="100" t="s">
        <v>408</v>
      </c>
      <c r="F1565" s="87"/>
      <c r="G1565" s="96"/>
    </row>
    <row r="1566" spans="5:7" x14ac:dyDescent="0.2">
      <c r="E1566" s="101" t="s">
        <v>17</v>
      </c>
      <c r="F1566" s="101">
        <v>36572.399698799993</v>
      </c>
      <c r="G1566" s="102">
        <v>1912.2903209709141</v>
      </c>
    </row>
    <row r="1567" spans="5:7" x14ac:dyDescent="0.2">
      <c r="E1567" s="101" t="s">
        <v>16</v>
      </c>
      <c r="F1567" s="101">
        <v>4404.4075869999997</v>
      </c>
      <c r="G1567" s="102">
        <v>2079.833538909902</v>
      </c>
    </row>
    <row r="1568" spans="5:7" x14ac:dyDescent="0.2">
      <c r="E1568" s="101" t="s">
        <v>43</v>
      </c>
      <c r="F1568" s="101">
        <v>105.2927045</v>
      </c>
      <c r="G1568" s="102">
        <v>677.88839233068973</v>
      </c>
    </row>
    <row r="1569" spans="5:7" x14ac:dyDescent="0.2">
      <c r="E1569" s="101" t="s">
        <v>36</v>
      </c>
      <c r="F1569" s="101">
        <v>2232.1241340000001</v>
      </c>
      <c r="G1569" s="102">
        <v>819.30658744634547</v>
      </c>
    </row>
    <row r="1570" spans="5:7" x14ac:dyDescent="0.2">
      <c r="E1570" s="101" t="s">
        <v>41</v>
      </c>
      <c r="F1570" s="101">
        <v>1.4450574199999999</v>
      </c>
      <c r="G1570" s="102">
        <v>2644.8982073653192</v>
      </c>
    </row>
    <row r="1571" spans="5:7" x14ac:dyDescent="0.2">
      <c r="E1571" s="87"/>
      <c r="F1571" s="87"/>
      <c r="G1571" s="96"/>
    </row>
    <row r="1572" spans="5:7" x14ac:dyDescent="0.2">
      <c r="E1572" s="100" t="s">
        <v>409</v>
      </c>
      <c r="F1572" s="87"/>
      <c r="G1572" s="96"/>
    </row>
    <row r="1573" spans="5:7" x14ac:dyDescent="0.2">
      <c r="E1573" s="101" t="s">
        <v>17</v>
      </c>
      <c r="F1573" s="101">
        <v>36572.399698799993</v>
      </c>
      <c r="G1573" s="102">
        <v>1914.5526896162819</v>
      </c>
    </row>
    <row r="1574" spans="5:7" x14ac:dyDescent="0.2">
      <c r="E1574" s="101" t="s">
        <v>16</v>
      </c>
      <c r="F1574" s="101">
        <v>4404.4075869999997</v>
      </c>
      <c r="G1574" s="102">
        <v>2068.949190704604</v>
      </c>
    </row>
    <row r="1575" spans="5:7" x14ac:dyDescent="0.2">
      <c r="E1575" s="101" t="s">
        <v>43</v>
      </c>
      <c r="F1575" s="101">
        <v>105.2927045</v>
      </c>
      <c r="G1575" s="102">
        <v>668.73708013399187</v>
      </c>
    </row>
    <row r="1576" spans="5:7" x14ac:dyDescent="0.2">
      <c r="E1576" s="101" t="s">
        <v>36</v>
      </c>
      <c r="F1576" s="101">
        <v>2232.1241340000001</v>
      </c>
      <c r="G1576" s="102">
        <v>810.25742227966145</v>
      </c>
    </row>
    <row r="1577" spans="5:7" x14ac:dyDescent="0.2">
      <c r="E1577" s="101" t="s">
        <v>41</v>
      </c>
      <c r="F1577" s="101">
        <v>1.4450574199999999</v>
      </c>
      <c r="G1577" s="102">
        <v>2642.9472141002329</v>
      </c>
    </row>
    <row r="1578" spans="5:7" x14ac:dyDescent="0.2">
      <c r="E1578" s="87"/>
      <c r="F1578" s="87"/>
      <c r="G1578" s="96"/>
    </row>
    <row r="1579" spans="5:7" x14ac:dyDescent="0.2">
      <c r="E1579" s="100" t="s">
        <v>410</v>
      </c>
      <c r="F1579" s="87"/>
      <c r="G1579" s="96"/>
    </row>
    <row r="1580" spans="5:7" x14ac:dyDescent="0.2">
      <c r="E1580" s="101" t="s">
        <v>17</v>
      </c>
      <c r="F1580" s="101">
        <v>36572.399698799993</v>
      </c>
      <c r="G1580" s="102">
        <v>1857.456590654509</v>
      </c>
    </row>
    <row r="1581" spans="5:7" x14ac:dyDescent="0.2">
      <c r="E1581" s="101" t="s">
        <v>16</v>
      </c>
      <c r="F1581" s="101">
        <v>4404.4075869999997</v>
      </c>
      <c r="G1581" s="102">
        <v>2000.1083001197951</v>
      </c>
    </row>
    <row r="1582" spans="5:7" x14ac:dyDescent="0.2">
      <c r="E1582" s="101" t="s">
        <v>43</v>
      </c>
      <c r="F1582" s="101">
        <v>105.2927045</v>
      </c>
      <c r="G1582" s="102">
        <v>660.8443032051523</v>
      </c>
    </row>
    <row r="1583" spans="5:7" x14ac:dyDescent="0.2">
      <c r="E1583" s="101" t="s">
        <v>36</v>
      </c>
      <c r="F1583" s="101">
        <v>2232.1241340000001</v>
      </c>
      <c r="G1583" s="102">
        <v>800.34286258622558</v>
      </c>
    </row>
    <row r="1584" spans="5:7" x14ac:dyDescent="0.2">
      <c r="E1584" s="101" t="s">
        <v>41</v>
      </c>
      <c r="F1584" s="101">
        <v>1.4450574199999999</v>
      </c>
      <c r="G1584" s="102">
        <v>2609.4930131592132</v>
      </c>
    </row>
    <row r="1585" spans="5:7" x14ac:dyDescent="0.2">
      <c r="E1585" s="87"/>
      <c r="F1585" s="87"/>
      <c r="G1585" s="96"/>
    </row>
    <row r="1586" spans="5:7" x14ac:dyDescent="0.2">
      <c r="E1586" s="100" t="s">
        <v>411</v>
      </c>
      <c r="F1586" s="87"/>
      <c r="G1586" s="96"/>
    </row>
    <row r="1587" spans="5:7" x14ac:dyDescent="0.2">
      <c r="E1587" s="101" t="s">
        <v>17</v>
      </c>
      <c r="F1587" s="101">
        <v>36572.399698799993</v>
      </c>
      <c r="G1587" s="102">
        <v>1867.223615718071</v>
      </c>
    </row>
    <row r="1588" spans="5:7" x14ac:dyDescent="0.2">
      <c r="E1588" s="101" t="s">
        <v>16</v>
      </c>
      <c r="F1588" s="101">
        <v>4404.4075869999997</v>
      </c>
      <c r="G1588" s="102">
        <v>2001.2080806942679</v>
      </c>
    </row>
    <row r="1589" spans="5:7" x14ac:dyDescent="0.2">
      <c r="E1589" s="101" t="s">
        <v>43</v>
      </c>
      <c r="F1589" s="101">
        <v>105.2927045</v>
      </c>
      <c r="G1589" s="102">
        <v>666.04919113791084</v>
      </c>
    </row>
    <row r="1590" spans="5:7" x14ac:dyDescent="0.2">
      <c r="E1590" s="101" t="s">
        <v>36</v>
      </c>
      <c r="F1590" s="101">
        <v>2232.1241340000001</v>
      </c>
      <c r="G1590" s="102">
        <v>813.57846585119194</v>
      </c>
    </row>
    <row r="1591" spans="5:7" x14ac:dyDescent="0.2">
      <c r="E1591" s="101" t="s">
        <v>41</v>
      </c>
      <c r="F1591" s="101">
        <v>1.4450574199999999</v>
      </c>
      <c r="G1591" s="102">
        <v>2602.1669331596631</v>
      </c>
    </row>
    <row r="1592" spans="5:7" x14ac:dyDescent="0.2">
      <c r="E1592" s="87"/>
      <c r="F1592" s="87"/>
      <c r="G1592" s="96"/>
    </row>
    <row r="1593" spans="5:7" x14ac:dyDescent="0.2">
      <c r="E1593" s="100" t="s">
        <v>412</v>
      </c>
      <c r="F1593" s="87"/>
      <c r="G1593" s="96"/>
    </row>
    <row r="1594" spans="5:7" x14ac:dyDescent="0.2">
      <c r="E1594" s="101" t="s">
        <v>17</v>
      </c>
      <c r="F1594" s="101">
        <v>36572.399698799993</v>
      </c>
      <c r="G1594" s="102">
        <v>1919.6713626781259</v>
      </c>
    </row>
    <row r="1595" spans="5:7" x14ac:dyDescent="0.2">
      <c r="E1595" s="101" t="s">
        <v>16</v>
      </c>
      <c r="F1595" s="101">
        <v>4404.4075869999997</v>
      </c>
      <c r="G1595" s="102">
        <v>2052.6235933222511</v>
      </c>
    </row>
    <row r="1596" spans="5:7" x14ac:dyDescent="0.2">
      <c r="E1596" s="101" t="s">
        <v>43</v>
      </c>
      <c r="F1596" s="101">
        <v>105.2927045</v>
      </c>
      <c r="G1596" s="102">
        <v>684.9057899316382</v>
      </c>
    </row>
    <row r="1597" spans="5:7" x14ac:dyDescent="0.2">
      <c r="E1597" s="101" t="s">
        <v>36</v>
      </c>
      <c r="F1597" s="101">
        <v>2232.1241340000001</v>
      </c>
      <c r="G1597" s="102">
        <v>827.18618653053761</v>
      </c>
    </row>
    <row r="1598" spans="5:7" x14ac:dyDescent="0.2">
      <c r="E1598" s="101" t="s">
        <v>41</v>
      </c>
      <c r="F1598" s="101">
        <v>1.4450574199999999</v>
      </c>
      <c r="G1598" s="102">
        <v>2679.4155236690021</v>
      </c>
    </row>
    <row r="1599" spans="5:7" x14ac:dyDescent="0.2">
      <c r="E1599" s="87"/>
      <c r="F1599" s="87"/>
      <c r="G1599" s="96"/>
    </row>
    <row r="1600" spans="5:7" x14ac:dyDescent="0.2">
      <c r="E1600" s="100" t="s">
        <v>413</v>
      </c>
      <c r="F1600" s="87"/>
      <c r="G1600" s="96"/>
    </row>
    <row r="1601" spans="5:7" x14ac:dyDescent="0.2">
      <c r="E1601" s="101" t="s">
        <v>17</v>
      </c>
      <c r="F1601" s="101">
        <v>36572.399698799993</v>
      </c>
      <c r="G1601" s="102">
        <v>1914.780901390403</v>
      </c>
    </row>
    <row r="1602" spans="5:7" x14ac:dyDescent="0.2">
      <c r="E1602" s="101" t="s">
        <v>16</v>
      </c>
      <c r="F1602" s="101">
        <v>4404.4075869999997</v>
      </c>
      <c r="G1602" s="102">
        <v>2036.385291298272</v>
      </c>
    </row>
    <row r="1603" spans="5:7" x14ac:dyDescent="0.2">
      <c r="E1603" s="101" t="s">
        <v>43</v>
      </c>
      <c r="F1603" s="101">
        <v>105.2927045</v>
      </c>
      <c r="G1603" s="102">
        <v>687.55365085317658</v>
      </c>
    </row>
    <row r="1604" spans="5:7" x14ac:dyDescent="0.2">
      <c r="E1604" s="101" t="s">
        <v>36</v>
      </c>
      <c r="F1604" s="101">
        <v>2232.1241340000001</v>
      </c>
      <c r="G1604" s="102">
        <v>821.97156509241074</v>
      </c>
    </row>
    <row r="1605" spans="5:7" x14ac:dyDescent="0.2">
      <c r="E1605" s="101" t="s">
        <v>41</v>
      </c>
      <c r="F1605" s="101">
        <v>1.4450574199999999</v>
      </c>
      <c r="G1605" s="102">
        <v>2627.6945288145921</v>
      </c>
    </row>
    <row r="1606" spans="5:7" x14ac:dyDescent="0.2">
      <c r="E1606" s="87"/>
      <c r="F1606" s="87"/>
      <c r="G1606" s="96"/>
    </row>
    <row r="1607" spans="5:7" x14ac:dyDescent="0.2">
      <c r="E1607" s="100" t="s">
        <v>414</v>
      </c>
      <c r="F1607" s="87"/>
      <c r="G1607" s="96"/>
    </row>
    <row r="1608" spans="5:7" x14ac:dyDescent="0.2">
      <c r="E1608" s="101" t="s">
        <v>17</v>
      </c>
      <c r="F1608" s="101">
        <v>36513.931897809998</v>
      </c>
      <c r="G1608" s="102">
        <v>1923.8595539866151</v>
      </c>
    </row>
    <row r="1609" spans="5:7" x14ac:dyDescent="0.2">
      <c r="E1609" s="101" t="s">
        <v>16</v>
      </c>
      <c r="F1609" s="101">
        <v>4404.4075869999997</v>
      </c>
      <c r="G1609" s="102">
        <v>2020.0430452552389</v>
      </c>
    </row>
    <row r="1610" spans="5:7" x14ac:dyDescent="0.2">
      <c r="E1610" s="101" t="s">
        <v>43</v>
      </c>
      <c r="F1610" s="101">
        <v>105.2927045</v>
      </c>
      <c r="G1610" s="102">
        <v>677.41841202659157</v>
      </c>
    </row>
    <row r="1611" spans="5:7" x14ac:dyDescent="0.2">
      <c r="E1611" s="101" t="s">
        <v>36</v>
      </c>
      <c r="F1611" s="101">
        <v>2232.1241340000001</v>
      </c>
      <c r="G1611" s="102">
        <v>806.00748024976679</v>
      </c>
    </row>
    <row r="1612" spans="5:7" x14ac:dyDescent="0.2">
      <c r="E1612" s="101" t="s">
        <v>41</v>
      </c>
      <c r="F1612" s="101">
        <v>1.4450574199999999</v>
      </c>
      <c r="G1612" s="102">
        <v>2608.2261410009842</v>
      </c>
    </row>
    <row r="1613" spans="5:7" x14ac:dyDescent="0.2">
      <c r="E1613" s="87"/>
      <c r="F1613" s="87"/>
      <c r="G1613" s="96"/>
    </row>
    <row r="1614" spans="5:7" x14ac:dyDescent="0.2">
      <c r="E1614" s="100" t="s">
        <v>415</v>
      </c>
      <c r="F1614" s="87"/>
      <c r="G1614" s="96"/>
    </row>
    <row r="1615" spans="5:7" x14ac:dyDescent="0.2">
      <c r="E1615" s="101" t="s">
        <v>17</v>
      </c>
      <c r="F1615" s="101">
        <v>36513.931897809998</v>
      </c>
      <c r="G1615" s="102">
        <v>1951.319491331044</v>
      </c>
    </row>
    <row r="1616" spans="5:7" x14ac:dyDescent="0.2">
      <c r="E1616" s="101" t="s">
        <v>16</v>
      </c>
      <c r="F1616" s="101">
        <v>4404.4075869999997</v>
      </c>
      <c r="G1616" s="102">
        <v>2068.2837287622851</v>
      </c>
    </row>
    <row r="1617" spans="5:7" x14ac:dyDescent="0.2">
      <c r="E1617" s="101" t="s">
        <v>43</v>
      </c>
      <c r="F1617" s="101">
        <v>105.2927045</v>
      </c>
      <c r="G1617" s="102">
        <v>684.91826079955911</v>
      </c>
    </row>
    <row r="1618" spans="5:7" x14ac:dyDescent="0.2">
      <c r="E1618" s="101" t="s">
        <v>36</v>
      </c>
      <c r="F1618" s="101">
        <v>2232.1241340000001</v>
      </c>
      <c r="G1618" s="102">
        <v>818.00115196781701</v>
      </c>
    </row>
    <row r="1619" spans="5:7" x14ac:dyDescent="0.2">
      <c r="E1619" s="101" t="s">
        <v>41</v>
      </c>
      <c r="F1619" s="101">
        <v>1.4450574199999999</v>
      </c>
      <c r="G1619" s="102">
        <v>2628.5154153578851</v>
      </c>
    </row>
    <row r="1620" spans="5:7" x14ac:dyDescent="0.2">
      <c r="E1620" s="87"/>
      <c r="F1620" s="87"/>
      <c r="G1620" s="96"/>
    </row>
    <row r="1621" spans="5:7" x14ac:dyDescent="0.2">
      <c r="E1621" s="100" t="s">
        <v>416</v>
      </c>
      <c r="F1621" s="87"/>
      <c r="G1621" s="96"/>
    </row>
    <row r="1622" spans="5:7" x14ac:dyDescent="0.2">
      <c r="E1622" s="101" t="s">
        <v>17</v>
      </c>
      <c r="F1622" s="101">
        <v>36513.931897809998</v>
      </c>
      <c r="G1622" s="102">
        <v>1940.724243712257</v>
      </c>
    </row>
    <row r="1623" spans="5:7" x14ac:dyDescent="0.2">
      <c r="E1623" s="101" t="s">
        <v>16</v>
      </c>
      <c r="F1623" s="101">
        <v>4404.4075869999997</v>
      </c>
      <c r="G1623" s="102">
        <v>2065.124535288282</v>
      </c>
    </row>
    <row r="1624" spans="5:7" x14ac:dyDescent="0.2">
      <c r="E1624" s="101" t="s">
        <v>43</v>
      </c>
      <c r="F1624" s="101">
        <v>105.2927045</v>
      </c>
      <c r="G1624" s="102">
        <v>685.31503950963474</v>
      </c>
    </row>
    <row r="1625" spans="5:7" x14ac:dyDescent="0.2">
      <c r="E1625" s="101" t="s">
        <v>36</v>
      </c>
      <c r="F1625" s="101">
        <v>2232.1241340000001</v>
      </c>
      <c r="G1625" s="102">
        <v>822.75928169929932</v>
      </c>
    </row>
    <row r="1626" spans="5:7" x14ac:dyDescent="0.2">
      <c r="E1626" s="101" t="s">
        <v>41</v>
      </c>
      <c r="F1626" s="101">
        <v>1.4450574199999999</v>
      </c>
      <c r="G1626" s="102">
        <v>2618.634364246619</v>
      </c>
    </row>
    <row r="1627" spans="5:7" x14ac:dyDescent="0.2">
      <c r="E1627" s="87"/>
      <c r="F1627" s="87"/>
      <c r="G1627" s="96"/>
    </row>
    <row r="1628" spans="5:7" x14ac:dyDescent="0.2">
      <c r="E1628" s="100" t="s">
        <v>417</v>
      </c>
      <c r="F1628" s="87"/>
      <c r="G1628" s="96"/>
    </row>
    <row r="1629" spans="5:7" x14ac:dyDescent="0.2">
      <c r="E1629" s="101" t="s">
        <v>17</v>
      </c>
      <c r="F1629" s="101">
        <v>36513.931897809998</v>
      </c>
      <c r="G1629" s="102">
        <v>1922.6542290946691</v>
      </c>
    </row>
    <row r="1630" spans="5:7" x14ac:dyDescent="0.2">
      <c r="E1630" s="101" t="s">
        <v>16</v>
      </c>
      <c r="F1630" s="101">
        <v>4404.4075869999997</v>
      </c>
      <c r="G1630" s="102">
        <v>2029.392941901302</v>
      </c>
    </row>
    <row r="1631" spans="5:7" x14ac:dyDescent="0.2">
      <c r="E1631" s="101" t="s">
        <v>43</v>
      </c>
      <c r="F1631" s="101">
        <v>105.2927045</v>
      </c>
      <c r="G1631" s="102">
        <v>687.80730940173339</v>
      </c>
    </row>
    <row r="1632" spans="5:7" x14ac:dyDescent="0.2">
      <c r="E1632" s="101" t="s">
        <v>36</v>
      </c>
      <c r="F1632" s="101">
        <v>2232.1241340000001</v>
      </c>
      <c r="G1632" s="102">
        <v>831.99909258826847</v>
      </c>
    </row>
    <row r="1633" spans="5:7" x14ac:dyDescent="0.2">
      <c r="E1633" s="101" t="s">
        <v>41</v>
      </c>
      <c r="F1633" s="101">
        <v>1.4450574199999999</v>
      </c>
      <c r="G1633" s="102">
        <v>2604.558423957264</v>
      </c>
    </row>
    <row r="1634" spans="5:7" x14ac:dyDescent="0.2">
      <c r="E1634" s="87"/>
      <c r="F1634" s="87"/>
      <c r="G1634" s="96"/>
    </row>
    <row r="1635" spans="5:7" x14ac:dyDescent="0.2">
      <c r="E1635" s="100" t="s">
        <v>418</v>
      </c>
      <c r="F1635" s="87"/>
      <c r="G1635" s="96"/>
    </row>
    <row r="1636" spans="5:7" x14ac:dyDescent="0.2">
      <c r="E1636" s="101" t="s">
        <v>17</v>
      </c>
      <c r="F1636" s="101">
        <v>36513.931897809998</v>
      </c>
      <c r="G1636" s="102">
        <v>1952.8384708979929</v>
      </c>
    </row>
    <row r="1637" spans="5:7" x14ac:dyDescent="0.2">
      <c r="E1637" s="101" t="s">
        <v>16</v>
      </c>
      <c r="F1637" s="101">
        <v>4404.4075869999997</v>
      </c>
      <c r="G1637" s="102">
        <v>1976.401664370919</v>
      </c>
    </row>
    <row r="1638" spans="5:7" x14ac:dyDescent="0.2">
      <c r="E1638" s="101" t="s">
        <v>43</v>
      </c>
      <c r="F1638" s="101">
        <v>105.2927045</v>
      </c>
      <c r="G1638" s="102">
        <v>710.37737445654795</v>
      </c>
    </row>
    <row r="1639" spans="5:7" x14ac:dyDescent="0.2">
      <c r="E1639" s="101" t="s">
        <v>36</v>
      </c>
      <c r="F1639" s="101">
        <v>2232.1241340000001</v>
      </c>
      <c r="G1639" s="102">
        <v>837.48098857020022</v>
      </c>
    </row>
    <row r="1640" spans="5:7" x14ac:dyDescent="0.2">
      <c r="E1640" s="101" t="s">
        <v>41</v>
      </c>
      <c r="F1640" s="101">
        <v>1.4450574199999999</v>
      </c>
      <c r="G1640" s="102">
        <v>2631.522731883395</v>
      </c>
    </row>
    <row r="1641" spans="5:7" x14ac:dyDescent="0.2">
      <c r="E1641" s="87"/>
      <c r="F1641" s="87"/>
      <c r="G1641" s="96"/>
    </row>
    <row r="1642" spans="5:7" x14ac:dyDescent="0.2">
      <c r="E1642" s="100" t="s">
        <v>419</v>
      </c>
      <c r="F1642" s="87"/>
      <c r="G1642" s="96"/>
    </row>
    <row r="1643" spans="5:7" x14ac:dyDescent="0.2">
      <c r="E1643" s="101" t="s">
        <v>17</v>
      </c>
      <c r="F1643" s="101">
        <v>36513.931897809998</v>
      </c>
      <c r="G1643" s="102">
        <v>1918.695388598308</v>
      </c>
    </row>
    <row r="1644" spans="5:7" x14ac:dyDescent="0.2">
      <c r="E1644" s="101" t="s">
        <v>16</v>
      </c>
      <c r="F1644" s="101">
        <v>4404.4075869999997</v>
      </c>
      <c r="G1644" s="102">
        <v>1941.5066001169389</v>
      </c>
    </row>
    <row r="1645" spans="5:7" x14ac:dyDescent="0.2">
      <c r="E1645" s="101" t="s">
        <v>43</v>
      </c>
      <c r="F1645" s="101">
        <v>105.2927045</v>
      </c>
      <c r="G1645" s="102">
        <v>701.19515042766295</v>
      </c>
    </row>
    <row r="1646" spans="5:7" x14ac:dyDescent="0.2">
      <c r="E1646" s="101" t="s">
        <v>36</v>
      </c>
      <c r="F1646" s="101">
        <v>2232.1241340000001</v>
      </c>
      <c r="G1646" s="102">
        <v>821.61556361427915</v>
      </c>
    </row>
    <row r="1647" spans="5:7" x14ac:dyDescent="0.2">
      <c r="E1647" s="101" t="s">
        <v>41</v>
      </c>
      <c r="F1647" s="101">
        <v>1.4450574199999999</v>
      </c>
      <c r="G1647" s="102">
        <v>2635.2977762462642</v>
      </c>
    </row>
    <row r="1648" spans="5:7" x14ac:dyDescent="0.2">
      <c r="E1648" s="87"/>
      <c r="F1648" s="87"/>
      <c r="G1648" s="96"/>
    </row>
    <row r="1649" spans="5:7" x14ac:dyDescent="0.2">
      <c r="E1649" s="100" t="s">
        <v>420</v>
      </c>
      <c r="F1649" s="87"/>
      <c r="G1649" s="96"/>
    </row>
    <row r="1650" spans="5:7" x14ac:dyDescent="0.2">
      <c r="E1650" s="101" t="s">
        <v>17</v>
      </c>
      <c r="F1650" s="101">
        <v>36513.931897809998</v>
      </c>
      <c r="G1650" s="102">
        <v>1922.618810580728</v>
      </c>
    </row>
    <row r="1651" spans="5:7" x14ac:dyDescent="0.2">
      <c r="E1651" s="101" t="s">
        <v>16</v>
      </c>
      <c r="F1651" s="101">
        <v>4404.4075869999997</v>
      </c>
      <c r="G1651" s="102">
        <v>1886.872170248073</v>
      </c>
    </row>
    <row r="1652" spans="5:7" x14ac:dyDescent="0.2">
      <c r="E1652" s="101" t="s">
        <v>43</v>
      </c>
      <c r="F1652" s="101">
        <v>105.2927045</v>
      </c>
      <c r="G1652" s="102">
        <v>700.19451068679064</v>
      </c>
    </row>
    <row r="1653" spans="5:7" x14ac:dyDescent="0.2">
      <c r="E1653" s="101" t="s">
        <v>36</v>
      </c>
      <c r="F1653" s="101">
        <v>2232.1241340000001</v>
      </c>
      <c r="G1653" s="102">
        <v>821.61161275456197</v>
      </c>
    </row>
    <row r="1654" spans="5:7" x14ac:dyDescent="0.2">
      <c r="E1654" s="101" t="s">
        <v>41</v>
      </c>
      <c r="F1654" s="101">
        <v>1.4450574199999999</v>
      </c>
      <c r="G1654" s="102">
        <v>2630.069184505393</v>
      </c>
    </row>
    <row r="1655" spans="5:7" x14ac:dyDescent="0.2">
      <c r="E1655" s="87"/>
      <c r="F1655" s="87"/>
      <c r="G1655" s="96"/>
    </row>
    <row r="1656" spans="5:7" x14ac:dyDescent="0.2">
      <c r="E1656" s="100" t="s">
        <v>421</v>
      </c>
      <c r="F1656" s="87"/>
      <c r="G1656" s="96"/>
    </row>
    <row r="1657" spans="5:7" x14ac:dyDescent="0.2">
      <c r="E1657" s="101" t="s">
        <v>17</v>
      </c>
      <c r="F1657" s="101">
        <v>36513.931897809998</v>
      </c>
      <c r="G1657" s="102">
        <v>1901.281164197605</v>
      </c>
    </row>
    <row r="1658" spans="5:7" x14ac:dyDescent="0.2">
      <c r="E1658" s="101" t="s">
        <v>16</v>
      </c>
      <c r="F1658" s="101">
        <v>4404.4075869999997</v>
      </c>
      <c r="G1658" s="102">
        <v>1877.822918463899</v>
      </c>
    </row>
    <row r="1659" spans="5:7" x14ac:dyDescent="0.2">
      <c r="E1659" s="101" t="s">
        <v>43</v>
      </c>
      <c r="F1659" s="101">
        <v>105.2927045</v>
      </c>
      <c r="G1659" s="102">
        <v>688.51286423239037</v>
      </c>
    </row>
    <row r="1660" spans="5:7" x14ac:dyDescent="0.2">
      <c r="E1660" s="101" t="s">
        <v>36</v>
      </c>
      <c r="F1660" s="101">
        <v>2232.1241340000001</v>
      </c>
      <c r="G1660" s="102">
        <v>827.71334728726436</v>
      </c>
    </row>
    <row r="1661" spans="5:7" x14ac:dyDescent="0.2">
      <c r="E1661" s="101" t="s">
        <v>41</v>
      </c>
      <c r="F1661" s="101">
        <v>1.4450574199999999</v>
      </c>
      <c r="G1661" s="102">
        <v>2599.6708107830791</v>
      </c>
    </row>
    <row r="1662" spans="5:7" x14ac:dyDescent="0.2">
      <c r="E1662" s="87"/>
      <c r="F1662" s="87"/>
      <c r="G1662" s="96"/>
    </row>
    <row r="1663" spans="5:7" x14ac:dyDescent="0.2">
      <c r="E1663" s="100" t="s">
        <v>422</v>
      </c>
      <c r="F1663" s="87"/>
      <c r="G1663" s="96"/>
    </row>
    <row r="1664" spans="5:7" x14ac:dyDescent="0.2">
      <c r="E1664" s="101" t="s">
        <v>17</v>
      </c>
      <c r="F1664" s="101">
        <v>36513.931897809998</v>
      </c>
      <c r="G1664" s="102">
        <v>1885.9248649986621</v>
      </c>
    </row>
    <row r="1665" spans="5:7" x14ac:dyDescent="0.2">
      <c r="E1665" s="101" t="s">
        <v>16</v>
      </c>
      <c r="F1665" s="101">
        <v>4404.4075869999997</v>
      </c>
      <c r="G1665" s="102">
        <v>1874.346343379176</v>
      </c>
    </row>
    <row r="1666" spans="5:7" x14ac:dyDescent="0.2">
      <c r="E1666" s="101" t="s">
        <v>43</v>
      </c>
      <c r="F1666" s="101">
        <v>105.2927045</v>
      </c>
      <c r="G1666" s="102">
        <v>684.01681310388813</v>
      </c>
    </row>
    <row r="1667" spans="5:7" x14ac:dyDescent="0.2">
      <c r="E1667" s="101" t="s">
        <v>36</v>
      </c>
      <c r="F1667" s="101">
        <v>2232.1241340000001</v>
      </c>
      <c r="G1667" s="102">
        <v>814.93258395708312</v>
      </c>
    </row>
    <row r="1668" spans="5:7" x14ac:dyDescent="0.2">
      <c r="E1668" s="101" t="s">
        <v>41</v>
      </c>
      <c r="F1668" s="101">
        <v>1.4450574199999999</v>
      </c>
      <c r="G1668" s="102">
        <v>2597.0564295458762</v>
      </c>
    </row>
    <row r="1669" spans="5:7" x14ac:dyDescent="0.2">
      <c r="E1669" s="87"/>
      <c r="F1669" s="87"/>
      <c r="G1669" s="96"/>
    </row>
    <row r="1670" spans="5:7" x14ac:dyDescent="0.2">
      <c r="E1670" s="100" t="s">
        <v>423</v>
      </c>
      <c r="F1670" s="87"/>
      <c r="G1670" s="96"/>
    </row>
    <row r="1671" spans="5:7" x14ac:dyDescent="0.2">
      <c r="E1671" s="101" t="s">
        <v>16</v>
      </c>
      <c r="F1671" s="101">
        <v>4357.7849999999999</v>
      </c>
      <c r="G1671" s="102">
        <v>1880.96481519555</v>
      </c>
    </row>
    <row r="1672" spans="5:7" x14ac:dyDescent="0.2">
      <c r="E1672" s="101" t="s">
        <v>43</v>
      </c>
      <c r="F1672" s="101">
        <v>105.2927045</v>
      </c>
      <c r="G1672" s="102">
        <v>697.61694843941177</v>
      </c>
    </row>
    <row r="1673" spans="5:7" x14ac:dyDescent="0.2">
      <c r="E1673" s="101" t="s">
        <v>17</v>
      </c>
      <c r="F1673" s="101">
        <v>36230.054252109992</v>
      </c>
      <c r="G1673" s="102">
        <v>1901.5659175691919</v>
      </c>
    </row>
    <row r="1674" spans="5:7" x14ac:dyDescent="0.2">
      <c r="E1674" s="101" t="s">
        <v>36</v>
      </c>
      <c r="F1674" s="101">
        <v>2232.1241340000001</v>
      </c>
      <c r="G1674" s="102">
        <v>827.69870455294529</v>
      </c>
    </row>
    <row r="1675" spans="5:7" x14ac:dyDescent="0.2">
      <c r="E1675" s="101" t="s">
        <v>41</v>
      </c>
      <c r="F1675" s="101">
        <v>1.4450574199999999</v>
      </c>
      <c r="G1675" s="102">
        <v>2613.6681301223948</v>
      </c>
    </row>
    <row r="1676" spans="5:7" x14ac:dyDescent="0.2">
      <c r="E1676" s="87"/>
      <c r="F1676" s="87"/>
      <c r="G1676" s="96"/>
    </row>
    <row r="1677" spans="5:7" x14ac:dyDescent="0.2">
      <c r="E1677" s="100" t="s">
        <v>424</v>
      </c>
      <c r="F1677" s="87"/>
      <c r="G1677" s="96"/>
    </row>
    <row r="1678" spans="5:7" x14ac:dyDescent="0.2">
      <c r="E1678" s="101" t="s">
        <v>16</v>
      </c>
      <c r="F1678" s="101">
        <v>4357.7849999999999</v>
      </c>
      <c r="G1678" s="102">
        <v>1843.15118172645</v>
      </c>
    </row>
    <row r="1679" spans="5:7" x14ac:dyDescent="0.2">
      <c r="E1679" s="101" t="s">
        <v>43</v>
      </c>
      <c r="F1679" s="101">
        <v>105.2927045</v>
      </c>
      <c r="G1679" s="102">
        <v>670.76263484875903</v>
      </c>
    </row>
    <row r="1680" spans="5:7" x14ac:dyDescent="0.2">
      <c r="E1680" s="101" t="s">
        <v>17</v>
      </c>
      <c r="F1680" s="101">
        <v>36230.054252109992</v>
      </c>
      <c r="G1680" s="102">
        <v>1867.6357471610061</v>
      </c>
    </row>
    <row r="1681" spans="5:7" x14ac:dyDescent="0.2">
      <c r="E1681" s="101" t="s">
        <v>36</v>
      </c>
      <c r="F1681" s="101">
        <v>2232.1241340000001</v>
      </c>
      <c r="G1681" s="102">
        <v>804.96907378138872</v>
      </c>
    </row>
    <row r="1682" spans="5:7" x14ac:dyDescent="0.2">
      <c r="E1682" s="101" t="s">
        <v>41</v>
      </c>
      <c r="F1682" s="101">
        <v>1.4450574199999999</v>
      </c>
      <c r="G1682" s="102">
        <v>2598.3172065819631</v>
      </c>
    </row>
    <row r="1683" spans="5:7" x14ac:dyDescent="0.2">
      <c r="E1683" s="87"/>
      <c r="F1683" s="87"/>
      <c r="G1683" s="96"/>
    </row>
    <row r="1684" spans="5:7" x14ac:dyDescent="0.2">
      <c r="E1684" s="100" t="s">
        <v>425</v>
      </c>
      <c r="F1684" s="87"/>
      <c r="G1684" s="96"/>
    </row>
    <row r="1685" spans="5:7" x14ac:dyDescent="0.2">
      <c r="E1685" s="101" t="s">
        <v>16</v>
      </c>
      <c r="F1685" s="101">
        <v>4357.7849999999999</v>
      </c>
      <c r="G1685" s="102">
        <v>1883.63169245985</v>
      </c>
    </row>
    <row r="1686" spans="5:7" x14ac:dyDescent="0.2">
      <c r="E1686" s="101" t="s">
        <v>43</v>
      </c>
      <c r="F1686" s="101">
        <v>105.2927045</v>
      </c>
      <c r="G1686" s="102">
        <v>695.03080904832427</v>
      </c>
    </row>
    <row r="1687" spans="5:7" x14ac:dyDescent="0.2">
      <c r="E1687" s="101" t="s">
        <v>17</v>
      </c>
      <c r="F1687" s="101">
        <v>36230.054252109992</v>
      </c>
      <c r="G1687" s="102">
        <v>1977.817501250895</v>
      </c>
    </row>
    <row r="1688" spans="5:7" x14ac:dyDescent="0.2">
      <c r="E1688" s="101" t="s">
        <v>36</v>
      </c>
      <c r="F1688" s="101">
        <v>2232.1241340000001</v>
      </c>
      <c r="G1688" s="102">
        <v>827.24433336422828</v>
      </c>
    </row>
    <row r="1689" spans="5:7" x14ac:dyDescent="0.2">
      <c r="E1689" s="101" t="s">
        <v>41</v>
      </c>
      <c r="F1689" s="101">
        <v>1.4450574199999999</v>
      </c>
      <c r="G1689" s="102">
        <v>2663.0465498497392</v>
      </c>
    </row>
    <row r="1690" spans="5:7" x14ac:dyDescent="0.2">
      <c r="E1690" s="87"/>
      <c r="F1690" s="87"/>
      <c r="G1690" s="96"/>
    </row>
    <row r="1691" spans="5:7" x14ac:dyDescent="0.2">
      <c r="E1691" s="100" t="s">
        <v>426</v>
      </c>
      <c r="F1691" s="87"/>
      <c r="G1691" s="96"/>
    </row>
    <row r="1692" spans="5:7" x14ac:dyDescent="0.2">
      <c r="E1692" s="101" t="s">
        <v>16</v>
      </c>
      <c r="F1692" s="101">
        <v>4357.7849999999999</v>
      </c>
      <c r="G1692" s="102">
        <v>1874.12413861395</v>
      </c>
    </row>
    <row r="1693" spans="5:7" x14ac:dyDescent="0.2">
      <c r="E1693" s="101" t="s">
        <v>43</v>
      </c>
      <c r="F1693" s="101">
        <v>105.2927045</v>
      </c>
      <c r="G1693" s="102">
        <v>686.19147492335173</v>
      </c>
    </row>
    <row r="1694" spans="5:7" x14ac:dyDescent="0.2">
      <c r="E1694" s="101" t="s">
        <v>17</v>
      </c>
      <c r="F1694" s="101">
        <v>36230.054252109992</v>
      </c>
      <c r="G1694" s="102">
        <v>1968.648036820229</v>
      </c>
    </row>
    <row r="1695" spans="5:7" x14ac:dyDescent="0.2">
      <c r="E1695" s="101" t="s">
        <v>36</v>
      </c>
      <c r="F1695" s="101">
        <v>2232.1241340000001</v>
      </c>
      <c r="G1695" s="102">
        <v>811.55205427738144</v>
      </c>
    </row>
    <row r="1696" spans="5:7" x14ac:dyDescent="0.2">
      <c r="E1696" s="101" t="s">
        <v>41</v>
      </c>
      <c r="F1696" s="101">
        <v>1.4450574199999999</v>
      </c>
      <c r="G1696" s="102">
        <v>2667.6688625189408</v>
      </c>
    </row>
    <row r="1697" spans="5:7" x14ac:dyDescent="0.2">
      <c r="E1697" s="87"/>
      <c r="F1697" s="87"/>
      <c r="G1697" s="96"/>
    </row>
    <row r="1698" spans="5:7" x14ac:dyDescent="0.2">
      <c r="E1698" s="100" t="s">
        <v>427</v>
      </c>
      <c r="F1698" s="87"/>
      <c r="G1698" s="96"/>
    </row>
    <row r="1699" spans="5:7" x14ac:dyDescent="0.2">
      <c r="E1699" s="101" t="s">
        <v>43</v>
      </c>
      <c r="F1699" s="101">
        <v>105.2927045</v>
      </c>
      <c r="G1699" s="102">
        <v>694.25622326767007</v>
      </c>
    </row>
    <row r="1700" spans="5:7" x14ac:dyDescent="0.2">
      <c r="E1700" s="101" t="s">
        <v>16</v>
      </c>
      <c r="F1700" s="101">
        <v>4244.4980000000014</v>
      </c>
      <c r="G1700" s="102">
        <v>1823.7525559010001</v>
      </c>
    </row>
    <row r="1701" spans="5:7" x14ac:dyDescent="0.2">
      <c r="E1701" s="101" t="s">
        <v>17</v>
      </c>
      <c r="F1701" s="101">
        <v>36230.054252109992</v>
      </c>
      <c r="G1701" s="102">
        <v>1982.818697939857</v>
      </c>
    </row>
    <row r="1702" spans="5:7" x14ac:dyDescent="0.2">
      <c r="E1702" s="101" t="s">
        <v>36</v>
      </c>
      <c r="F1702" s="101">
        <v>2232.1241340000001</v>
      </c>
      <c r="G1702" s="102">
        <v>817.28260888784098</v>
      </c>
    </row>
    <row r="1703" spans="5:7" x14ac:dyDescent="0.2">
      <c r="E1703" s="101" t="s">
        <v>41</v>
      </c>
      <c r="F1703" s="101">
        <v>1.4450574199999999</v>
      </c>
      <c r="G1703" s="102">
        <v>2672.32825586731</v>
      </c>
    </row>
    <row r="1704" spans="5:7" x14ac:dyDescent="0.2">
      <c r="E1704" s="87"/>
      <c r="F1704" s="87"/>
      <c r="G1704" s="96"/>
    </row>
    <row r="1705" spans="5:7" x14ac:dyDescent="0.2">
      <c r="E1705" s="100" t="s">
        <v>428</v>
      </c>
      <c r="F1705" s="87"/>
      <c r="G1705" s="96"/>
    </row>
    <row r="1706" spans="5:7" x14ac:dyDescent="0.2">
      <c r="E1706" s="101" t="s">
        <v>43</v>
      </c>
      <c r="F1706" s="101">
        <v>105.2927045</v>
      </c>
      <c r="G1706" s="102">
        <v>731.06623477690243</v>
      </c>
    </row>
    <row r="1707" spans="5:7" x14ac:dyDescent="0.2">
      <c r="E1707" s="101" t="s">
        <v>16</v>
      </c>
      <c r="F1707" s="101">
        <v>4244.4980000000014</v>
      </c>
      <c r="G1707" s="102">
        <v>1922.5818717827999</v>
      </c>
    </row>
    <row r="1708" spans="5:7" x14ac:dyDescent="0.2">
      <c r="E1708" s="101" t="s">
        <v>17</v>
      </c>
      <c r="F1708" s="101">
        <v>36230.054252109992</v>
      </c>
      <c r="G1708" s="102">
        <v>2067.2079141071272</v>
      </c>
    </row>
    <row r="1709" spans="5:7" x14ac:dyDescent="0.2">
      <c r="E1709" s="101" t="s">
        <v>36</v>
      </c>
      <c r="F1709" s="101">
        <v>2232.1241340000001</v>
      </c>
      <c r="G1709" s="102">
        <v>843.94633612433131</v>
      </c>
    </row>
    <row r="1710" spans="5:7" x14ac:dyDescent="0.2">
      <c r="E1710" s="101" t="s">
        <v>41</v>
      </c>
      <c r="F1710" s="101">
        <v>1.4450574199999999</v>
      </c>
      <c r="G1710" s="102">
        <v>2738.7163880473522</v>
      </c>
    </row>
    <row r="1711" spans="5:7" x14ac:dyDescent="0.2">
      <c r="E1711" s="87"/>
      <c r="F1711" s="87"/>
      <c r="G1711" s="96"/>
    </row>
    <row r="1712" spans="5:7" x14ac:dyDescent="0.2">
      <c r="E1712" s="100" t="s">
        <v>429</v>
      </c>
      <c r="F1712" s="87"/>
      <c r="G1712" s="96"/>
    </row>
    <row r="1713" spans="5:7" x14ac:dyDescent="0.2">
      <c r="E1713" s="101" t="s">
        <v>43</v>
      </c>
      <c r="F1713" s="101">
        <v>105.2927045</v>
      </c>
      <c r="G1713" s="102">
        <v>730.74615127278469</v>
      </c>
    </row>
    <row r="1714" spans="5:7" x14ac:dyDescent="0.2">
      <c r="E1714" s="101" t="s">
        <v>16</v>
      </c>
      <c r="F1714" s="101">
        <v>4244.4980000000014</v>
      </c>
      <c r="G1714" s="102">
        <v>1952.74344435072</v>
      </c>
    </row>
    <row r="1715" spans="5:7" x14ac:dyDescent="0.2">
      <c r="E1715" s="101" t="s">
        <v>17</v>
      </c>
      <c r="F1715" s="101">
        <v>36230.054252109992</v>
      </c>
      <c r="G1715" s="102">
        <v>2076.507806733101</v>
      </c>
    </row>
    <row r="1716" spans="5:7" x14ac:dyDescent="0.2">
      <c r="E1716" s="101" t="s">
        <v>36</v>
      </c>
      <c r="F1716" s="101">
        <v>2232.1241340000001</v>
      </c>
      <c r="G1716" s="102">
        <v>848.78933121538842</v>
      </c>
    </row>
    <row r="1717" spans="5:7" x14ac:dyDescent="0.2">
      <c r="E1717" s="101" t="s">
        <v>41</v>
      </c>
      <c r="F1717" s="101">
        <v>1.4450574199999999</v>
      </c>
      <c r="G1717" s="102">
        <v>2746.2024371749471</v>
      </c>
    </row>
    <row r="1718" spans="5:7" x14ac:dyDescent="0.2">
      <c r="E1718" s="87"/>
      <c r="F1718" s="87"/>
      <c r="G1718" s="96"/>
    </row>
    <row r="1719" spans="5:7" x14ac:dyDescent="0.2">
      <c r="E1719" s="100" t="s">
        <v>430</v>
      </c>
      <c r="F1719" s="87"/>
      <c r="G1719" s="96"/>
    </row>
    <row r="1720" spans="5:7" x14ac:dyDescent="0.2">
      <c r="E1720" s="101" t="s">
        <v>43</v>
      </c>
      <c r="F1720" s="101">
        <v>105.2927045</v>
      </c>
      <c r="G1720" s="102">
        <v>761.03268483446175</v>
      </c>
    </row>
    <row r="1721" spans="5:7" x14ac:dyDescent="0.2">
      <c r="E1721" s="101" t="s">
        <v>16</v>
      </c>
      <c r="F1721" s="101">
        <v>4244.4980000000014</v>
      </c>
      <c r="G1721" s="102">
        <v>1985.68762491748</v>
      </c>
    </row>
    <row r="1722" spans="5:7" x14ac:dyDescent="0.2">
      <c r="E1722" s="101" t="s">
        <v>17</v>
      </c>
      <c r="F1722" s="101">
        <v>36230.054252109992</v>
      </c>
      <c r="G1722" s="102">
        <v>2119.8853260880669</v>
      </c>
    </row>
    <row r="1723" spans="5:7" x14ac:dyDescent="0.2">
      <c r="E1723" s="101" t="s">
        <v>36</v>
      </c>
      <c r="F1723" s="101">
        <v>2232.1241340000001</v>
      </c>
      <c r="G1723" s="102">
        <v>880.65018003679495</v>
      </c>
    </row>
    <row r="1724" spans="5:7" x14ac:dyDescent="0.2">
      <c r="E1724" s="101" t="s">
        <v>41</v>
      </c>
      <c r="F1724" s="101">
        <v>1.4450574199999999</v>
      </c>
      <c r="G1724" s="102">
        <v>2880.885208765244</v>
      </c>
    </row>
    <row r="1725" spans="5:7" x14ac:dyDescent="0.2">
      <c r="E1725" s="87"/>
      <c r="F1725" s="87"/>
      <c r="G1725" s="96"/>
    </row>
    <row r="1726" spans="5:7" x14ac:dyDescent="0.2">
      <c r="E1726" s="100" t="s">
        <v>431</v>
      </c>
      <c r="F1726" s="87"/>
      <c r="G1726" s="96"/>
    </row>
    <row r="1727" spans="5:7" x14ac:dyDescent="0.2">
      <c r="E1727" s="101" t="s">
        <v>43</v>
      </c>
      <c r="F1727" s="101">
        <v>105.2927045</v>
      </c>
      <c r="G1727" s="102">
        <v>736.99753181337132</v>
      </c>
    </row>
    <row r="1728" spans="5:7" x14ac:dyDescent="0.2">
      <c r="E1728" s="101" t="s">
        <v>16</v>
      </c>
      <c r="F1728" s="101">
        <v>4244.4980000000014</v>
      </c>
      <c r="G1728" s="102">
        <v>1962.2490400667</v>
      </c>
    </row>
    <row r="1729" spans="5:7" x14ac:dyDescent="0.2">
      <c r="E1729" s="101" t="s">
        <v>17</v>
      </c>
      <c r="F1729" s="101">
        <v>36230.054252109992</v>
      </c>
      <c r="G1729" s="102">
        <v>2092.5954000232082</v>
      </c>
    </row>
    <row r="1730" spans="5:7" x14ac:dyDescent="0.2">
      <c r="E1730" s="101" t="s">
        <v>36</v>
      </c>
      <c r="F1730" s="101">
        <v>2232.1241340000001</v>
      </c>
      <c r="G1730" s="102">
        <v>865.41756227286271</v>
      </c>
    </row>
    <row r="1731" spans="5:7" x14ac:dyDescent="0.2">
      <c r="E1731" s="101" t="s">
        <v>41</v>
      </c>
      <c r="F1731" s="101">
        <v>1.4450574199999999</v>
      </c>
      <c r="G1731" s="102">
        <v>2712.9525272238711</v>
      </c>
    </row>
    <row r="1732" spans="5:7" x14ac:dyDescent="0.2">
      <c r="E1732" s="87"/>
      <c r="F1732" s="87"/>
      <c r="G1732" s="96"/>
    </row>
    <row r="1733" spans="5:7" x14ac:dyDescent="0.2">
      <c r="E1733" s="100" t="s">
        <v>432</v>
      </c>
      <c r="F1733" s="87"/>
      <c r="G1733" s="96"/>
    </row>
    <row r="1734" spans="5:7" x14ac:dyDescent="0.2">
      <c r="E1734" s="101" t="s">
        <v>43</v>
      </c>
      <c r="F1734" s="101">
        <v>105.2927045</v>
      </c>
      <c r="G1734" s="102">
        <v>749.92984185304147</v>
      </c>
    </row>
    <row r="1735" spans="5:7" x14ac:dyDescent="0.2">
      <c r="E1735" s="101" t="s">
        <v>16</v>
      </c>
      <c r="F1735" s="101">
        <v>4244.4980000000014</v>
      </c>
      <c r="G1735" s="102">
        <v>1966.75253733466</v>
      </c>
    </row>
    <row r="1736" spans="5:7" x14ac:dyDescent="0.2">
      <c r="E1736" s="101" t="s">
        <v>17</v>
      </c>
      <c r="F1736" s="101">
        <v>36230.054252109992</v>
      </c>
      <c r="G1736" s="102">
        <v>2125.3372246519239</v>
      </c>
    </row>
    <row r="1737" spans="5:7" x14ac:dyDescent="0.2">
      <c r="E1737" s="101" t="s">
        <v>36</v>
      </c>
      <c r="F1737" s="101">
        <v>2232.1241340000001</v>
      </c>
      <c r="G1737" s="102">
        <v>879.09436719415567</v>
      </c>
    </row>
    <row r="1738" spans="5:7" x14ac:dyDescent="0.2">
      <c r="E1738" s="101" t="s">
        <v>41</v>
      </c>
      <c r="F1738" s="101">
        <v>1.4450574199999999</v>
      </c>
      <c r="G1738" s="102">
        <v>2750.9965765931611</v>
      </c>
    </row>
    <row r="1739" spans="5:7" x14ac:dyDescent="0.2">
      <c r="E1739" s="87"/>
      <c r="F1739" s="87"/>
      <c r="G1739" s="96"/>
    </row>
    <row r="1740" spans="5:7" x14ac:dyDescent="0.2">
      <c r="E1740" s="100" t="s">
        <v>433</v>
      </c>
      <c r="F1740" s="87"/>
      <c r="G1740" s="96"/>
    </row>
    <row r="1741" spans="5:7" x14ac:dyDescent="0.2">
      <c r="E1741" s="101" t="s">
        <v>43</v>
      </c>
      <c r="F1741" s="101">
        <v>105.2927045</v>
      </c>
      <c r="G1741" s="102">
        <v>735.48044504497796</v>
      </c>
    </row>
    <row r="1742" spans="5:7" x14ac:dyDescent="0.2">
      <c r="E1742" s="101" t="s">
        <v>16</v>
      </c>
      <c r="F1742" s="101">
        <v>4244.4980000000014</v>
      </c>
      <c r="G1742" s="102">
        <v>1973.84216478904</v>
      </c>
    </row>
    <row r="1743" spans="5:7" x14ac:dyDescent="0.2">
      <c r="E1743" s="101" t="s">
        <v>17</v>
      </c>
      <c r="F1743" s="101">
        <v>36230.054252109992</v>
      </c>
      <c r="G1743" s="102">
        <v>2136.3421036310028</v>
      </c>
    </row>
    <row r="1744" spans="5:7" x14ac:dyDescent="0.2">
      <c r="E1744" s="101" t="s">
        <v>36</v>
      </c>
      <c r="F1744" s="101">
        <v>2232.1241340000001</v>
      </c>
      <c r="G1744" s="102">
        <v>874.02059278888419</v>
      </c>
    </row>
    <row r="1745" spans="5:7" x14ac:dyDescent="0.2">
      <c r="E1745" s="101" t="s">
        <v>41</v>
      </c>
      <c r="F1745" s="101">
        <v>1.4450574199999999</v>
      </c>
      <c r="G1745" s="102">
        <v>2703.4547106581999</v>
      </c>
    </row>
    <row r="1746" spans="5:7" x14ac:dyDescent="0.2">
      <c r="E1746" s="87"/>
      <c r="F1746" s="87"/>
      <c r="G1746" s="96"/>
    </row>
    <row r="1747" spans="5:7" x14ac:dyDescent="0.2">
      <c r="E1747" s="100" t="s">
        <v>434</v>
      </c>
      <c r="F1747" s="87"/>
      <c r="G1747" s="96"/>
    </row>
    <row r="1748" spans="5:7" x14ac:dyDescent="0.2">
      <c r="E1748" s="101" t="s">
        <v>43</v>
      </c>
      <c r="F1748" s="101">
        <v>105.2927045</v>
      </c>
      <c r="G1748" s="102">
        <v>727.21090976089658</v>
      </c>
    </row>
    <row r="1749" spans="5:7" x14ac:dyDescent="0.2">
      <c r="E1749" s="101" t="s">
        <v>16</v>
      </c>
      <c r="F1749" s="101">
        <v>4244.4980000000014</v>
      </c>
      <c r="G1749" s="102">
        <v>1974.67209148298</v>
      </c>
    </row>
    <row r="1750" spans="5:7" x14ac:dyDescent="0.2">
      <c r="E1750" s="101" t="s">
        <v>17</v>
      </c>
      <c r="F1750" s="101">
        <v>36230.054252109992</v>
      </c>
      <c r="G1750" s="102">
        <v>2155.5650458160871</v>
      </c>
    </row>
    <row r="1751" spans="5:7" x14ac:dyDescent="0.2">
      <c r="E1751" s="101" t="s">
        <v>36</v>
      </c>
      <c r="F1751" s="101">
        <v>2232.1241340000001</v>
      </c>
      <c r="G1751" s="102">
        <v>864.50004764758205</v>
      </c>
    </row>
    <row r="1752" spans="5:7" x14ac:dyDescent="0.2">
      <c r="E1752" s="101" t="s">
        <v>41</v>
      </c>
      <c r="F1752" s="101">
        <v>1.4450574199999999</v>
      </c>
      <c r="G1752" s="102">
        <v>2648.3940152628529</v>
      </c>
    </row>
    <row r="1753" spans="5:7" x14ac:dyDescent="0.2">
      <c r="E1753" s="87"/>
      <c r="F1753" s="87"/>
      <c r="G1753" s="96"/>
    </row>
    <row r="1754" spans="5:7" x14ac:dyDescent="0.2">
      <c r="E1754" s="100" t="s">
        <v>435</v>
      </c>
      <c r="F1754" s="87"/>
      <c r="G1754" s="96"/>
    </row>
    <row r="1755" spans="5:7" x14ac:dyDescent="0.2">
      <c r="E1755" s="101" t="s">
        <v>43</v>
      </c>
      <c r="F1755" s="101">
        <v>105.2927045</v>
      </c>
      <c r="G1755" s="102">
        <v>743.91832230501404</v>
      </c>
    </row>
    <row r="1756" spans="5:7" x14ac:dyDescent="0.2">
      <c r="E1756" s="101" t="s">
        <v>16</v>
      </c>
      <c r="F1756" s="101">
        <v>4244.4980000000014</v>
      </c>
      <c r="G1756" s="102">
        <v>2007.93117135636</v>
      </c>
    </row>
    <row r="1757" spans="5:7" x14ac:dyDescent="0.2">
      <c r="E1757" s="101" t="s">
        <v>17</v>
      </c>
      <c r="F1757" s="101">
        <v>36230.054252109992</v>
      </c>
      <c r="G1757" s="102">
        <v>2315.2906744946522</v>
      </c>
    </row>
    <row r="1758" spans="5:7" x14ac:dyDescent="0.2">
      <c r="E1758" s="101" t="s">
        <v>36</v>
      </c>
      <c r="F1758" s="101">
        <v>2232.1241340000001</v>
      </c>
      <c r="G1758" s="102">
        <v>888.96401655001546</v>
      </c>
    </row>
    <row r="1759" spans="5:7" x14ac:dyDescent="0.2">
      <c r="E1759" s="101" t="s">
        <v>41</v>
      </c>
      <c r="F1759" s="101">
        <v>1.4450574199999999</v>
      </c>
      <c r="G1759" s="102">
        <v>2724.4996057712278</v>
      </c>
    </row>
    <row r="1760" spans="5:7" x14ac:dyDescent="0.2">
      <c r="E1760" s="87"/>
      <c r="F1760" s="87"/>
      <c r="G1760" s="96"/>
    </row>
    <row r="1761" spans="5:7" x14ac:dyDescent="0.2">
      <c r="E1761" s="100" t="s">
        <v>436</v>
      </c>
      <c r="F1761" s="87"/>
      <c r="G1761" s="96"/>
    </row>
    <row r="1762" spans="5:7" x14ac:dyDescent="0.2">
      <c r="E1762" s="101" t="s">
        <v>43</v>
      </c>
      <c r="F1762" s="101">
        <v>105.2927045</v>
      </c>
      <c r="G1762" s="102">
        <v>756.02129962232516</v>
      </c>
    </row>
    <row r="1763" spans="5:7" x14ac:dyDescent="0.2">
      <c r="E1763" s="101" t="s">
        <v>16</v>
      </c>
      <c r="F1763" s="101">
        <v>4244.4980000000014</v>
      </c>
      <c r="G1763" s="102">
        <v>2027.8489875611201</v>
      </c>
    </row>
    <row r="1764" spans="5:7" x14ac:dyDescent="0.2">
      <c r="E1764" s="101" t="s">
        <v>17</v>
      </c>
      <c r="F1764" s="101">
        <v>36230.054252109992</v>
      </c>
      <c r="G1764" s="102">
        <v>2206.2077779502288</v>
      </c>
    </row>
    <row r="1765" spans="5:7" x14ac:dyDescent="0.2">
      <c r="E1765" s="101" t="s">
        <v>36</v>
      </c>
      <c r="F1765" s="101">
        <v>2232.1241340000001</v>
      </c>
      <c r="G1765" s="102">
        <v>898.69181441715943</v>
      </c>
    </row>
    <row r="1766" spans="5:7" x14ac:dyDescent="0.2">
      <c r="E1766" s="101" t="s">
        <v>41</v>
      </c>
      <c r="F1766" s="101">
        <v>1.4450574199999999</v>
      </c>
      <c r="G1766" s="102">
        <v>2753.230117354748</v>
      </c>
    </row>
    <row r="1767" spans="5:7" x14ac:dyDescent="0.2">
      <c r="E1767" s="87"/>
      <c r="F1767" s="87"/>
      <c r="G1767" s="96"/>
    </row>
    <row r="1768" spans="5:7" x14ac:dyDescent="0.2">
      <c r="E1768" s="100" t="s">
        <v>437</v>
      </c>
      <c r="F1768" s="87"/>
      <c r="G1768" s="96"/>
    </row>
    <row r="1769" spans="5:7" x14ac:dyDescent="0.2">
      <c r="E1769" s="101" t="s">
        <v>43</v>
      </c>
      <c r="F1769" s="101">
        <v>105.2927045</v>
      </c>
      <c r="G1769" s="102">
        <v>742.66947712475098</v>
      </c>
    </row>
    <row r="1770" spans="5:7" x14ac:dyDescent="0.2">
      <c r="E1770" s="101" t="s">
        <v>16</v>
      </c>
      <c r="F1770" s="101">
        <v>4244.4980000000014</v>
      </c>
      <c r="G1770" s="102">
        <v>2038.13463711954</v>
      </c>
    </row>
    <row r="1771" spans="5:7" x14ac:dyDescent="0.2">
      <c r="E1771" s="101" t="s">
        <v>17</v>
      </c>
      <c r="F1771" s="101">
        <v>36230.054252109992</v>
      </c>
      <c r="G1771" s="102">
        <v>2207.044692203453</v>
      </c>
    </row>
    <row r="1772" spans="5:7" x14ac:dyDescent="0.2">
      <c r="E1772" s="101" t="s">
        <v>36</v>
      </c>
      <c r="F1772" s="101">
        <v>2232.1241340000001</v>
      </c>
      <c r="G1772" s="102">
        <v>904.52111819930712</v>
      </c>
    </row>
    <row r="1773" spans="5:7" x14ac:dyDescent="0.2">
      <c r="E1773" s="101" t="s">
        <v>41</v>
      </c>
      <c r="F1773" s="101">
        <v>1.4450574199999999</v>
      </c>
      <c r="G1773" s="102">
        <v>2737.5573593683312</v>
      </c>
    </row>
    <row r="1774" spans="5:7" x14ac:dyDescent="0.2">
      <c r="E1774" s="87"/>
      <c r="F1774" s="87"/>
      <c r="G1774" s="96"/>
    </row>
    <row r="1775" spans="5:7" x14ac:dyDescent="0.2">
      <c r="E1775" s="100" t="s">
        <v>438</v>
      </c>
      <c r="F1775" s="87"/>
      <c r="G1775" s="96"/>
    </row>
    <row r="1776" spans="5:7" x14ac:dyDescent="0.2">
      <c r="E1776" s="101" t="s">
        <v>43</v>
      </c>
      <c r="F1776" s="101">
        <v>105.2927045</v>
      </c>
      <c r="G1776" s="102">
        <v>755.93091952356349</v>
      </c>
    </row>
    <row r="1777" spans="5:7" x14ac:dyDescent="0.2">
      <c r="E1777" s="101" t="s">
        <v>16</v>
      </c>
      <c r="F1777" s="101">
        <v>4244.4980000000014</v>
      </c>
      <c r="G1777" s="102">
        <v>1982.70527084276</v>
      </c>
    </row>
    <row r="1778" spans="5:7" x14ac:dyDescent="0.2">
      <c r="E1778" s="101" t="s">
        <v>17</v>
      </c>
      <c r="F1778" s="101">
        <v>36230.054252109992</v>
      </c>
      <c r="G1778" s="102">
        <v>2224.2452727601849</v>
      </c>
    </row>
    <row r="1779" spans="5:7" x14ac:dyDescent="0.2">
      <c r="E1779" s="101" t="s">
        <v>36</v>
      </c>
      <c r="F1779" s="101">
        <v>2232.1241340000001</v>
      </c>
      <c r="G1779" s="102">
        <v>915.88321039364189</v>
      </c>
    </row>
    <row r="1780" spans="5:7" x14ac:dyDescent="0.2">
      <c r="E1780" s="101" t="s">
        <v>41</v>
      </c>
      <c r="F1780" s="101">
        <v>1.4450574199999999</v>
      </c>
      <c r="G1780" s="102">
        <v>2760.719744227757</v>
      </c>
    </row>
    <row r="1781" spans="5:7" x14ac:dyDescent="0.2">
      <c r="E1781" s="87"/>
      <c r="F1781" s="87"/>
      <c r="G1781" s="96"/>
    </row>
    <row r="1782" spans="5:7" x14ac:dyDescent="0.2">
      <c r="E1782" s="100" t="s">
        <v>439</v>
      </c>
      <c r="F1782" s="87"/>
      <c r="G1782" s="96"/>
    </row>
    <row r="1783" spans="5:7" x14ac:dyDescent="0.2">
      <c r="E1783" s="101" t="s">
        <v>43</v>
      </c>
      <c r="F1783" s="101">
        <v>105.2927045</v>
      </c>
      <c r="G1783" s="102">
        <v>736.86341312516038</v>
      </c>
    </row>
    <row r="1784" spans="5:7" x14ac:dyDescent="0.2">
      <c r="E1784" s="101" t="s">
        <v>16</v>
      </c>
      <c r="F1784" s="101">
        <v>4244.4980000000014</v>
      </c>
      <c r="G1784" s="102">
        <v>1959.9672828318601</v>
      </c>
    </row>
    <row r="1785" spans="5:7" x14ac:dyDescent="0.2">
      <c r="E1785" s="101" t="s">
        <v>17</v>
      </c>
      <c r="F1785" s="101">
        <v>36230.054252109992</v>
      </c>
      <c r="G1785" s="102">
        <v>2187.7054515442192</v>
      </c>
    </row>
    <row r="1786" spans="5:7" x14ac:dyDescent="0.2">
      <c r="E1786" s="101" t="s">
        <v>36</v>
      </c>
      <c r="F1786" s="101">
        <v>2232.1241340000001</v>
      </c>
      <c r="G1786" s="102">
        <v>895.75420512936739</v>
      </c>
    </row>
    <row r="1787" spans="5:7" x14ac:dyDescent="0.2">
      <c r="E1787" s="101" t="s">
        <v>41</v>
      </c>
      <c r="F1787" s="101">
        <v>1.4450574199999999</v>
      </c>
      <c r="G1787" s="102">
        <v>2698.7738116184928</v>
      </c>
    </row>
    <row r="1788" spans="5:7" x14ac:dyDescent="0.2">
      <c r="E1788" s="87"/>
      <c r="F1788" s="87"/>
      <c r="G1788" s="96"/>
    </row>
    <row r="1789" spans="5:7" x14ac:dyDescent="0.2">
      <c r="E1789" s="100" t="s">
        <v>440</v>
      </c>
      <c r="F1789" s="87"/>
      <c r="G1789" s="96"/>
    </row>
    <row r="1790" spans="5:7" x14ac:dyDescent="0.2">
      <c r="E1790" s="101" t="s">
        <v>43</v>
      </c>
      <c r="F1790" s="101">
        <v>105.2927045</v>
      </c>
      <c r="G1790" s="102">
        <v>766.03359236957351</v>
      </c>
    </row>
    <row r="1791" spans="5:7" x14ac:dyDescent="0.2">
      <c r="E1791" s="101" t="s">
        <v>16</v>
      </c>
      <c r="F1791" s="101">
        <v>4244.4980000000014</v>
      </c>
      <c r="G1791" s="102">
        <v>1995.3911840201799</v>
      </c>
    </row>
    <row r="1792" spans="5:7" x14ac:dyDescent="0.2">
      <c r="E1792" s="101" t="s">
        <v>17</v>
      </c>
      <c r="F1792" s="101">
        <v>36230.054252109992</v>
      </c>
      <c r="G1792" s="102">
        <v>2212.7121595901099</v>
      </c>
    </row>
    <row r="1793" spans="5:7" x14ac:dyDescent="0.2">
      <c r="E1793" s="101" t="s">
        <v>36</v>
      </c>
      <c r="F1793" s="101">
        <v>2232.1241340000001</v>
      </c>
      <c r="G1793" s="102">
        <v>881.87883044511386</v>
      </c>
    </row>
    <row r="1794" spans="5:7" x14ac:dyDescent="0.2">
      <c r="E1794" s="101" t="s">
        <v>41</v>
      </c>
      <c r="F1794" s="101">
        <v>1.4450574199999999</v>
      </c>
      <c r="G1794" s="102">
        <v>2703.0741552635118</v>
      </c>
    </row>
    <row r="1795" spans="5:7" x14ac:dyDescent="0.2">
      <c r="E1795" s="87"/>
      <c r="F1795" s="87"/>
      <c r="G1795" s="96"/>
    </row>
    <row r="1796" spans="5:7" x14ac:dyDescent="0.2">
      <c r="E1796" s="100" t="s">
        <v>441</v>
      </c>
      <c r="F1796" s="87"/>
      <c r="G1796" s="96"/>
    </row>
    <row r="1797" spans="5:7" x14ac:dyDescent="0.2">
      <c r="E1797" s="101" t="s">
        <v>43</v>
      </c>
      <c r="F1797" s="101">
        <v>105.2927045</v>
      </c>
      <c r="G1797" s="102">
        <v>744.55620972619704</v>
      </c>
    </row>
    <row r="1798" spans="5:7" x14ac:dyDescent="0.2">
      <c r="E1798" s="101" t="s">
        <v>16</v>
      </c>
      <c r="F1798" s="101">
        <v>4244.4980000000014</v>
      </c>
      <c r="G1798" s="102">
        <v>1958.30178426164</v>
      </c>
    </row>
    <row r="1799" spans="5:7" x14ac:dyDescent="0.2">
      <c r="E1799" s="101" t="s">
        <v>17</v>
      </c>
      <c r="F1799" s="101">
        <v>36230.054252109992</v>
      </c>
      <c r="G1799" s="102">
        <v>2173.7789809902511</v>
      </c>
    </row>
    <row r="1800" spans="5:7" x14ac:dyDescent="0.2">
      <c r="E1800" s="101" t="s">
        <v>36</v>
      </c>
      <c r="F1800" s="101">
        <v>2232.1241340000001</v>
      </c>
      <c r="G1800" s="102">
        <v>857.2488584708351</v>
      </c>
    </row>
    <row r="1801" spans="5:7" x14ac:dyDescent="0.2">
      <c r="E1801" s="101" t="s">
        <v>41</v>
      </c>
      <c r="F1801" s="101">
        <v>1.4450574199999999</v>
      </c>
      <c r="G1801" s="102">
        <v>2662.7072984301331</v>
      </c>
    </row>
    <row r="1802" spans="5:7" x14ac:dyDescent="0.2">
      <c r="E1802" s="87"/>
      <c r="F1802" s="87"/>
      <c r="G1802" s="96"/>
    </row>
    <row r="1803" spans="5:7" x14ac:dyDescent="0.2">
      <c r="E1803" s="100" t="s">
        <v>442</v>
      </c>
      <c r="F1803" s="87"/>
      <c r="G1803" s="96"/>
    </row>
    <row r="1804" spans="5:7" x14ac:dyDescent="0.2">
      <c r="E1804" s="101" t="s">
        <v>43</v>
      </c>
      <c r="F1804" s="101">
        <v>105.2927045</v>
      </c>
      <c r="G1804" s="102">
        <v>746.41839754529735</v>
      </c>
    </row>
    <row r="1805" spans="5:7" x14ac:dyDescent="0.2">
      <c r="E1805" s="101" t="s">
        <v>16</v>
      </c>
      <c r="F1805" s="101">
        <v>4244.4980000000014</v>
      </c>
      <c r="G1805" s="102">
        <v>1975.27969137168</v>
      </c>
    </row>
    <row r="1806" spans="5:7" x14ac:dyDescent="0.2">
      <c r="E1806" s="101" t="s">
        <v>17</v>
      </c>
      <c r="F1806" s="101">
        <v>36230.054252109992</v>
      </c>
      <c r="G1806" s="102">
        <v>2191.523736961849</v>
      </c>
    </row>
    <row r="1807" spans="5:7" x14ac:dyDescent="0.2">
      <c r="E1807" s="101" t="s">
        <v>36</v>
      </c>
      <c r="F1807" s="101">
        <v>2232.1241340000001</v>
      </c>
      <c r="G1807" s="102">
        <v>868.51012561803702</v>
      </c>
    </row>
    <row r="1808" spans="5:7" x14ac:dyDescent="0.2">
      <c r="E1808" s="101" t="s">
        <v>41</v>
      </c>
      <c r="F1808" s="101">
        <v>1.4450574199999999</v>
      </c>
      <c r="G1808" s="102">
        <v>2693.065570652996</v>
      </c>
    </row>
    <row r="1809" spans="5:7" x14ac:dyDescent="0.2">
      <c r="E1809" s="87"/>
      <c r="F1809" s="87"/>
      <c r="G1809" s="96"/>
    </row>
    <row r="1810" spans="5:7" x14ac:dyDescent="0.2">
      <c r="E1810" s="100" t="s">
        <v>443</v>
      </c>
      <c r="F1810" s="87"/>
      <c r="G1810" s="96"/>
    </row>
    <row r="1811" spans="5:7" x14ac:dyDescent="0.2">
      <c r="E1811" s="101" t="s">
        <v>43</v>
      </c>
      <c r="F1811" s="101">
        <v>105.2927045</v>
      </c>
      <c r="G1811" s="102">
        <v>758.26934098048196</v>
      </c>
    </row>
    <row r="1812" spans="5:7" x14ac:dyDescent="0.2">
      <c r="E1812" s="101" t="s">
        <v>16</v>
      </c>
      <c r="F1812" s="101">
        <v>4244.4980000000014</v>
      </c>
      <c r="G1812" s="102">
        <v>2011.9629351166</v>
      </c>
    </row>
    <row r="1813" spans="5:7" x14ac:dyDescent="0.2">
      <c r="E1813" s="101" t="s">
        <v>17</v>
      </c>
      <c r="F1813" s="101">
        <v>36230.054252109992</v>
      </c>
      <c r="G1813" s="102">
        <v>2223.6572589796729</v>
      </c>
    </row>
    <row r="1814" spans="5:7" x14ac:dyDescent="0.2">
      <c r="E1814" s="101" t="s">
        <v>36</v>
      </c>
      <c r="F1814" s="101">
        <v>2232.1241340000001</v>
      </c>
      <c r="G1814" s="102">
        <v>885.98439868602145</v>
      </c>
    </row>
    <row r="1815" spans="5:7" x14ac:dyDescent="0.2">
      <c r="E1815" s="101" t="s">
        <v>41</v>
      </c>
      <c r="F1815" s="101">
        <v>1.4450574199999999</v>
      </c>
      <c r="G1815" s="102">
        <v>2713.1550274697579</v>
      </c>
    </row>
    <row r="1816" spans="5:7" x14ac:dyDescent="0.2">
      <c r="E1816" s="87"/>
      <c r="F1816" s="87"/>
      <c r="G1816" s="96"/>
    </row>
    <row r="1817" spans="5:7" x14ac:dyDescent="0.2">
      <c r="E1817" s="100" t="s">
        <v>444</v>
      </c>
      <c r="F1817" s="87"/>
      <c r="G1817" s="96"/>
    </row>
    <row r="1818" spans="5:7" x14ac:dyDescent="0.2">
      <c r="E1818" s="101" t="s">
        <v>43</v>
      </c>
      <c r="F1818" s="101">
        <v>105.2927045</v>
      </c>
      <c r="G1818" s="102">
        <v>749.47693160219694</v>
      </c>
    </row>
    <row r="1819" spans="5:7" x14ac:dyDescent="0.2">
      <c r="E1819" s="101" t="s">
        <v>16</v>
      </c>
      <c r="F1819" s="101">
        <v>4244.4980000000014</v>
      </c>
      <c r="G1819" s="102">
        <v>1909.08339190826</v>
      </c>
    </row>
    <row r="1820" spans="5:7" x14ac:dyDescent="0.2">
      <c r="E1820" s="101" t="s">
        <v>17</v>
      </c>
      <c r="F1820" s="101">
        <v>36230.054252109992</v>
      </c>
      <c r="G1820" s="102">
        <v>2163.6204360785009</v>
      </c>
    </row>
    <row r="1821" spans="5:7" x14ac:dyDescent="0.2">
      <c r="E1821" s="101" t="s">
        <v>36</v>
      </c>
      <c r="F1821" s="101">
        <v>2232.1241340000001</v>
      </c>
      <c r="G1821" s="102">
        <v>854.86635613392741</v>
      </c>
    </row>
    <row r="1822" spans="5:7" x14ac:dyDescent="0.2">
      <c r="E1822" s="101" t="s">
        <v>41</v>
      </c>
      <c r="F1822" s="101">
        <v>1.4450574199999999</v>
      </c>
      <c r="G1822" s="102">
        <v>2673.5726076148808</v>
      </c>
    </row>
    <row r="1823" spans="5:7" x14ac:dyDescent="0.2">
      <c r="E1823" s="87"/>
      <c r="F1823" s="87"/>
      <c r="G1823" s="96"/>
    </row>
    <row r="1824" spans="5:7" x14ac:dyDescent="0.2">
      <c r="E1824" s="100" t="s">
        <v>445</v>
      </c>
      <c r="F1824" s="87"/>
      <c r="G1824" s="96"/>
    </row>
    <row r="1825" spans="5:7" x14ac:dyDescent="0.2">
      <c r="E1825" s="101" t="s">
        <v>43</v>
      </c>
      <c r="F1825" s="101">
        <v>105.2927045</v>
      </c>
      <c r="G1825" s="102">
        <v>790.79931039742087</v>
      </c>
    </row>
    <row r="1826" spans="5:7" x14ac:dyDescent="0.2">
      <c r="E1826" s="101" t="s">
        <v>16</v>
      </c>
      <c r="F1826" s="101">
        <v>4244.4980000000014</v>
      </c>
      <c r="G1826" s="102">
        <v>2014.5175286828801</v>
      </c>
    </row>
    <row r="1827" spans="5:7" x14ac:dyDescent="0.2">
      <c r="E1827" s="101" t="s">
        <v>17</v>
      </c>
      <c r="F1827" s="101">
        <v>36230.054252109992</v>
      </c>
      <c r="G1827" s="102">
        <v>2247.2303437788082</v>
      </c>
    </row>
    <row r="1828" spans="5:7" x14ac:dyDescent="0.2">
      <c r="E1828" s="101" t="s">
        <v>36</v>
      </c>
      <c r="F1828" s="101">
        <v>2232.1241340000001</v>
      </c>
      <c r="G1828" s="102">
        <v>894.52263063843282</v>
      </c>
    </row>
    <row r="1829" spans="5:7" x14ac:dyDescent="0.2">
      <c r="E1829" s="101" t="s">
        <v>41</v>
      </c>
      <c r="F1829" s="101">
        <v>1.4450574199999999</v>
      </c>
      <c r="G1829" s="102">
        <v>2808.3760314565989</v>
      </c>
    </row>
    <row r="1830" spans="5:7" x14ac:dyDescent="0.2">
      <c r="E1830" s="87"/>
      <c r="F1830" s="87"/>
      <c r="G1830" s="96"/>
    </row>
    <row r="1831" spans="5:7" x14ac:dyDescent="0.2">
      <c r="E1831" s="100" t="s">
        <v>446</v>
      </c>
      <c r="F1831" s="87"/>
      <c r="G1831" s="96"/>
    </row>
    <row r="1832" spans="5:7" x14ac:dyDescent="0.2">
      <c r="E1832" s="101" t="s">
        <v>43</v>
      </c>
      <c r="F1832" s="101">
        <v>105.2927045</v>
      </c>
      <c r="G1832" s="102">
        <v>817.82723165218033</v>
      </c>
    </row>
    <row r="1833" spans="5:7" x14ac:dyDescent="0.2">
      <c r="E1833" s="101" t="s">
        <v>16</v>
      </c>
      <c r="F1833" s="101">
        <v>4244.4980000000014</v>
      </c>
      <c r="G1833" s="102">
        <v>2083.7950790244199</v>
      </c>
    </row>
    <row r="1834" spans="5:7" x14ac:dyDescent="0.2">
      <c r="E1834" s="101" t="s">
        <v>17</v>
      </c>
      <c r="F1834" s="101">
        <v>36230.054252109992</v>
      </c>
      <c r="G1834" s="102">
        <v>2261.5839666724091</v>
      </c>
    </row>
    <row r="1835" spans="5:7" x14ac:dyDescent="0.2">
      <c r="E1835" s="101" t="s">
        <v>36</v>
      </c>
      <c r="F1835" s="101">
        <v>2232.1241340000001</v>
      </c>
      <c r="G1835" s="102">
        <v>926.88887700625969</v>
      </c>
    </row>
    <row r="1836" spans="5:7" x14ac:dyDescent="0.2">
      <c r="E1836" s="101" t="s">
        <v>41</v>
      </c>
      <c r="F1836" s="101">
        <v>1.4450574199999999</v>
      </c>
      <c r="G1836" s="102">
        <v>2798.246645132373</v>
      </c>
    </row>
    <row r="1837" spans="5:7" x14ac:dyDescent="0.2">
      <c r="E1837" s="87"/>
      <c r="F1837" s="87"/>
      <c r="G1837" s="96"/>
    </row>
    <row r="1838" spans="5:7" x14ac:dyDescent="0.2">
      <c r="E1838" s="100" t="s">
        <v>447</v>
      </c>
      <c r="F1838" s="87"/>
      <c r="G1838" s="96"/>
    </row>
    <row r="1839" spans="5:7" x14ac:dyDescent="0.2">
      <c r="E1839" s="101" t="s">
        <v>16</v>
      </c>
      <c r="F1839" s="101">
        <v>4244.4980000000014</v>
      </c>
      <c r="G1839" s="102">
        <v>2255.4154133572201</v>
      </c>
    </row>
    <row r="1840" spans="5:7" x14ac:dyDescent="0.2">
      <c r="E1840" s="101" t="s">
        <v>17</v>
      </c>
      <c r="F1840" s="101">
        <v>36230.054252109992</v>
      </c>
      <c r="G1840" s="102">
        <v>2464.9407250857048</v>
      </c>
    </row>
    <row r="1841" spans="5:7" x14ac:dyDescent="0.2">
      <c r="E1841" s="101" t="s">
        <v>36</v>
      </c>
      <c r="F1841" s="101">
        <v>2232.1241340000001</v>
      </c>
      <c r="G1841" s="102">
        <v>990.20068969434624</v>
      </c>
    </row>
    <row r="1842" spans="5:7" x14ac:dyDescent="0.2">
      <c r="E1842" s="101" t="s">
        <v>41</v>
      </c>
      <c r="F1842" s="101">
        <v>1.4450574199999999</v>
      </c>
      <c r="G1842" s="102">
        <v>3039.3586559070268</v>
      </c>
    </row>
    <row r="1843" spans="5:7" x14ac:dyDescent="0.2">
      <c r="E1843" s="87"/>
      <c r="F1843" s="87"/>
      <c r="G1843" s="96"/>
    </row>
    <row r="1844" spans="5:7" x14ac:dyDescent="0.2">
      <c r="E1844" s="100" t="s">
        <v>448</v>
      </c>
      <c r="F1844" s="87"/>
      <c r="G1844" s="96"/>
    </row>
    <row r="1845" spans="5:7" x14ac:dyDescent="0.2">
      <c r="E1845" s="101" t="s">
        <v>16</v>
      </c>
      <c r="F1845" s="101">
        <v>4244.4980000000014</v>
      </c>
      <c r="G1845" s="102">
        <v>2170.7400976210802</v>
      </c>
    </row>
    <row r="1846" spans="5:7" x14ac:dyDescent="0.2">
      <c r="E1846" s="101" t="s">
        <v>17</v>
      </c>
      <c r="F1846" s="101">
        <v>36230.054252109992</v>
      </c>
      <c r="G1846" s="102">
        <v>2415.8953760435388</v>
      </c>
    </row>
    <row r="1847" spans="5:7" x14ac:dyDescent="0.2">
      <c r="E1847" s="101" t="s">
        <v>36</v>
      </c>
      <c r="F1847" s="101">
        <v>2232.1241340000001</v>
      </c>
      <c r="G1847" s="102">
        <v>970.12436255963416</v>
      </c>
    </row>
    <row r="1848" spans="5:7" x14ac:dyDescent="0.2">
      <c r="E1848" s="101" t="s">
        <v>41</v>
      </c>
      <c r="F1848" s="101">
        <v>1.4450574199999999</v>
      </c>
      <c r="G1848" s="102">
        <v>3002.1583275026651</v>
      </c>
    </row>
    <row r="1849" spans="5:7" x14ac:dyDescent="0.2">
      <c r="E1849" s="87"/>
      <c r="F1849" s="87"/>
      <c r="G1849" s="96"/>
    </row>
    <row r="1850" spans="5:7" x14ac:dyDescent="0.2">
      <c r="E1850" s="100" t="s">
        <v>449</v>
      </c>
      <c r="F1850" s="87"/>
      <c r="G1850" s="96"/>
    </row>
    <row r="1851" spans="5:7" x14ac:dyDescent="0.2">
      <c r="E1851" s="101" t="s">
        <v>16</v>
      </c>
      <c r="F1851" s="101">
        <v>4244.4980000000014</v>
      </c>
      <c r="G1851" s="102">
        <v>2212.1262451500011</v>
      </c>
    </row>
    <row r="1852" spans="5:7" x14ac:dyDescent="0.2">
      <c r="E1852" s="101" t="s">
        <v>17</v>
      </c>
      <c r="F1852" s="101">
        <v>36230.054252109992</v>
      </c>
      <c r="G1852" s="102">
        <v>2505.786125948991</v>
      </c>
    </row>
    <row r="1853" spans="5:7" x14ac:dyDescent="0.2">
      <c r="E1853" s="101" t="s">
        <v>36</v>
      </c>
      <c r="F1853" s="101">
        <v>2232.1241340000001</v>
      </c>
      <c r="G1853" s="102">
        <v>1008.398260266712</v>
      </c>
    </row>
    <row r="1854" spans="5:7" x14ac:dyDescent="0.2">
      <c r="E1854" s="101" t="s">
        <v>41</v>
      </c>
      <c r="F1854" s="101">
        <v>1.4450574199999999</v>
      </c>
      <c r="G1854" s="102">
        <v>3061.4969002642242</v>
      </c>
    </row>
    <row r="1855" spans="5:7" x14ac:dyDescent="0.2">
      <c r="E1855" s="87"/>
      <c r="F1855" s="87"/>
      <c r="G1855" s="96"/>
    </row>
    <row r="1856" spans="5:7" x14ac:dyDescent="0.2">
      <c r="E1856" s="100" t="s">
        <v>450</v>
      </c>
      <c r="F1856" s="87"/>
      <c r="G1856" s="96"/>
    </row>
    <row r="1857" spans="5:7" x14ac:dyDescent="0.2">
      <c r="E1857" s="101" t="s">
        <v>16</v>
      </c>
      <c r="F1857" s="101">
        <v>4244.4980000000014</v>
      </c>
      <c r="G1857" s="102">
        <v>2210.559303823341</v>
      </c>
    </row>
    <row r="1858" spans="5:7" x14ac:dyDescent="0.2">
      <c r="E1858" s="101" t="s">
        <v>17</v>
      </c>
      <c r="F1858" s="101">
        <v>36230.054252109992</v>
      </c>
      <c r="G1858" s="102">
        <v>2476.8567899292239</v>
      </c>
    </row>
    <row r="1859" spans="5:7" x14ac:dyDescent="0.2">
      <c r="E1859" s="101" t="s">
        <v>36</v>
      </c>
      <c r="F1859" s="101">
        <v>2232.1241340000001</v>
      </c>
      <c r="G1859" s="102">
        <v>1013.7371663766201</v>
      </c>
    </row>
    <row r="1860" spans="5:7" x14ac:dyDescent="0.2">
      <c r="E1860" s="101" t="s">
        <v>41</v>
      </c>
      <c r="F1860" s="101">
        <v>1.4450574199999999</v>
      </c>
      <c r="G1860" s="102">
        <v>3024.7455383825959</v>
      </c>
    </row>
    <row r="1861" spans="5:7" x14ac:dyDescent="0.2">
      <c r="E1861" s="87"/>
      <c r="F1861" s="87"/>
      <c r="G1861" s="96"/>
    </row>
    <row r="1862" spans="5:7" x14ac:dyDescent="0.2">
      <c r="E1862" s="100" t="s">
        <v>451</v>
      </c>
      <c r="F1862" s="87"/>
      <c r="G1862" s="96"/>
    </row>
    <row r="1863" spans="5:7" x14ac:dyDescent="0.2">
      <c r="E1863" s="101" t="s">
        <v>16</v>
      </c>
      <c r="F1863" s="101">
        <v>4244.4980000000014</v>
      </c>
      <c r="G1863" s="102">
        <v>2223.02513977946</v>
      </c>
    </row>
    <row r="1864" spans="5:7" x14ac:dyDescent="0.2">
      <c r="E1864" s="101" t="s">
        <v>17</v>
      </c>
      <c r="F1864" s="101">
        <v>36230.054252109992</v>
      </c>
      <c r="G1864" s="102">
        <v>2444.8022494296702</v>
      </c>
    </row>
    <row r="1865" spans="5:7" x14ac:dyDescent="0.2">
      <c r="E1865" s="101" t="s">
        <v>36</v>
      </c>
      <c r="F1865" s="101">
        <v>2232.1241340000001</v>
      </c>
      <c r="G1865" s="102">
        <v>979.72365704038373</v>
      </c>
    </row>
    <row r="1866" spans="5:7" x14ac:dyDescent="0.2">
      <c r="E1866" s="101" t="s">
        <v>41</v>
      </c>
      <c r="F1866" s="101">
        <v>1.4450574199999999</v>
      </c>
      <c r="G1866" s="102">
        <v>3038.877993249183</v>
      </c>
    </row>
    <row r="1867" spans="5:7" x14ac:dyDescent="0.2">
      <c r="E1867" s="87"/>
      <c r="F1867" s="87"/>
      <c r="G1867" s="96"/>
    </row>
    <row r="1868" spans="5:7" x14ac:dyDescent="0.2">
      <c r="E1868" s="100" t="s">
        <v>452</v>
      </c>
      <c r="F1868" s="87"/>
      <c r="G1868" s="96"/>
    </row>
    <row r="1869" spans="5:7" x14ac:dyDescent="0.2">
      <c r="E1869" s="101" t="s">
        <v>16</v>
      </c>
      <c r="F1869" s="101">
        <v>4244.4980000000014</v>
      </c>
      <c r="G1869" s="102">
        <v>2181.2480739847401</v>
      </c>
    </row>
    <row r="1870" spans="5:7" x14ac:dyDescent="0.2">
      <c r="E1870" s="101" t="s">
        <v>17</v>
      </c>
      <c r="F1870" s="101">
        <v>36230.054252109992</v>
      </c>
      <c r="G1870" s="102">
        <v>2419.5335980915352</v>
      </c>
    </row>
    <row r="1871" spans="5:7" x14ac:dyDescent="0.2">
      <c r="E1871" s="101" t="s">
        <v>36</v>
      </c>
      <c r="F1871" s="101">
        <v>2232.1241340000001</v>
      </c>
      <c r="G1871" s="102">
        <v>951.23039157870176</v>
      </c>
    </row>
    <row r="1872" spans="5:7" x14ac:dyDescent="0.2">
      <c r="E1872" s="101" t="s">
        <v>41</v>
      </c>
      <c r="F1872" s="101">
        <v>1.4450574199999999</v>
      </c>
      <c r="G1872" s="102">
        <v>2908.5904990447389</v>
      </c>
    </row>
    <row r="1873" spans="5:7" x14ac:dyDescent="0.2">
      <c r="E1873" s="87"/>
      <c r="F1873" s="87"/>
      <c r="G1873" s="96"/>
    </row>
    <row r="1874" spans="5:7" x14ac:dyDescent="0.2">
      <c r="E1874" s="100" t="s">
        <v>453</v>
      </c>
      <c r="F1874" s="87"/>
      <c r="G1874" s="96"/>
    </row>
    <row r="1875" spans="5:7" x14ac:dyDescent="0.2">
      <c r="E1875" s="101" t="s">
        <v>16</v>
      </c>
      <c r="F1875" s="101">
        <v>4244.4980000000014</v>
      </c>
      <c r="G1875" s="102">
        <v>2145.4872021002002</v>
      </c>
    </row>
    <row r="1876" spans="5:7" x14ac:dyDescent="0.2">
      <c r="E1876" s="101" t="s">
        <v>17</v>
      </c>
      <c r="F1876" s="101">
        <v>36230.054252109992</v>
      </c>
      <c r="G1876" s="102">
        <v>2326.306060189464</v>
      </c>
    </row>
    <row r="1877" spans="5:7" x14ac:dyDescent="0.2">
      <c r="E1877" s="101" t="s">
        <v>36</v>
      </c>
      <c r="F1877" s="101">
        <v>2232.1241340000001</v>
      </c>
      <c r="G1877" s="102">
        <v>904.91165063779181</v>
      </c>
    </row>
    <row r="1878" spans="5:7" x14ac:dyDescent="0.2">
      <c r="E1878" s="101" t="s">
        <v>41</v>
      </c>
      <c r="F1878" s="101">
        <v>1.4450574199999999</v>
      </c>
      <c r="G1878" s="102">
        <v>2774.8325392760021</v>
      </c>
    </row>
    <row r="1879" spans="5:7" x14ac:dyDescent="0.2">
      <c r="E1879" s="87"/>
      <c r="F1879" s="87"/>
      <c r="G1879" s="96"/>
    </row>
    <row r="1880" spans="5:7" x14ac:dyDescent="0.2">
      <c r="E1880" s="100" t="s">
        <v>454</v>
      </c>
      <c r="F1880" s="87"/>
      <c r="G1880" s="96"/>
    </row>
    <row r="1881" spans="5:7" x14ac:dyDescent="0.2">
      <c r="E1881" s="101" t="s">
        <v>16</v>
      </c>
      <c r="F1881" s="101">
        <v>4244.4980000000014</v>
      </c>
      <c r="G1881" s="102">
        <v>2196.473852320381</v>
      </c>
    </row>
    <row r="1882" spans="5:7" x14ac:dyDescent="0.2">
      <c r="E1882" s="101" t="s">
        <v>17</v>
      </c>
      <c r="F1882" s="101">
        <v>36230.054252109992</v>
      </c>
      <c r="G1882" s="102">
        <v>2369.2835997454858</v>
      </c>
    </row>
    <row r="1883" spans="5:7" x14ac:dyDescent="0.2">
      <c r="E1883" s="101" t="s">
        <v>36</v>
      </c>
      <c r="F1883" s="101">
        <v>2232.1241340000001</v>
      </c>
      <c r="G1883" s="102">
        <v>896.56502422104279</v>
      </c>
    </row>
    <row r="1884" spans="5:7" x14ac:dyDescent="0.2">
      <c r="E1884" s="101" t="s">
        <v>41</v>
      </c>
      <c r="F1884" s="101">
        <v>1.4450574199999999</v>
      </c>
      <c r="G1884" s="102">
        <v>2735.4054190484239</v>
      </c>
    </row>
    <row r="1885" spans="5:7" x14ac:dyDescent="0.2">
      <c r="E1885" s="87"/>
      <c r="F1885" s="87"/>
      <c r="G1885" s="96"/>
    </row>
    <row r="1886" spans="5:7" x14ac:dyDescent="0.2">
      <c r="E1886" s="100" t="s">
        <v>455</v>
      </c>
      <c r="F1886" s="87"/>
      <c r="G1886" s="96"/>
    </row>
    <row r="1887" spans="5:7" x14ac:dyDescent="0.2">
      <c r="E1887" s="101" t="s">
        <v>16</v>
      </c>
      <c r="F1887" s="101">
        <v>4244.4980000000014</v>
      </c>
      <c r="G1887" s="102">
        <v>2199.65395755692</v>
      </c>
    </row>
    <row r="1888" spans="5:7" x14ac:dyDescent="0.2">
      <c r="E1888" s="101" t="s">
        <v>17</v>
      </c>
      <c r="F1888" s="101">
        <v>36230.054252109992</v>
      </c>
      <c r="G1888" s="102">
        <v>2398.0701893515011</v>
      </c>
    </row>
    <row r="1889" spans="5:7" x14ac:dyDescent="0.2">
      <c r="E1889" s="101" t="s">
        <v>36</v>
      </c>
      <c r="F1889" s="101">
        <v>2232.1241340000001</v>
      </c>
      <c r="G1889" s="102">
        <v>886.56046528252409</v>
      </c>
    </row>
    <row r="1890" spans="5:7" x14ac:dyDescent="0.2">
      <c r="E1890" s="101" t="s">
        <v>41</v>
      </c>
      <c r="F1890" s="101">
        <v>1.4450574199999999</v>
      </c>
      <c r="G1890" s="102">
        <v>2759.88924348624</v>
      </c>
    </row>
    <row r="1891" spans="5:7" x14ac:dyDescent="0.2">
      <c r="E1891" s="87"/>
      <c r="F1891" s="87"/>
      <c r="G1891" s="96"/>
    </row>
    <row r="1892" spans="5:7" x14ac:dyDescent="0.2">
      <c r="E1892" s="100" t="s">
        <v>456</v>
      </c>
      <c r="F1892" s="87"/>
      <c r="G1892" s="96"/>
    </row>
    <row r="1893" spans="5:7" x14ac:dyDescent="0.2">
      <c r="E1893" s="101" t="s">
        <v>16</v>
      </c>
      <c r="F1893" s="101">
        <v>4244.4980000000014</v>
      </c>
      <c r="G1893" s="102">
        <v>2147.3125060201201</v>
      </c>
    </row>
    <row r="1894" spans="5:7" x14ac:dyDescent="0.2">
      <c r="E1894" s="101" t="s">
        <v>17</v>
      </c>
      <c r="F1894" s="101">
        <v>36230.054252109992</v>
      </c>
      <c r="G1894" s="102">
        <v>2346.182230252713</v>
      </c>
    </row>
    <row r="1895" spans="5:7" x14ac:dyDescent="0.2">
      <c r="E1895" s="101" t="s">
        <v>36</v>
      </c>
      <c r="F1895" s="101">
        <v>2232.1241340000001</v>
      </c>
      <c r="G1895" s="102">
        <v>870.2307361854896</v>
      </c>
    </row>
    <row r="1896" spans="5:7" x14ac:dyDescent="0.2">
      <c r="E1896" s="101" t="s">
        <v>41</v>
      </c>
      <c r="F1896" s="101">
        <v>1.4450574199999999</v>
      </c>
      <c r="G1896" s="102">
        <v>2687.7206574110892</v>
      </c>
    </row>
    <row r="1897" spans="5:7" x14ac:dyDescent="0.2">
      <c r="E1897" s="87"/>
      <c r="F1897" s="87"/>
      <c r="G1897" s="96"/>
    </row>
    <row r="1898" spans="5:7" x14ac:dyDescent="0.2">
      <c r="E1898" s="100" t="s">
        <v>457</v>
      </c>
      <c r="F1898" s="87"/>
      <c r="G1898" s="96"/>
    </row>
    <row r="1899" spans="5:7" x14ac:dyDescent="0.2">
      <c r="E1899" s="101" t="s">
        <v>16</v>
      </c>
      <c r="F1899" s="101">
        <v>4244.4980000000014</v>
      </c>
      <c r="G1899" s="102">
        <v>2148.8163316615201</v>
      </c>
    </row>
    <row r="1900" spans="5:7" x14ac:dyDescent="0.2">
      <c r="E1900" s="101" t="s">
        <v>17</v>
      </c>
      <c r="F1900" s="101">
        <v>36230.054252109992</v>
      </c>
      <c r="G1900" s="102">
        <v>2354.0039366652022</v>
      </c>
    </row>
    <row r="1901" spans="5:7" x14ac:dyDescent="0.2">
      <c r="E1901" s="101" t="s">
        <v>36</v>
      </c>
      <c r="F1901" s="101">
        <v>2232.1241340000001</v>
      </c>
      <c r="G1901" s="102">
        <v>862.64441589126386</v>
      </c>
    </row>
    <row r="1902" spans="5:7" x14ac:dyDescent="0.2">
      <c r="E1902" s="101" t="s">
        <v>41</v>
      </c>
      <c r="F1902" s="101">
        <v>1.4450574199999999</v>
      </c>
      <c r="G1902" s="102">
        <v>2674.8745070256832</v>
      </c>
    </row>
    <row r="1903" spans="5:7" x14ac:dyDescent="0.2">
      <c r="E1903" s="87"/>
      <c r="F1903" s="87"/>
      <c r="G1903" s="96"/>
    </row>
  </sheetData>
  <mergeCells count="2">
    <mergeCell ref="G1:I3"/>
    <mergeCell ref="A1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Portfolio</vt:lpstr>
      <vt:lpstr>Transactions</vt:lpstr>
      <vt:lpstr>Currency Transactions</vt:lpstr>
      <vt:lpstr>Currency Data</vt:lpstr>
      <vt:lpstr>Total Data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Jimmy Theriault</cp:lastModifiedBy>
  <dcterms:created xsi:type="dcterms:W3CDTF">2024-02-19T03:26:05Z</dcterms:created>
  <dcterms:modified xsi:type="dcterms:W3CDTF">2024-04-08T00:50:49Z</dcterms:modified>
</cp:coreProperties>
</file>