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fb9da95441de1b7/GitHub/crypto-excel/workbooks/"/>
    </mc:Choice>
  </mc:AlternateContent>
  <xr:revisionPtr revIDLastSave="158" documentId="6_{40C85DF2-3657-E745-A5B2-5DB7969B992E}" xr6:coauthVersionLast="47" xr6:coauthVersionMax="47" xr10:uidLastSave="{445CF9C8-B67A-CB44-B1AE-B12479F5D7D9}"/>
  <bookViews>
    <workbookView xWindow="0" yWindow="500" windowWidth="33600" windowHeight="20500" activeTab="2" xr2:uid="{00000000-000D-0000-FFFF-FFFF00000000}"/>
  </bookViews>
  <sheets>
    <sheet name="Portfolio" sheetId="1" r:id="rId1"/>
    <sheet name="Transactions" sheetId="2" r:id="rId2"/>
    <sheet name="Transactions (After Sales)" sheetId="12" r:id="rId3"/>
    <sheet name="Currency Data" sheetId="4" r:id="rId4"/>
    <sheet name="Currency Transactions" sheetId="3" r:id="rId5"/>
    <sheet name="Tax Calc" sheetId="10" r:id="rId6"/>
    <sheet name="After Sales" sheetId="17" r:id="rId7"/>
    <sheet name="8949 Data" sheetId="18" r:id="rId8"/>
    <sheet name="Current Prices" sheetId="8" r:id="rId9"/>
    <sheet name="Portfolios" sheetId="7" r:id="rId10"/>
    <sheet name="Value &amp; Cost Basis" sheetId="6" r:id="rId11"/>
  </sheets>
  <functionGroups builtInGroupCount="19"/>
  <definedNames>
    <definedName name="_xlnm._FilterDatabase" localSheetId="4" hidden="1">'Currency Transactions'!$A$6:$M$30</definedName>
    <definedName name="_xlnm._FilterDatabase" localSheetId="1" hidden="1">Transactions!$A$1:$N$357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AFTER_SALES_COST_BASIS">OFFSET('Transactions (After Sales)'!$F$2, 0, 0, COUNTA('Transactions (After Sales)'!$B:$B) - 1, 1)</definedName>
    <definedName name="AFTER_SALES_CURRENCY">OFFSET('Transactions (After Sales)'!$C$2, 0, 0, COUNTA('Transactions (After Sales)'!$B:$B) - 1, 1)</definedName>
    <definedName name="AFTER_SALES_CURRENT_VALUE">OFFSET('Transactions (After Sales)'!$G$2, 0, 0, COUNTA('Transactions (After Sales)'!$B:$B) - 1, 1)</definedName>
    <definedName name="AFTER_SALES_DATES">OFFSET('Transactions (After Sales)'!$B$2, 0, 0, COUNTA('Transactions (After Sales)'!$B:$B) - 1, 1)</definedName>
    <definedName name="AFTER_SALES_QUANTITY">OFFSET('Transactions (After Sales)'!$E$2, 0, 0, COUNTA('Transactions (After Sales)'!$B:$B) - 1, 1)</definedName>
    <definedName name="AFTER_SALES_UNIQUE_CURRENCY">_xlfn._xlws.FILTER(OFFSET('Transactions (After Sales)'!$J$17, 0, 0, COUNTA('Transactions (After Sales)'!$J:$J) - 1, 1), (OFFSET('Transactions (After Sales)'!$J$17, 0, 0, COUNTA('Transactions (After Sales)'!$J:$J) - 1, 1)&lt;&gt;0)*(OFFSET('Transactions (After Sales)'!$J$17, 0, 0, COUNTA('Transactions (After Sales)'!$J:$J) - 1, 1)&lt;&gt;"Currency")*(OFFSET('Transactions (After Sales)'!$J$17, 0, 0, COUNTA('Transactions (After Sales)'!$J:$J) - 1, 1)&lt;&gt;"USDC"))</definedName>
    <definedName name="ASSETS">OFFSET(Portfolio!$A$39, 0, 0, COUNTA(Portfolio!$F:$F) - 1, 1)</definedName>
    <definedName name="ASSETS_VALUE">OFFSET(Portfolio!$F$39, 0, 0, COUNTA(Portfolio!$F:$F) - 1, 1)</definedName>
    <definedName name="CHART_RANGE">Portfolio!$M$9</definedName>
    <definedName name="COST_BASIS_8949">OFFSET('8949 Data'!$F$2, 0, 0, COUNTA('8949 Data'!$A:$A) - 1, 1)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8949">OFFSET('8949 Data'!$A$2, 0, 0, COUNTA('8949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DATE_ACQUIRED_8949">OFFSET('8949 Data'!$C$2, 0, 0, COUNTA('8949 Data'!$A:$A) - 1, 1)</definedName>
    <definedName name="DATE_SOLD_8949">OFFSET('8949 Data'!XFC$2, 0, 0, COUNTA('8949 Data'!$A:$A) - 1, 1)</definedName>
    <definedName name="ExternalData_1" localSheetId="7" hidden="1">'8949 Data'!$A$1:$G$446</definedName>
    <definedName name="ExternalData_1" localSheetId="6" hidden="1">'After Sales'!$A$1:$E$46</definedName>
    <definedName name="ExternalData_1" localSheetId="10" hidden="1">'Value &amp; Cost Basis'!$A$1:$D$439</definedName>
    <definedName name="ExternalData_2" localSheetId="9" hidden="1">Portfolios!$A$1:$D$1226</definedName>
    <definedName name="ExternalData_3" localSheetId="8" hidden="1">'Current Prices'!$A$1:$B$43</definedName>
    <definedName name="FEE_COST_BASIS">OFFSET(Transactions!$L$2, 0, 0, COUNTA(Transactions!$A:$A) - 1, 1)</definedName>
    <definedName name="FEE_CURRENCY">OFFSET(Transactions!$K$2, 0, 0, COUNTA(Transactions!$A:$A) - 1, 1)</definedName>
    <definedName name="FEE_QUANTITY">OFFSET(Transactions!$J$2, 0, 0, COUNTA(Transactions!$A:$A) - 1, 1)</definedName>
    <definedName name="FEE_REALIZED_RETURN">OFFSET(Transactions!$N$2, 0, 0, COUNTA(Transactions!$A:$A) - 1, 1)</definedName>
    <definedName name="LONG_TERM_COST_BASIS">OFFSET('Transactions (After Sales)'!$L$17, 0, 0, COUNTA('Transactions (After Sales)'!$J:$J) - 1, 1)</definedName>
    <definedName name="LONG_TERM_CURRENT_VALUE">OFFSET('Transactions (After Sales)'!$M$17, 0, 0, COUNTA('Transactions (After Sales)'!$J:$J) - 1, 1)</definedName>
    <definedName name="LONG_TERM_QUANTITY">OFFSET('Transactions (After Sales)'!$K$17, 0, 0, COUNTA('Transactions (After Sales)'!$J:$J)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PROCEEDS_8949">OFFSET('8949 Data'!$E$2, 0, 0, COUNTA('8949 Data'!$A:$A) - 1, 1)</definedName>
    <definedName name="QUANTITY_8949">OFFSET('8949 Data'!$B$2, 0, 0, COUNTA('8949 Data'!$A:$A) - 1,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OFFSET(Transactions!$M$2, 0, 0, COUNTA(Transactions!$A:$A) - 1, 1)</definedName>
    <definedName name="RECEIVED_COST_BASIS">OFFSET(Transactions!$F$2, 0, 0, COUNTA(Transactions!$A:$A) - 1, 1)</definedName>
    <definedName name="RECEIVED_CURRENCY">OFFSET(Transactions!$D$2, 0, 0, COUNTA(Transactions!$A:$A) - 1, 1)</definedName>
    <definedName name="RECEIVED_PRICE">OFFSET(Transactions!$E$2,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RETURN_8949">OFFSET('8949 Data'!$G$2, 0, 0, COUNTA('8949 Data'!$A:$A) - 1, 1)</definedName>
    <definedName name="SENT_COST_BASIS">OFFSET(Transactions!$I$2, 0, 0, COUNTA(Transactions!$A:$A) - 1, 1)</definedName>
    <definedName name="SENT_CURRENCY">OFFSET(Transactions!$H$2, 0, 0, COUNTA(Transactions!$A:$A) - 1, 1)</definedName>
    <definedName name="SENT_QUANTITY">OFFSET(Transactions!$G$2, 0, 0, COUNTA(Transactions!$A:$A) - 1, 1)</definedName>
    <definedName name="SHORT_TERM_COST_BASIS">OFFSET('Transactions (After Sales)'!$P$17, 0, 0, COUNTA('Transactions (After Sales)'!$J:$J) - 1, 1)</definedName>
    <definedName name="SHORT_TERM_CURRENT_VALUE">OFFSET('Transactions (After Sales)'!$Q$17, 0, 0, COUNTA('Transactions (After Sales)'!$J:$J) - 1, 1)</definedName>
    <definedName name="SHORT_TERM_QUANTITY">OFFSET('Transactions (After Sales)'!$O$17, 0, 0, COUNTA('Transactions (After Sales)'!$J:$J) - 1, 1)</definedName>
    <definedName name="TERM_8949">OFFSET('8949 Data'!$H$2, 0, 0, COUNTA('8949 Data'!$A:$A)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</definedNames>
  <calcPr calcId="191029" iterate="1" calcCompleted="0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7" i="2" l="1"/>
  <c r="C47" i="2"/>
  <c r="C2" i="2"/>
  <c r="F2" i="2"/>
  <c r="I2" i="2"/>
  <c r="G2" i="2"/>
  <c r="I7" i="1"/>
  <c r="F3" i="2"/>
  <c r="C3" i="2"/>
  <c r="J3" i="2"/>
  <c r="I3" i="2"/>
  <c r="G3" i="2"/>
  <c r="B2" i="12" a="1"/>
  <c r="B2" i="12" s="1"/>
  <c r="F98" i="2"/>
  <c r="J17" i="12" l="1" a="1"/>
  <c r="J17" i="12" s="1"/>
  <c r="F300" i="2" l="1"/>
  <c r="C300" i="2"/>
  <c r="F280" i="2"/>
  <c r="C280" i="2"/>
  <c r="C83" i="2"/>
  <c r="F83" i="2"/>
  <c r="E2" i="2" s="1" a="1"/>
  <c r="E2" i="2" s="1"/>
  <c r="H11" i="10"/>
  <c r="J11" i="10" s="1"/>
  <c r="L11" i="10"/>
  <c r="I16" i="10"/>
  <c r="K16" i="10"/>
  <c r="M16" i="10"/>
  <c r="P16" i="10"/>
  <c r="T16" i="10" s="1"/>
  <c r="R16" i="10"/>
  <c r="I24" i="10"/>
  <c r="M24" i="10" s="1"/>
  <c r="K24" i="10"/>
  <c r="O27" i="10" a="1"/>
  <c r="H35" i="10" a="1"/>
  <c r="H36" i="10" a="1"/>
  <c r="R17" i="10" l="1"/>
  <c r="T17" i="10"/>
  <c r="O27" i="10"/>
  <c r="P17" i="10" s="1"/>
  <c r="H36" i="10"/>
  <c r="I17" i="10" s="1"/>
  <c r="H35" i="10"/>
  <c r="K25" i="10" l="1"/>
  <c r="T19" i="10"/>
  <c r="M25" i="10"/>
  <c r="M27" i="10" s="1"/>
  <c r="K17" i="10"/>
  <c r="M17" i="10"/>
  <c r="M19" i="10" s="1"/>
  <c r="M20" i="10" s="1"/>
  <c r="L31" i="10" l="1"/>
  <c r="L32" i="10" s="1"/>
  <c r="M28" i="10"/>
  <c r="I25" i="10"/>
  <c r="T20" i="10"/>
  <c r="I5" i="1" l="1"/>
  <c r="C5" i="1"/>
  <c r="J5" i="1" l="1"/>
  <c r="A2" i="4" l="1" a="1"/>
  <c r="A2" i="4" s="1"/>
  <c r="I1" i="1"/>
  <c r="D2" i="4" l="1" a="1"/>
  <c r="D2" i="4" s="1"/>
  <c r="F2" i="4" a="1"/>
  <c r="F2" i="4" s="1"/>
  <c r="B2" i="4" a="1"/>
  <c r="B2" i="4" s="1"/>
  <c r="C2" i="4" a="1"/>
  <c r="C2" i="4" s="1"/>
  <c r="G2" i="4" a="1"/>
  <c r="G2" i="4" s="1"/>
  <c r="K2" i="4" a="1"/>
  <c r="K2" i="4" s="1"/>
  <c r="H2" i="4" l="1" a="1"/>
  <c r="H2" i="4" s="1"/>
  <c r="E2" i="4" a="1"/>
  <c r="E2" i="4" s="1"/>
  <c r="I2" i="4" s="1" a="1"/>
  <c r="I2" i="4" s="1"/>
  <c r="F39" i="1" s="1" a="1"/>
  <c r="F39" i="1" s="1"/>
  <c r="G2" i="12" a="1"/>
  <c r="G2" i="12" s="1"/>
  <c r="H2" i="12" s="1" a="1"/>
  <c r="H2" i="12" s="1"/>
  <c r="A7" i="3" l="1" a="1"/>
  <c r="A7" i="3" s="1"/>
  <c r="D39" i="1" a="1"/>
  <c r="C7" i="1" a="1"/>
  <c r="C7" i="1" s="1"/>
  <c r="H39" i="1" a="1"/>
  <c r="H39" i="1" s="1"/>
  <c r="A39" i="1" a="1"/>
  <c r="A39" i="1" s="1"/>
  <c r="B39" i="1" a="1"/>
  <c r="B39" i="1" s="1"/>
  <c r="J2" i="4" a="1"/>
  <c r="J2" i="4" s="1"/>
  <c r="K39" i="1" s="1" a="1"/>
  <c r="K39" i="1" s="1"/>
  <c r="D39" i="1" l="1"/>
  <c r="J39" i="1" a="1"/>
  <c r="J39" i="1" s="1"/>
  <c r="K17" i="12" l="1" a="1"/>
  <c r="K17" i="12" s="1"/>
  <c r="L17" i="12" a="1"/>
  <c r="L17" i="12" s="1"/>
  <c r="K3" i="12" s="1"/>
  <c r="P17" i="12" a="1"/>
  <c r="P17" i="12" s="1"/>
  <c r="O3" i="12" s="1"/>
  <c r="O17" i="12" a="1"/>
  <c r="O17" i="12" s="1"/>
  <c r="Q17" i="12" s="1" a="1"/>
  <c r="Q17" i="12" s="1"/>
  <c r="O7" i="12" l="1"/>
  <c r="O11" i="12" s="1"/>
  <c r="T4" i="10" s="1"/>
  <c r="P8" i="10" s="1"/>
  <c r="R17" i="12" a="1"/>
  <c r="R17" i="12" s="1"/>
  <c r="M17" i="12" a="1"/>
  <c r="M17" i="12" s="1"/>
  <c r="O25" i="10" a="1"/>
  <c r="K7" i="12" l="1"/>
  <c r="K11" i="12" s="1"/>
  <c r="P4" i="10" s="1"/>
  <c r="N17" i="12" a="1"/>
  <c r="N17" i="12" s="1"/>
  <c r="O25" i="10"/>
  <c r="O26" i="10" a="1"/>
  <c r="T9" i="10" l="1"/>
  <c r="O26" i="10"/>
  <c r="P9" i="10" s="1"/>
  <c r="T8" i="10"/>
  <c r="P3" i="10"/>
  <c r="T11" i="10" l="1"/>
  <c r="T12" i="10" s="1"/>
  <c r="R9" i="10"/>
  <c r="R8" i="10"/>
  <c r="T22" i="10" l="1"/>
  <c r="T23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A39F26-A6A7-5C46-9F62-59E2A12C8B40}" keepAlive="1" name="Query - 8949" description="Connection to the '8949' query in the workbook." type="5" refreshedVersion="8" background="1" saveData="1">
    <dbPr connection="Provider=Microsoft.Mashup.OleDb.1;Data Source=$Workbook$;Location=8949;Extended Properties=&quot;&quot;" command="SELECT * FROM [8949]"/>
  </connection>
  <connection id="2" xr16:uid="{69CEC92B-A567-2448-B488-15186CBD5578}" keepAlive="1" name="Query - After Sales" description="Connection to the 'After Sales' query in the workbook." type="5" refreshedVersion="8" background="1" saveData="1">
    <dbPr connection="Provider=Microsoft.Mashup.OleDb.1;Data Source=$Workbook$;Location=&quot;After Sales&quot;;Extended Properties=&quot;&quot;" command="SELECT * FROM [After Sales]"/>
  </connection>
  <connection id="3" xr16:uid="{BDA40900-22F8-2749-89A2-5AED9C96518D}" keepAlive="1" name="Query - After Sales (2)" description="Connection to the 'After Sales (2)' query in the workbook." type="5" refreshedVersion="8" background="1" saveData="1">
    <dbPr connection="Provider=Microsoft.Mashup.OleDb.1;Data Source=$Workbook$;Location=&quot;After Sales (2)&quot;;Extended Properties=&quot;&quot;" command="SELECT * FROM [After Sales (2)]"/>
  </connection>
  <connection id="4" xr16:uid="{B5B314FD-5BB9-F545-BE3A-10B43884D672}" keepAlive="1" name="Query - After Sales (3)" description="Connection to the 'After Sales (3)' query in the workbook." type="5" refreshedVersion="8" background="1" saveData="1">
    <dbPr connection="Provider=Microsoft.Mashup.OleDb.1;Data Source=$Workbook$;Location=&quot;After Sales (3)&quot;;Extended Properties=&quot;&quot;" command="SELECT * FROM [After Sales (3)]"/>
  </connection>
  <connection id="5" xr16:uid="{8B3B3C9E-5B82-DB45-B45E-8CED49AF88DD}" keepAlive="1" name="Query - After Sales (4)" description="Connection to the 'After Sales (4)' query in the workbook." type="5" refreshedVersion="8" background="1" saveData="1">
    <dbPr connection="Provider=Microsoft.Mashup.OleDb.1;Data Source=$Workbook$;Location=&quot;After Sales (4)&quot;;Extended Properties=&quot;&quot;" command="SELECT * FROM [After Sales (4)]"/>
  </connection>
  <connection id="6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7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8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<sst xmlns="http://schemas.openxmlformats.org/spreadsheetml/2006/main" count="3046" uniqueCount="152">
  <si>
    <t>Portfolio</t>
  </si>
  <si>
    <t>Cost Basis:</t>
  </si>
  <si>
    <t>Portfolio Value:</t>
  </si>
  <si>
    <t>1D</t>
  </si>
  <si>
    <t>1W</t>
  </si>
  <si>
    <t>1M</t>
  </si>
  <si>
    <t>3M</t>
  </si>
  <si>
    <t>6M</t>
  </si>
  <si>
    <t>1Y</t>
  </si>
  <si>
    <t>ALL</t>
  </si>
  <si>
    <t>Assets: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</si>
  <si>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</si>
  <si>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</si>
  <si>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</si>
  <si>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</si>
  <si>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</si>
  <si>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</si>
  <si>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</si>
  <si>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</si>
  <si>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</si>
  <si>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</si>
  <si>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</si>
  <si>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</si>
  <si>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</si>
  <si>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</si>
  <si>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</si>
  <si>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</si>
  <si>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</si>
  <si>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</si>
  <si>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</si>
  <si>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</si>
  <si>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</si>
  <si>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</si>
  <si>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</si>
  <si>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</si>
  <si>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</si>
  <si>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</si>
  <si>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</si>
  <si>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</si>
  <si>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</si>
  <si>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</si>
  <si>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</si>
  <si>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</si>
  <si>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</si>
  <si>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</si>
  <si>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</si>
  <si>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</si>
  <si>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</si>
  <si>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</si>
  <si>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</si>
  <si>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</si>
  <si>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</si>
  <si>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</si>
  <si>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</si>
  <si>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</si>
  <si>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</si>
  <si>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</si>
  <si>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</si>
  <si>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</si>
  <si>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</si>
  <si>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</si>
  <si>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</si>
  <si>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</si>
  <si>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</si>
  <si>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</si>
  <si>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</si>
  <si>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</si>
  <si>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</si>
  <si>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</si>
  <si>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</si>
  <si>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</si>
  <si>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</si>
  <si>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</si>
  <si>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</si>
  <si>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</si>
  <si>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</si>
  <si>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</si>
  <si>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</si>
  <si>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</si>
  <si>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</si>
  <si>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</si>
  <si>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</si>
  <si>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</si>
  <si>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</si>
  <si>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</si>
  <si>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</si>
  <si>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</si>
  <si>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</si>
  <si>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</si>
  <si>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</si>
  <si>
    <t>Price:</t>
  </si>
  <si>
    <t>Keep</t>
  </si>
  <si>
    <t>Taxes</t>
  </si>
  <si>
    <t>Total Kept</t>
  </si>
  <si>
    <t>Total Taxes</t>
  </si>
  <si>
    <t>Short-Term</t>
  </si>
  <si>
    <t xml:space="preserve">Federal </t>
  </si>
  <si>
    <t>Long-Term</t>
  </si>
  <si>
    <t>State</t>
  </si>
  <si>
    <t>State Tax (MA)</t>
  </si>
  <si>
    <t>Kept</t>
  </si>
  <si>
    <t>Tax Amount</t>
  </si>
  <si>
    <t>Effective Tax Rate</t>
  </si>
  <si>
    <t>Marginal Tax Rate</t>
  </si>
  <si>
    <t>Tax Type</t>
  </si>
  <si>
    <t>Your Regular Wage Taxes</t>
  </si>
  <si>
    <t>Standard Deduction (2024)</t>
  </si>
  <si>
    <t>$609,350+</t>
  </si>
  <si>
    <t>$243,725 - $609,350</t>
  </si>
  <si>
    <t>$191,950 - $243,725</t>
  </si>
  <si>
    <t>$100,525 - $191,950</t>
  </si>
  <si>
    <t>$47,150 - $100,525</t>
  </si>
  <si>
    <t>Your Capital Gains Taxes</t>
  </si>
  <si>
    <t>$11,600 - $47,150</t>
  </si>
  <si>
    <t>$0 - $11,600</t>
  </si>
  <si>
    <t>Rate</t>
  </si>
  <si>
    <t>Taxable Income</t>
  </si>
  <si>
    <t>Short-Term Capital Gains Taxes (2024)</t>
  </si>
  <si>
    <t>Capital Gains</t>
  </si>
  <si>
    <t>Gross Income</t>
  </si>
  <si>
    <t>Single</t>
  </si>
  <si>
    <t>Stoneham, MA</t>
  </si>
  <si>
    <t>Filing Status</t>
  </si>
  <si>
    <t>Annual Income</t>
  </si>
  <si>
    <t>Location</t>
  </si>
  <si>
    <t>$518,900+</t>
  </si>
  <si>
    <t>$47,025 - $518,900</t>
  </si>
  <si>
    <t>Less than a year</t>
  </si>
  <si>
    <t>$0 - $47,025</t>
  </si>
  <si>
    <t>More than a year</t>
  </si>
  <si>
    <t>Short-term:</t>
  </si>
  <si>
    <t>Long-term:</t>
  </si>
  <si>
    <t>Length of Ownership</t>
  </si>
  <si>
    <t>Sale Value</t>
  </si>
  <si>
    <t>Initial Value</t>
  </si>
  <si>
    <t>Income:</t>
  </si>
  <si>
    <t>Total Gains:</t>
  </si>
  <si>
    <t>Income Tax Calculator (2024)</t>
  </si>
  <si>
    <t>Long-Term Capital Gains Taxes (2024)</t>
  </si>
  <si>
    <t>Date Acquired</t>
  </si>
  <si>
    <t>Date Sold</t>
  </si>
  <si>
    <t>Return</t>
  </si>
  <si>
    <t>Proceeds</t>
  </si>
  <si>
    <t>Realized Return:</t>
  </si>
  <si>
    <t>Total Return:</t>
  </si>
  <si>
    <t>LONG TERM</t>
  </si>
  <si>
    <t>SHORT TERM</t>
  </si>
  <si>
    <t xml:space="preserve">Currency </t>
  </si>
  <si>
    <t xml:space="preserve">Quantity </t>
  </si>
  <si>
    <t>Current Value</t>
  </si>
  <si>
    <r>
      <t>Price</t>
    </r>
    <r>
      <rPr>
        <b/>
        <sz val="8"/>
        <color theme="1"/>
        <rFont val="Century Gothic (Body)"/>
      </rPr>
      <t xml:space="preserve"> (estimated)</t>
    </r>
  </si>
  <si>
    <r>
      <t xml:space="preserve">Price </t>
    </r>
    <r>
      <rPr>
        <b/>
        <sz val="10"/>
        <color theme="1"/>
        <rFont val="Century Gothic (Body)"/>
      </rPr>
      <t>(estimated)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</si>
</sst>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&quot;$&quot;#,##0.00"/>
    <numFmt numFmtId="165" formatCode="0.000000"/>
    <numFmt numFmtId="166" formatCode=";;;"/>
    <numFmt numFmtId="167" formatCode="&quot;$&quot;#,##0.0000"/>
    <numFmt numFmtId="168" formatCode="&quot;$&quot;#,##0.00000"/>
    <numFmt numFmtId="169" formatCode="&quot;$&quot;#,##0.000000"/>
    <numFmt numFmtId="170" formatCode="m/d/yy\ h:mm:ss"/>
    <numFmt numFmtId="171" formatCode="0.0000"/>
  </numFmts>
  <fonts count="29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  <scheme val="minor"/>
    </font>
    <font>
      <sz val="15"/>
      <color theme="1"/>
      <name val="Century Gothic"/>
      <family val="2"/>
      <scheme val="minor"/>
    </font>
    <font>
      <b/>
      <sz val="20"/>
      <color theme="1"/>
      <name val="Century Gothic (Body)"/>
    </font>
    <font>
      <sz val="18"/>
      <color theme="1"/>
      <name val="Century Gothic"/>
      <family val="2"/>
      <scheme val="minor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sz val="15"/>
      <color rgb="FF333333"/>
      <name val="Arial"/>
      <family val="2"/>
    </font>
    <font>
      <b/>
      <sz val="25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16"/>
      <color theme="1"/>
      <name val="Century Gothic"/>
      <family val="1"/>
      <scheme val="minor"/>
    </font>
    <font>
      <b/>
      <sz val="34"/>
      <color theme="1"/>
      <name val="Century Gothic"/>
      <family val="1"/>
      <scheme val="minor"/>
    </font>
    <font>
      <b/>
      <sz val="17"/>
      <color theme="1"/>
      <name val="Century Gothic"/>
      <family val="1"/>
      <scheme val="minor"/>
    </font>
    <font>
      <sz val="14"/>
      <color theme="1"/>
      <name val="Century Gothic"/>
      <family val="2"/>
      <scheme val="minor"/>
    </font>
    <font>
      <b/>
      <sz val="10"/>
      <color theme="1"/>
      <name val="Century Gothic (Body)"/>
    </font>
    <font>
      <b/>
      <sz val="8"/>
      <color theme="1"/>
      <name val="Century Gothic (Body)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29">
    <xf numFmtId="0" fontId="0" fillId="0" borderId="0" xfId="0"/>
    <xf numFmtId="0" fontId="0" fillId="3" borderId="0" xfId="0" applyFill="1"/>
    <xf numFmtId="0" fontId="0" fillId="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8" borderId="0" xfId="0" applyNumberFormat="1" applyFont="1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0" fillId="9" borderId="0" xfId="0" applyFill="1"/>
    <xf numFmtId="0" fontId="0" fillId="9" borderId="4" xfId="0" applyFill="1" applyBorder="1"/>
    <xf numFmtId="0" fontId="4" fillId="3" borderId="0" xfId="0" applyFont="1" applyFill="1" applyAlignment="1">
      <alignment vertical="center"/>
    </xf>
    <xf numFmtId="0" fontId="5" fillId="10" borderId="0" xfId="0" applyFont="1" applyFill="1"/>
    <xf numFmtId="164" fontId="5" fillId="10" borderId="0" xfId="0" applyNumberFormat="1" applyFont="1" applyFill="1"/>
    <xf numFmtId="0" fontId="5" fillId="10" borderId="0" xfId="0" applyFont="1" applyFill="1" applyAlignment="1">
      <alignment horizontal="left"/>
    </xf>
    <xf numFmtId="164" fontId="5" fillId="10" borderId="0" xfId="0" applyNumberFormat="1" applyFont="1" applyFill="1" applyAlignment="1">
      <alignment horizontal="left"/>
    </xf>
    <xf numFmtId="0" fontId="13" fillId="9" borderId="6" xfId="0" applyFont="1" applyFill="1" applyBorder="1" applyAlignment="1">
      <alignment horizontal="left" vertical="center"/>
    </xf>
    <xf numFmtId="164" fontId="13" fillId="9" borderId="6" xfId="0" applyNumberFormat="1" applyFont="1" applyFill="1" applyBorder="1" applyAlignment="1">
      <alignment horizontal="left" vertical="center"/>
    </xf>
    <xf numFmtId="164" fontId="0" fillId="10" borderId="0" xfId="0" applyNumberFormat="1" applyFill="1"/>
    <xf numFmtId="9" fontId="14" fillId="10" borderId="0" xfId="2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 vertical="center"/>
    </xf>
    <xf numFmtId="0" fontId="0" fillId="10" borderId="0" xfId="0" applyFill="1"/>
    <xf numFmtId="164" fontId="0" fillId="9" borderId="6" xfId="0" applyNumberFormat="1" applyFill="1" applyBorder="1"/>
    <xf numFmtId="2" fontId="5" fillId="10" borderId="0" xfId="0" applyNumberFormat="1" applyFont="1" applyFill="1" applyAlignment="1">
      <alignment horizontal="left"/>
    </xf>
    <xf numFmtId="0" fontId="15" fillId="9" borderId="6" xfId="0" applyFont="1" applyFill="1" applyBorder="1" applyAlignment="1">
      <alignment horizontal="right"/>
    </xf>
    <xf numFmtId="167" fontId="5" fillId="10" borderId="0" xfId="0" applyNumberFormat="1" applyFont="1" applyFill="1" applyAlignment="1">
      <alignment horizontal="right"/>
    </xf>
    <xf numFmtId="9" fontId="14" fillId="10" borderId="0" xfId="2" applyFont="1" applyFill="1" applyAlignment="1">
      <alignment vertical="center"/>
    </xf>
    <xf numFmtId="9" fontId="14" fillId="10" borderId="0" xfId="2" applyFont="1" applyFill="1" applyAlignment="1"/>
    <xf numFmtId="0" fontId="17" fillId="11" borderId="5" xfId="0" applyFont="1" applyFill="1" applyBorder="1" applyAlignment="1">
      <alignment horizontal="left"/>
    </xf>
    <xf numFmtId="0" fontId="17" fillId="11" borderId="8" xfId="0" applyFont="1" applyFill="1" applyBorder="1" applyAlignment="1">
      <alignment horizontal="left"/>
    </xf>
    <xf numFmtId="164" fontId="17" fillId="3" borderId="9" xfId="0" applyNumberFormat="1" applyFont="1" applyFill="1" applyBorder="1"/>
    <xf numFmtId="0" fontId="17" fillId="11" borderId="10" xfId="0" applyFont="1" applyFill="1" applyBorder="1" applyAlignment="1">
      <alignment horizontal="left"/>
    </xf>
    <xf numFmtId="0" fontId="17" fillId="11" borderId="11" xfId="0" applyFont="1" applyFill="1" applyBorder="1" applyAlignment="1">
      <alignment horizontal="left"/>
    </xf>
    <xf numFmtId="164" fontId="17" fillId="3" borderId="0" xfId="0" applyNumberFormat="1" applyFont="1" applyFill="1"/>
    <xf numFmtId="0" fontId="0" fillId="3" borderId="5" xfId="0" applyFill="1" applyBorder="1"/>
    <xf numFmtId="164" fontId="5" fillId="6" borderId="7" xfId="0" applyNumberFormat="1" applyFont="1" applyFill="1" applyBorder="1" applyAlignment="1">
      <alignment horizontal="center"/>
    </xf>
    <xf numFmtId="0" fontId="5" fillId="6" borderId="5" xfId="0" applyFont="1" applyFill="1" applyBorder="1"/>
    <xf numFmtId="164" fontId="5" fillId="6" borderId="12" xfId="0" applyNumberFormat="1" applyFont="1" applyFill="1" applyBorder="1" applyAlignment="1">
      <alignment horizontal="center"/>
    </xf>
    <xf numFmtId="0" fontId="5" fillId="6" borderId="10" xfId="0" applyFont="1" applyFill="1" applyBorder="1"/>
    <xf numFmtId="0" fontId="14" fillId="6" borderId="13" xfId="0" applyFont="1" applyFill="1" applyBorder="1"/>
    <xf numFmtId="0" fontId="14" fillId="6" borderId="0" xfId="0" applyFont="1" applyFill="1"/>
    <xf numFmtId="0" fontId="14" fillId="6" borderId="9" xfId="0" applyFont="1" applyFill="1" applyBorder="1"/>
    <xf numFmtId="10" fontId="14" fillId="12" borderId="0" xfId="0" applyNumberFormat="1" applyFont="1" applyFill="1"/>
    <xf numFmtId="0" fontId="14" fillId="12" borderId="0" xfId="0" applyFont="1" applyFill="1"/>
    <xf numFmtId="164" fontId="16" fillId="6" borderId="13" xfId="1" applyNumberFormat="1" applyFont="1" applyFill="1" applyBorder="1" applyAlignment="1">
      <alignment horizontal="center"/>
    </xf>
    <xf numFmtId="0" fontId="16" fillId="6" borderId="9" xfId="0" applyFont="1" applyFill="1" applyBorder="1"/>
    <xf numFmtId="10" fontId="14" fillId="6" borderId="0" xfId="0" applyNumberFormat="1" applyFont="1" applyFill="1"/>
    <xf numFmtId="164" fontId="16" fillId="6" borderId="13" xfId="0" applyNumberFormat="1" applyFont="1" applyFill="1" applyBorder="1" applyAlignment="1">
      <alignment horizontal="center"/>
    </xf>
    <xf numFmtId="0" fontId="19" fillId="6" borderId="13" xfId="0" applyFont="1" applyFill="1" applyBorder="1" applyAlignment="1">
      <alignment horizontal="center"/>
    </xf>
    <xf numFmtId="0" fontId="19" fillId="6" borderId="9" xfId="0" applyFont="1" applyFill="1" applyBorder="1" applyAlignment="1">
      <alignment horizontal="left"/>
    </xf>
    <xf numFmtId="0" fontId="0" fillId="6" borderId="14" xfId="0" applyFill="1" applyBorder="1"/>
    <xf numFmtId="0" fontId="0" fillId="6" borderId="15" xfId="0" applyFill="1" applyBorder="1"/>
    <xf numFmtId="164" fontId="5" fillId="4" borderId="7" xfId="0" applyNumberFormat="1" applyFont="1" applyFill="1" applyBorder="1" applyAlignment="1">
      <alignment horizontal="center"/>
    </xf>
    <xf numFmtId="0" fontId="5" fillId="4" borderId="5" xfId="0" applyFont="1" applyFill="1" applyBorder="1"/>
    <xf numFmtId="164" fontId="5" fillId="4" borderId="12" xfId="0" applyNumberFormat="1" applyFont="1" applyFill="1" applyBorder="1" applyAlignment="1">
      <alignment horizontal="center"/>
    </xf>
    <xf numFmtId="0" fontId="5" fillId="4" borderId="10" xfId="0" applyFont="1" applyFill="1" applyBorder="1"/>
    <xf numFmtId="0" fontId="0" fillId="6" borderId="7" xfId="0" applyFill="1" applyBorder="1"/>
    <xf numFmtId="0" fontId="14" fillId="6" borderId="5" xfId="0" applyFont="1" applyFill="1" applyBorder="1"/>
    <xf numFmtId="0" fontId="14" fillId="6" borderId="8" xfId="0" applyFont="1" applyFill="1" applyBorder="1"/>
    <xf numFmtId="0" fontId="14" fillId="4" borderId="13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9" xfId="0" applyFont="1" applyFill="1" applyBorder="1"/>
    <xf numFmtId="0" fontId="16" fillId="6" borderId="9" xfId="0" applyFont="1" applyFill="1" applyBorder="1" applyAlignment="1">
      <alignment horizontal="left"/>
    </xf>
    <xf numFmtId="164" fontId="16" fillId="4" borderId="13" xfId="0" applyNumberFormat="1" applyFont="1" applyFill="1" applyBorder="1" applyAlignment="1">
      <alignment horizontal="center"/>
    </xf>
    <xf numFmtId="0" fontId="16" fillId="4" borderId="9" xfId="0" applyFont="1" applyFill="1" applyBorder="1" applyAlignment="1">
      <alignment horizontal="left"/>
    </xf>
    <xf numFmtId="0" fontId="19" fillId="6" borderId="11" xfId="0" applyFont="1" applyFill="1" applyBorder="1" applyAlignment="1">
      <alignment horizontal="left"/>
    </xf>
    <xf numFmtId="0" fontId="19" fillId="4" borderId="13" xfId="0" applyFont="1" applyFill="1" applyBorder="1" applyAlignment="1">
      <alignment horizontal="center"/>
    </xf>
    <xf numFmtId="0" fontId="19" fillId="4" borderId="9" xfId="0" applyFont="1" applyFill="1" applyBorder="1" applyAlignment="1">
      <alignment horizontal="left"/>
    </xf>
    <xf numFmtId="0" fontId="17" fillId="6" borderId="15" xfId="0" applyFont="1" applyFill="1" applyBorder="1" applyAlignment="1">
      <alignment vertical="center"/>
    </xf>
    <xf numFmtId="0" fontId="17" fillId="6" borderId="16" xfId="0" applyFont="1" applyFill="1" applyBorder="1" applyAlignment="1">
      <alignment vertical="center"/>
    </xf>
    <xf numFmtId="0" fontId="0" fillId="4" borderId="14" xfId="0" applyFill="1" applyBorder="1"/>
    <xf numFmtId="0" fontId="0" fillId="4" borderId="15" xfId="0" applyFill="1" applyBorder="1"/>
    <xf numFmtId="164" fontId="14" fillId="3" borderId="0" xfId="0" applyNumberFormat="1" applyFont="1" applyFill="1" applyAlignment="1">
      <alignment horizontal="left"/>
    </xf>
    <xf numFmtId="0" fontId="14" fillId="3" borderId="0" xfId="0" applyFont="1" applyFill="1"/>
    <xf numFmtId="164" fontId="14" fillId="3" borderId="0" xfId="0" applyNumberFormat="1" applyFont="1" applyFill="1" applyAlignment="1">
      <alignment horizontal="left" vertical="center"/>
    </xf>
    <xf numFmtId="0" fontId="17" fillId="4" borderId="8" xfId="0" applyFont="1" applyFill="1" applyBorder="1"/>
    <xf numFmtId="0" fontId="0" fillId="4" borderId="7" xfId="0" applyFill="1" applyBorder="1"/>
    <xf numFmtId="0" fontId="14" fillId="4" borderId="5" xfId="0" applyFont="1" applyFill="1" applyBorder="1"/>
    <xf numFmtId="0" fontId="14" fillId="4" borderId="8" xfId="0" applyFont="1" applyFill="1" applyBorder="1"/>
    <xf numFmtId="0" fontId="19" fillId="4" borderId="11" xfId="0" applyFont="1" applyFill="1" applyBorder="1" applyAlignment="1">
      <alignment horizontal="left"/>
    </xf>
    <xf numFmtId="0" fontId="0" fillId="3" borderId="0" xfId="0" applyFill="1" applyAlignment="1">
      <alignment vertical="center"/>
    </xf>
    <xf numFmtId="0" fontId="21" fillId="3" borderId="16" xfId="0" applyFont="1" applyFill="1" applyBorder="1" applyAlignment="1">
      <alignment horizontal="left"/>
    </xf>
    <xf numFmtId="0" fontId="18" fillId="3" borderId="0" xfId="0" applyFont="1" applyFill="1"/>
    <xf numFmtId="0" fontId="21" fillId="3" borderId="16" xfId="0" applyFont="1" applyFill="1" applyBorder="1"/>
    <xf numFmtId="0" fontId="4" fillId="3" borderId="0" xfId="0" applyFont="1" applyFill="1"/>
    <xf numFmtId="0" fontId="0" fillId="3" borderId="0" xfId="0" applyFill="1" applyAlignment="1">
      <alignment horizontal="center"/>
    </xf>
    <xf numFmtId="164" fontId="5" fillId="13" borderId="0" xfId="1" applyNumberFormat="1" applyFont="1" applyFill="1" applyBorder="1" applyAlignment="1">
      <alignment horizontal="right" vertical="center"/>
    </xf>
    <xf numFmtId="2" fontId="0" fillId="3" borderId="0" xfId="0" applyNumberFormat="1" applyFill="1" applyAlignment="1">
      <alignment horizontal="right"/>
    </xf>
    <xf numFmtId="164" fontId="0" fillId="13" borderId="0" xfId="0" applyNumberFormat="1" applyFill="1" applyAlignment="1">
      <alignment horizontal="right"/>
    </xf>
    <xf numFmtId="164" fontId="0" fillId="14" borderId="0" xfId="0" applyNumberFormat="1" applyFill="1" applyAlignment="1">
      <alignment horizontal="right"/>
    </xf>
    <xf numFmtId="2" fontId="0" fillId="14" borderId="0" xfId="0" applyNumberFormat="1" applyFill="1" applyAlignment="1">
      <alignment horizontal="right"/>
    </xf>
    <xf numFmtId="164" fontId="14" fillId="13" borderId="0" xfId="0" applyNumberFormat="1" applyFont="1" applyFill="1" applyAlignment="1">
      <alignment horizontal="right"/>
    </xf>
    <xf numFmtId="164" fontId="24" fillId="13" borderId="0" xfId="0" applyNumberFormat="1" applyFont="1" applyFill="1" applyAlignment="1">
      <alignment horizontal="right"/>
    </xf>
    <xf numFmtId="2" fontId="24" fillId="14" borderId="0" xfId="0" applyNumberFormat="1" applyFont="1" applyFill="1" applyAlignment="1">
      <alignment horizontal="right"/>
    </xf>
    <xf numFmtId="164" fontId="24" fillId="14" borderId="0" xfId="0" applyNumberFormat="1" applyFont="1" applyFill="1" applyAlignment="1">
      <alignment horizontal="right"/>
    </xf>
    <xf numFmtId="164" fontId="4" fillId="14" borderId="0" xfId="0" applyNumberFormat="1" applyFont="1" applyFill="1" applyAlignment="1">
      <alignment horizontal="right"/>
    </xf>
    <xf numFmtId="2" fontId="14" fillId="14" borderId="0" xfId="0" applyNumberFormat="1" applyFont="1" applyFill="1" applyAlignment="1">
      <alignment horizontal="right"/>
    </xf>
    <xf numFmtId="164" fontId="14" fillId="14" borderId="0" xfId="0" applyNumberFormat="1" applyFont="1" applyFill="1" applyAlignment="1">
      <alignment horizontal="right"/>
    </xf>
    <xf numFmtId="0" fontId="8" fillId="3" borderId="24" xfId="0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right"/>
    </xf>
    <xf numFmtId="164" fontId="8" fillId="3" borderId="5" xfId="0" applyNumberFormat="1" applyFont="1" applyFill="1" applyBorder="1" applyAlignment="1">
      <alignment horizontal="right"/>
    </xf>
    <xf numFmtId="164" fontId="8" fillId="3" borderId="14" xfId="0" applyNumberFormat="1" applyFont="1" applyFill="1" applyBorder="1" applyAlignment="1">
      <alignment horizontal="right"/>
    </xf>
    <xf numFmtId="164" fontId="8" fillId="3" borderId="7" xfId="0" applyNumberFormat="1" applyFont="1" applyFill="1" applyBorder="1" applyAlignment="1">
      <alignment horizontal="right"/>
    </xf>
    <xf numFmtId="0" fontId="26" fillId="3" borderId="0" xfId="0" applyFont="1" applyFill="1" applyAlignment="1">
      <alignment horizontal="center"/>
    </xf>
    <xf numFmtId="164" fontId="0" fillId="3" borderId="0" xfId="1" applyNumberFormat="1" applyFont="1" applyFill="1" applyAlignment="1">
      <alignment horizontal="right"/>
    </xf>
    <xf numFmtId="0" fontId="4" fillId="3" borderId="9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left"/>
    </xf>
    <xf numFmtId="2" fontId="0" fillId="3" borderId="0" xfId="1" applyNumberFormat="1" applyFont="1" applyFill="1" applyAlignment="1">
      <alignment horizontal="right"/>
    </xf>
    <xf numFmtId="2" fontId="0" fillId="3" borderId="0" xfId="0" applyNumberFormat="1" applyFill="1"/>
    <xf numFmtId="169" fontId="8" fillId="3" borderId="0" xfId="0" applyNumberFormat="1" applyFont="1" applyFill="1" applyAlignment="1">
      <alignment horizontal="right"/>
    </xf>
    <xf numFmtId="169" fontId="6" fillId="8" borderId="0" xfId="0" applyNumberFormat="1" applyFont="1" applyFill="1" applyAlignment="1">
      <alignment horizontal="right"/>
    </xf>
    <xf numFmtId="169" fontId="0" fillId="3" borderId="0" xfId="0" applyNumberFormat="1" applyFill="1" applyAlignment="1">
      <alignment horizontal="left"/>
    </xf>
    <xf numFmtId="169" fontId="0" fillId="3" borderId="0" xfId="0" applyNumberFormat="1" applyFill="1" applyAlignment="1">
      <alignment horizontal="right"/>
    </xf>
    <xf numFmtId="171" fontId="0" fillId="3" borderId="0" xfId="1" applyNumberFormat="1" applyFont="1" applyFill="1" applyBorder="1" applyAlignment="1">
      <alignment horizontal="right"/>
    </xf>
    <xf numFmtId="171" fontId="0" fillId="3" borderId="0" xfId="1" applyNumberFormat="1" applyFont="1" applyFill="1" applyAlignment="1">
      <alignment horizontal="right"/>
    </xf>
    <xf numFmtId="169" fontId="23" fillId="3" borderId="0" xfId="0" applyNumberFormat="1" applyFont="1" applyFill="1" applyAlignment="1">
      <alignment horizontal="right" vertical="center"/>
    </xf>
    <xf numFmtId="164" fontId="23" fillId="3" borderId="0" xfId="1" applyNumberFormat="1" applyFont="1" applyFill="1" applyAlignment="1">
      <alignment horizontal="right" vertical="center"/>
    </xf>
    <xf numFmtId="14" fontId="23" fillId="3" borderId="0" xfId="0" applyNumberFormat="1" applyFont="1" applyFill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171" fontId="23" fillId="3" borderId="0" xfId="1" applyNumberFormat="1" applyFont="1" applyFill="1" applyAlignment="1">
      <alignment horizontal="right" vertical="center"/>
    </xf>
    <xf numFmtId="170" fontId="1" fillId="3" borderId="24" xfId="0" applyNumberFormat="1" applyFont="1" applyFill="1" applyBorder="1" applyAlignment="1">
      <alignment horizontal="center"/>
    </xf>
    <xf numFmtId="0" fontId="1" fillId="6" borderId="24" xfId="0" applyFont="1" applyFill="1" applyBorder="1" applyAlignment="1">
      <alignment horizontal="center"/>
    </xf>
    <xf numFmtId="0" fontId="1" fillId="5" borderId="24" xfId="0" applyFont="1" applyFill="1" applyBorder="1" applyAlignment="1">
      <alignment horizontal="center"/>
    </xf>
    <xf numFmtId="164" fontId="1" fillId="5" borderId="24" xfId="0" applyNumberFormat="1" applyFont="1" applyFill="1" applyBorder="1" applyAlignment="1">
      <alignment horizontal="center"/>
    </xf>
    <xf numFmtId="0" fontId="1" fillId="7" borderId="24" xfId="0" applyFont="1" applyFill="1" applyBorder="1" applyAlignment="1">
      <alignment horizontal="center"/>
    </xf>
    <xf numFmtId="164" fontId="1" fillId="7" borderId="24" xfId="0" applyNumberFormat="1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164" fontId="1" fillId="2" borderId="24" xfId="0" applyNumberFormat="1" applyFont="1" applyFill="1" applyBorder="1" applyAlignment="1">
      <alignment horizontal="center"/>
    </xf>
    <xf numFmtId="164" fontId="1" fillId="4" borderId="24" xfId="0" applyNumberFormat="1" applyFont="1" applyFill="1" applyBorder="1" applyAlignment="1">
      <alignment horizontal="center"/>
    </xf>
    <xf numFmtId="0" fontId="0" fillId="0" borderId="24" xfId="0" applyBorder="1"/>
    <xf numFmtId="170" fontId="3" fillId="3" borderId="24" xfId="0" applyNumberFormat="1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164" fontId="3" fillId="5" borderId="24" xfId="0" applyNumberFormat="1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164" fontId="3" fillId="7" borderId="24" xfId="0" applyNumberFormat="1" applyFont="1" applyFill="1" applyBorder="1" applyAlignment="1">
      <alignment horizontal="center"/>
    </xf>
    <xf numFmtId="0" fontId="3" fillId="2" borderId="24" xfId="0" applyFont="1" applyFill="1" applyBorder="1" applyAlignment="1">
      <alignment horizontal="center"/>
    </xf>
    <xf numFmtId="164" fontId="3" fillId="2" borderId="24" xfId="0" applyNumberFormat="1" applyFont="1" applyFill="1" applyBorder="1" applyAlignment="1">
      <alignment horizontal="center"/>
    </xf>
    <xf numFmtId="164" fontId="3" fillId="4" borderId="24" xfId="0" applyNumberFormat="1" applyFont="1" applyFill="1" applyBorder="1" applyAlignment="1">
      <alignment horizontal="center"/>
    </xf>
    <xf numFmtId="0" fontId="3" fillId="0" borderId="24" xfId="0" applyFont="1" applyBorder="1"/>
    <xf numFmtId="170" fontId="3" fillId="0" borderId="24" xfId="0" applyNumberFormat="1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164" fontId="3" fillId="0" borderId="24" xfId="0" applyNumberFormat="1" applyFont="1" applyBorder="1" applyAlignment="1">
      <alignment horizontal="center"/>
    </xf>
    <xf numFmtId="170" fontId="0" fillId="3" borderId="24" xfId="0" applyNumberFormat="1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164" fontId="0" fillId="5" borderId="24" xfId="0" applyNumberFormat="1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164" fontId="0" fillId="7" borderId="24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4" fontId="0" fillId="2" borderId="24" xfId="0" applyNumberFormat="1" applyFill="1" applyBorder="1" applyAlignment="1">
      <alignment horizontal="center"/>
    </xf>
    <xf numFmtId="164" fontId="0" fillId="4" borderId="24" xfId="0" applyNumberFormat="1" applyFill="1" applyBorder="1" applyAlignment="1">
      <alignment horizontal="center"/>
    </xf>
    <xf numFmtId="168" fontId="1" fillId="5" borderId="24" xfId="0" applyNumberFormat="1" applyFont="1" applyFill="1" applyBorder="1" applyAlignment="1">
      <alignment horizontal="center"/>
    </xf>
    <xf numFmtId="168" fontId="3" fillId="5" borderId="24" xfId="0" applyNumberFormat="1" applyFont="1" applyFill="1" applyBorder="1" applyAlignment="1">
      <alignment horizontal="center"/>
    </xf>
    <xf numFmtId="168" fontId="0" fillId="5" borderId="24" xfId="0" applyNumberFormat="1" applyFill="1" applyBorder="1" applyAlignment="1">
      <alignment horizontal="center"/>
    </xf>
    <xf numFmtId="171" fontId="24" fillId="13" borderId="0" xfId="0" applyNumberFormat="1" applyFont="1" applyFill="1" applyAlignment="1">
      <alignment horizontal="right"/>
    </xf>
    <xf numFmtId="171" fontId="14" fillId="13" borderId="0" xfId="0" applyNumberFormat="1" applyFont="1" applyFill="1" applyAlignment="1">
      <alignment horizontal="right"/>
    </xf>
    <xf numFmtId="171" fontId="8" fillId="3" borderId="5" xfId="0" applyNumberFormat="1" applyFont="1" applyFill="1" applyBorder="1" applyAlignment="1">
      <alignment horizontal="right"/>
    </xf>
    <xf numFmtId="171" fontId="0" fillId="13" borderId="0" xfId="0" applyNumberFormat="1" applyFill="1" applyAlignment="1">
      <alignment horizontal="right"/>
    </xf>
    <xf numFmtId="171" fontId="0" fillId="3" borderId="0" xfId="0" applyNumberFormat="1" applyFill="1" applyAlignment="1">
      <alignment horizontal="right"/>
    </xf>
    <xf numFmtId="0" fontId="10" fillId="10" borderId="0" xfId="0" applyFont="1" applyFill="1" applyAlignment="1">
      <alignment horizontal="center"/>
    </xf>
    <xf numFmtId="0" fontId="0" fillId="10" borderId="0" xfId="0" applyFill="1"/>
    <xf numFmtId="164" fontId="13" fillId="10" borderId="0" xfId="0" applyNumberFormat="1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center" vertical="center"/>
    </xf>
    <xf numFmtId="164" fontId="15" fillId="9" borderId="0" xfId="0" applyNumberFormat="1" applyFont="1" applyFill="1" applyAlignment="1">
      <alignment horizontal="left" vertical="center"/>
    </xf>
    <xf numFmtId="164" fontId="22" fillId="9" borderId="0" xfId="0" applyNumberFormat="1" applyFont="1" applyFill="1" applyAlignment="1">
      <alignment horizontal="left" vertical="center"/>
    </xf>
    <xf numFmtId="164" fontId="22" fillId="9" borderId="4" xfId="0" applyNumberFormat="1" applyFont="1" applyFill="1" applyBorder="1" applyAlignment="1">
      <alignment horizontal="left" vertical="center"/>
    </xf>
    <xf numFmtId="164" fontId="5" fillId="9" borderId="0" xfId="0" applyNumberFormat="1" applyFont="1" applyFill="1" applyAlignment="1">
      <alignment horizontal="left" vertical="center"/>
    </xf>
    <xf numFmtId="164" fontId="5" fillId="9" borderId="4" xfId="0" applyNumberFormat="1" applyFont="1" applyFill="1" applyBorder="1" applyAlignment="1">
      <alignment horizontal="left" vertical="center"/>
    </xf>
    <xf numFmtId="164" fontId="13" fillId="9" borderId="6" xfId="0" applyNumberFormat="1" applyFont="1" applyFill="1" applyBorder="1" applyAlignment="1">
      <alignment horizontal="left" vertical="center"/>
    </xf>
    <xf numFmtId="164" fontId="13" fillId="10" borderId="0" xfId="0" applyNumberFormat="1" applyFont="1" applyFill="1" applyAlignment="1">
      <alignment horizontal="left"/>
    </xf>
    <xf numFmtId="164" fontId="5" fillId="10" borderId="0" xfId="0" applyNumberFormat="1" applyFont="1" applyFill="1" applyAlignment="1">
      <alignment horizontal="center"/>
    </xf>
    <xf numFmtId="9" fontId="14" fillId="10" borderId="0" xfId="2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9" borderId="4" xfId="0" applyFont="1" applyFill="1" applyBorder="1" applyAlignment="1">
      <alignment horizontal="left"/>
    </xf>
    <xf numFmtId="0" fontId="13" fillId="10" borderId="0" xfId="0" applyFont="1" applyFill="1" applyAlignment="1">
      <alignment horizontal="right"/>
    </xf>
    <xf numFmtId="0" fontId="13" fillId="10" borderId="0" xfId="0" applyFont="1" applyFill="1" applyAlignment="1">
      <alignment horizontal="right" vertical="center"/>
    </xf>
    <xf numFmtId="164" fontId="5" fillId="10" borderId="0" xfId="0" applyNumberFormat="1" applyFont="1" applyFill="1" applyAlignment="1">
      <alignment horizontal="left"/>
    </xf>
    <xf numFmtId="164" fontId="5" fillId="10" borderId="0" xfId="0" applyNumberFormat="1" applyFont="1" applyFill="1" applyAlignment="1">
      <alignment horizontal="left" vertical="center"/>
    </xf>
    <xf numFmtId="2" fontId="25" fillId="13" borderId="0" xfId="1" applyNumberFormat="1" applyFont="1" applyFill="1" applyBorder="1" applyAlignment="1">
      <alignment horizontal="center" vertical="center"/>
    </xf>
    <xf numFmtId="0" fontId="13" fillId="14" borderId="10" xfId="0" applyFont="1" applyFill="1" applyBorder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3" fillId="14" borderId="5" xfId="0" applyFont="1" applyFill="1" applyBorder="1" applyAlignment="1">
      <alignment horizontal="center" vertical="center"/>
    </xf>
    <xf numFmtId="0" fontId="13" fillId="13" borderId="10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164" fontId="14" fillId="14" borderId="0" xfId="0" applyNumberFormat="1" applyFont="1" applyFill="1" applyAlignment="1">
      <alignment horizontal="center" vertical="center"/>
    </xf>
    <xf numFmtId="164" fontId="14" fillId="13" borderId="0" xfId="1" applyNumberFormat="1" applyFont="1" applyFill="1" applyBorder="1" applyAlignment="1">
      <alignment horizontal="center" vertical="center"/>
    </xf>
    <xf numFmtId="2" fontId="25" fillId="13" borderId="0" xfId="0" applyNumberFormat="1" applyFont="1" applyFill="1" applyAlignment="1">
      <alignment horizontal="center"/>
    </xf>
    <xf numFmtId="164" fontId="14" fillId="13" borderId="0" xfId="0" applyNumberFormat="1" applyFont="1" applyFill="1" applyAlignment="1">
      <alignment horizontal="center" vertical="center"/>
    </xf>
    <xf numFmtId="2" fontId="25" fillId="13" borderId="0" xfId="0" applyNumberFormat="1" applyFont="1" applyFill="1" applyAlignment="1">
      <alignment horizontal="center" vertical="center"/>
    </xf>
    <xf numFmtId="2" fontId="25" fillId="14" borderId="0" xfId="1" applyNumberFormat="1" applyFont="1" applyFill="1" applyBorder="1" applyAlignment="1">
      <alignment horizontal="center" vertical="center"/>
    </xf>
    <xf numFmtId="164" fontId="14" fillId="14" borderId="0" xfId="1" applyNumberFormat="1" applyFont="1" applyFill="1" applyBorder="1" applyAlignment="1">
      <alignment horizontal="center" vertical="center"/>
    </xf>
    <xf numFmtId="2" fontId="25" fillId="14" borderId="0" xfId="0" applyNumberFormat="1" applyFont="1" applyFill="1" applyAlignment="1">
      <alignment horizontal="center"/>
    </xf>
    <xf numFmtId="2" fontId="25" fillId="1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21" fillId="3" borderId="16" xfId="0" applyFont="1" applyFill="1" applyBorder="1" applyAlignment="1">
      <alignment horizontal="center"/>
    </xf>
    <xf numFmtId="0" fontId="21" fillId="3" borderId="1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164" fontId="5" fillId="3" borderId="9" xfId="0" applyNumberFormat="1" applyFont="1" applyFill="1" applyBorder="1" applyAlignment="1">
      <alignment horizontal="center" vertical="center"/>
    </xf>
    <xf numFmtId="164" fontId="5" fillId="3" borderId="13" xfId="0" applyNumberFormat="1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horizontal="center" vertical="center"/>
    </xf>
    <xf numFmtId="164" fontId="5" fillId="3" borderId="7" xfId="0" applyNumberFormat="1" applyFont="1" applyFill="1" applyBorder="1" applyAlignment="1">
      <alignment horizontal="center" vertical="center"/>
    </xf>
    <xf numFmtId="0" fontId="21" fillId="3" borderId="15" xfId="0" applyFont="1" applyFill="1" applyBorder="1" applyAlignment="1">
      <alignment horizontal="left"/>
    </xf>
    <xf numFmtId="164" fontId="10" fillId="3" borderId="15" xfId="0" applyNumberFormat="1" applyFont="1" applyFill="1" applyBorder="1" applyAlignment="1">
      <alignment horizontal="left"/>
    </xf>
    <xf numFmtId="164" fontId="10" fillId="3" borderId="14" xfId="0" applyNumberFormat="1" applyFont="1" applyFill="1" applyBorder="1" applyAlignment="1">
      <alignment horizontal="left"/>
    </xf>
    <xf numFmtId="10" fontId="16" fillId="4" borderId="0" xfId="0" applyNumberFormat="1" applyFont="1" applyFill="1" applyAlignment="1">
      <alignment horizontal="center"/>
    </xf>
    <xf numFmtId="0" fontId="19" fillId="4" borderId="10" xfId="0" applyFont="1" applyFill="1" applyBorder="1" applyAlignment="1">
      <alignment horizontal="center"/>
    </xf>
    <xf numFmtId="0" fontId="19" fillId="4" borderId="12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left"/>
    </xf>
    <xf numFmtId="0" fontId="5" fillId="3" borderId="9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164" fontId="17" fillId="11" borderId="5" xfId="0" applyNumberFormat="1" applyFont="1" applyFill="1" applyBorder="1" applyAlignment="1">
      <alignment horizontal="center"/>
    </xf>
    <xf numFmtId="164" fontId="17" fillId="11" borderId="7" xfId="0" applyNumberFormat="1" applyFont="1" applyFill="1" applyBorder="1" applyAlignment="1">
      <alignment horizontal="center"/>
    </xf>
    <xf numFmtId="164" fontId="17" fillId="11" borderId="10" xfId="0" applyNumberFormat="1" applyFont="1" applyFill="1" applyBorder="1" applyAlignment="1">
      <alignment horizontal="center"/>
    </xf>
    <xf numFmtId="164" fontId="17" fillId="11" borderId="12" xfId="0" applyNumberFormat="1" applyFont="1" applyFill="1" applyBorder="1" applyAlignment="1">
      <alignment horizontal="center"/>
    </xf>
    <xf numFmtId="164" fontId="16" fillId="4" borderId="0" xfId="0" applyNumberFormat="1" applyFont="1" applyFill="1" applyAlignment="1">
      <alignment horizontal="center"/>
    </xf>
    <xf numFmtId="164" fontId="16" fillId="4" borderId="13" xfId="0" applyNumberFormat="1" applyFont="1" applyFill="1" applyBorder="1" applyAlignment="1">
      <alignment horizontal="center"/>
    </xf>
    <xf numFmtId="10" fontId="16" fillId="4" borderId="0" xfId="2" applyNumberFormat="1" applyFont="1" applyFill="1" applyBorder="1" applyAlignment="1">
      <alignment horizontal="center"/>
    </xf>
    <xf numFmtId="0" fontId="17" fillId="4" borderId="11" xfId="0" applyFont="1" applyFill="1" applyBorder="1" applyAlignment="1">
      <alignment horizontal="left"/>
    </xf>
    <xf numFmtId="0" fontId="17" fillId="4" borderId="10" xfId="0" applyFont="1" applyFill="1" applyBorder="1" applyAlignment="1">
      <alignment horizontal="left"/>
    </xf>
    <xf numFmtId="0" fontId="17" fillId="3" borderId="11" xfId="0" applyFont="1" applyFill="1" applyBorder="1" applyAlignment="1">
      <alignment horizontal="center"/>
    </xf>
    <xf numFmtId="0" fontId="17" fillId="3" borderId="12" xfId="0" applyFont="1" applyFill="1" applyBorder="1" applyAlignment="1">
      <alignment horizontal="center"/>
    </xf>
    <xf numFmtId="164" fontId="5" fillId="3" borderId="9" xfId="1" applyNumberFormat="1" applyFont="1" applyFill="1" applyBorder="1" applyAlignment="1">
      <alignment horizontal="center" vertical="center"/>
    </xf>
    <xf numFmtId="164" fontId="5" fillId="3" borderId="13" xfId="1" applyNumberFormat="1" applyFont="1" applyFill="1" applyBorder="1" applyAlignment="1">
      <alignment horizontal="center" vertical="center"/>
    </xf>
    <xf numFmtId="164" fontId="5" fillId="3" borderId="8" xfId="1" applyNumberFormat="1" applyFont="1" applyFill="1" applyBorder="1" applyAlignment="1">
      <alignment horizontal="center" vertical="center"/>
    </xf>
    <xf numFmtId="164" fontId="5" fillId="3" borderId="7" xfId="1" applyNumberFormat="1" applyFont="1" applyFill="1" applyBorder="1" applyAlignment="1">
      <alignment horizontal="center" vertical="center"/>
    </xf>
    <xf numFmtId="0" fontId="17" fillId="6" borderId="8" xfId="0" applyFont="1" applyFill="1" applyBorder="1" applyAlignment="1">
      <alignment horizontal="left"/>
    </xf>
    <xf numFmtId="0" fontId="17" fillId="6" borderId="5" xfId="0" applyFont="1" applyFill="1" applyBorder="1" applyAlignment="1">
      <alignment horizontal="left"/>
    </xf>
    <xf numFmtId="0" fontId="19" fillId="6" borderId="10" xfId="0" applyFont="1" applyFill="1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164" fontId="16" fillId="6" borderId="0" xfId="0" applyNumberFormat="1" applyFont="1" applyFill="1" applyAlignment="1">
      <alignment horizontal="center"/>
    </xf>
    <xf numFmtId="164" fontId="16" fillId="6" borderId="13" xfId="0" applyNumberFormat="1" applyFont="1" applyFill="1" applyBorder="1" applyAlignment="1">
      <alignment horizontal="center"/>
    </xf>
    <xf numFmtId="164" fontId="16" fillId="6" borderId="0" xfId="1" applyNumberFormat="1" applyFont="1" applyFill="1" applyBorder="1" applyAlignment="1">
      <alignment horizontal="center"/>
    </xf>
    <xf numFmtId="164" fontId="16" fillId="6" borderId="13" xfId="1" applyNumberFormat="1" applyFont="1" applyFill="1" applyBorder="1" applyAlignment="1">
      <alignment horizontal="center"/>
    </xf>
    <xf numFmtId="10" fontId="16" fillId="6" borderId="0" xfId="2" applyNumberFormat="1" applyFont="1" applyFill="1" applyBorder="1" applyAlignment="1">
      <alignment horizontal="center"/>
    </xf>
    <xf numFmtId="10" fontId="16" fillId="6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17" fillId="6" borderId="11" xfId="0" applyFont="1" applyFill="1" applyBorder="1" applyAlignment="1">
      <alignment horizontal="left"/>
    </xf>
    <xf numFmtId="0" fontId="17" fillId="6" borderId="10" xfId="0" applyFont="1" applyFill="1" applyBorder="1" applyAlignment="1">
      <alignment horizontal="left"/>
    </xf>
    <xf numFmtId="164" fontId="5" fillId="4" borderId="10" xfId="0" applyNumberFormat="1" applyFont="1" applyFill="1" applyBorder="1" applyAlignment="1">
      <alignment horizontal="center"/>
    </xf>
    <xf numFmtId="164" fontId="5" fillId="4" borderId="12" xfId="0" applyNumberFormat="1" applyFont="1" applyFill="1" applyBorder="1" applyAlignment="1">
      <alignment horizontal="center"/>
    </xf>
    <xf numFmtId="164" fontId="5" fillId="4" borderId="5" xfId="0" applyNumberFormat="1" applyFont="1" applyFill="1" applyBorder="1" applyAlignment="1">
      <alignment horizontal="center"/>
    </xf>
    <xf numFmtId="164" fontId="5" fillId="4" borderId="7" xfId="0" applyNumberFormat="1" applyFont="1" applyFill="1" applyBorder="1" applyAlignment="1">
      <alignment horizontal="center"/>
    </xf>
    <xf numFmtId="164" fontId="5" fillId="6" borderId="10" xfId="0" applyNumberFormat="1" applyFont="1" applyFill="1" applyBorder="1" applyAlignment="1">
      <alignment horizontal="center"/>
    </xf>
    <xf numFmtId="164" fontId="5" fillId="6" borderId="12" xfId="0" applyNumberFormat="1" applyFont="1" applyFill="1" applyBorder="1" applyAlignment="1">
      <alignment horizontal="center"/>
    </xf>
    <xf numFmtId="164" fontId="5" fillId="6" borderId="5" xfId="0" applyNumberFormat="1" applyFont="1" applyFill="1" applyBorder="1" applyAlignment="1">
      <alignment horizontal="center"/>
    </xf>
    <xf numFmtId="164" fontId="5" fillId="6" borderId="7" xfId="0" applyNumberFormat="1" applyFont="1" applyFill="1" applyBorder="1" applyAlignment="1">
      <alignment horizontal="center"/>
    </xf>
    <xf numFmtId="0" fontId="10" fillId="3" borderId="14" xfId="0" applyFont="1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17" fillId="4" borderId="16" xfId="0" applyFont="1" applyFill="1" applyBorder="1" applyAlignment="1">
      <alignment horizontal="left" vertical="center"/>
    </xf>
    <xf numFmtId="0" fontId="17" fillId="4" borderId="15" xfId="0" applyFont="1" applyFill="1" applyBorder="1" applyAlignment="1">
      <alignment horizontal="left" vertical="center"/>
    </xf>
    <xf numFmtId="0" fontId="17" fillId="4" borderId="8" xfId="0" applyFont="1" applyFill="1" applyBorder="1" applyAlignment="1">
      <alignment horizontal="left"/>
    </xf>
    <xf numFmtId="0" fontId="17" fillId="4" borderId="5" xfId="0" applyFont="1" applyFill="1" applyBorder="1" applyAlignment="1">
      <alignment horizontal="left"/>
    </xf>
    <xf numFmtId="0" fontId="19" fillId="4" borderId="0" xfId="0" applyFont="1" applyFill="1" applyAlignment="1">
      <alignment horizontal="center"/>
    </xf>
    <xf numFmtId="0" fontId="14" fillId="6" borderId="20" xfId="0" applyFont="1" applyFill="1" applyBorder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9" fontId="14" fillId="3" borderId="0" xfId="2" applyFont="1" applyFill="1" applyBorder="1" applyAlignment="1">
      <alignment horizontal="center"/>
    </xf>
    <xf numFmtId="9" fontId="14" fillId="3" borderId="19" xfId="2" applyFont="1" applyFill="1" applyBorder="1" applyAlignment="1">
      <alignment horizontal="center"/>
    </xf>
    <xf numFmtId="9" fontId="14" fillId="12" borderId="0" xfId="2" applyFont="1" applyFill="1" applyBorder="1" applyAlignment="1">
      <alignment horizontal="center"/>
    </xf>
    <xf numFmtId="9" fontId="14" fillId="12" borderId="19" xfId="2" applyFont="1" applyFill="1" applyBorder="1" applyAlignment="1">
      <alignment horizontal="center"/>
    </xf>
    <xf numFmtId="0" fontId="14" fillId="3" borderId="18" xfId="0" applyFont="1" applyFill="1" applyBorder="1" applyAlignment="1">
      <alignment horizontal="left"/>
    </xf>
    <xf numFmtId="0" fontId="14" fillId="3" borderId="4" xfId="0" applyFont="1" applyFill="1" applyBorder="1" applyAlignment="1">
      <alignment horizontal="left"/>
    </xf>
    <xf numFmtId="0" fontId="18" fillId="12" borderId="22" xfId="0" applyFont="1" applyFill="1" applyBorder="1" applyAlignment="1">
      <alignment horizontal="center"/>
    </xf>
    <xf numFmtId="0" fontId="18" fillId="12" borderId="21" xfId="0" applyFont="1" applyFill="1" applyBorder="1" applyAlignment="1">
      <alignment horizontal="center"/>
    </xf>
    <xf numFmtId="0" fontId="20" fillId="12" borderId="20" xfId="0" applyFont="1" applyFill="1" applyBorder="1" applyAlignment="1">
      <alignment horizontal="left"/>
    </xf>
    <xf numFmtId="0" fontId="20" fillId="12" borderId="0" xfId="0" applyFont="1" applyFill="1" applyAlignment="1">
      <alignment horizontal="left"/>
    </xf>
    <xf numFmtId="0" fontId="17" fillId="4" borderId="16" xfId="0" applyFont="1" applyFill="1" applyBorder="1" applyAlignment="1">
      <alignment horizontal="left"/>
    </xf>
    <xf numFmtId="0" fontId="17" fillId="4" borderId="15" xfId="0" applyFont="1" applyFill="1" applyBorder="1" applyAlignment="1">
      <alignment horizontal="left"/>
    </xf>
    <xf numFmtId="0" fontId="17" fillId="3" borderId="0" xfId="0" applyFont="1" applyFill="1" applyAlignment="1">
      <alignment horizontal="left"/>
    </xf>
    <xf numFmtId="164" fontId="7" fillId="3" borderId="0" xfId="0" applyNumberFormat="1" applyFont="1" applyFill="1" applyAlignment="1">
      <alignment horizontal="left"/>
    </xf>
    <xf numFmtId="0" fontId="18" fillId="3" borderId="0" xfId="0" applyFont="1" applyFill="1" applyAlignment="1">
      <alignment horizontal="left"/>
    </xf>
    <xf numFmtId="0" fontId="17" fillId="6" borderId="16" xfId="0" applyFont="1" applyFill="1" applyBorder="1" applyAlignment="1">
      <alignment horizontal="left"/>
    </xf>
    <xf numFmtId="0" fontId="17" fillId="6" borderId="15" xfId="0" applyFont="1" applyFill="1" applyBorder="1" applyAlignment="1">
      <alignment horizontal="left"/>
    </xf>
    <xf numFmtId="0" fontId="19" fillId="6" borderId="0" xfId="0" applyFont="1" applyFill="1" applyAlignment="1">
      <alignment horizontal="center"/>
    </xf>
    <xf numFmtId="9" fontId="14" fillId="3" borderId="4" xfId="2" applyFont="1" applyFill="1" applyBorder="1" applyAlignment="1">
      <alignment horizontal="center"/>
    </xf>
    <xf numFmtId="9" fontId="14" fillId="3" borderId="17" xfId="2" applyFont="1" applyFill="1" applyBorder="1" applyAlignment="1">
      <alignment horizontal="center"/>
    </xf>
    <xf numFmtId="0" fontId="20" fillId="3" borderId="18" xfId="0" applyFont="1" applyFill="1" applyBorder="1" applyAlignment="1">
      <alignment horizontal="left"/>
    </xf>
    <xf numFmtId="0" fontId="20" fillId="3" borderId="4" xfId="0" applyFont="1" applyFill="1" applyBorder="1" applyAlignment="1">
      <alignment horizontal="left"/>
    </xf>
    <xf numFmtId="0" fontId="14" fillId="12" borderId="20" xfId="0" applyFont="1" applyFill="1" applyBorder="1" applyAlignment="1">
      <alignment horizontal="left"/>
    </xf>
    <xf numFmtId="0" fontId="14" fillId="12" borderId="0" xfId="0" applyFont="1" applyFill="1" applyAlignment="1">
      <alignment horizontal="left"/>
    </xf>
    <xf numFmtId="0" fontId="14" fillId="3" borderId="20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0" fontId="17" fillId="3" borderId="0" xfId="0" applyFont="1" applyFill="1" applyAlignment="1">
      <alignment horizontal="center"/>
    </xf>
    <xf numFmtId="0" fontId="18" fillId="6" borderId="23" xfId="0" applyFont="1" applyFill="1" applyBorder="1" applyAlignment="1">
      <alignment horizontal="left"/>
    </xf>
    <xf numFmtId="0" fontId="18" fillId="6" borderId="22" xfId="0" applyFont="1" applyFill="1" applyBorder="1" applyAlignment="1">
      <alignment horizontal="left"/>
    </xf>
    <xf numFmtId="0" fontId="18" fillId="6" borderId="22" xfId="0" applyFont="1" applyFill="1" applyBorder="1" applyAlignment="1">
      <alignment horizontal="center"/>
    </xf>
    <xf numFmtId="0" fontId="18" fillId="6" borderId="21" xfId="0" applyFont="1" applyFill="1" applyBorder="1" applyAlignment="1">
      <alignment horizontal="center"/>
    </xf>
    <xf numFmtId="9" fontId="14" fillId="3" borderId="0" xfId="0" applyNumberFormat="1" applyFont="1" applyFill="1" applyAlignment="1">
      <alignment horizontal="center"/>
    </xf>
    <xf numFmtId="0" fontId="14" fillId="3" borderId="19" xfId="0" applyFont="1" applyFill="1" applyBorder="1" applyAlignment="1">
      <alignment horizontal="center"/>
    </xf>
    <xf numFmtId="9" fontId="14" fillId="6" borderId="0" xfId="0" applyNumberFormat="1" applyFont="1" applyFill="1" applyAlignment="1">
      <alignment horizontal="center" vertical="center"/>
    </xf>
    <xf numFmtId="9" fontId="14" fillId="6" borderId="19" xfId="0" applyNumberFormat="1" applyFont="1" applyFill="1" applyBorder="1" applyAlignment="1">
      <alignment horizontal="center" vertical="center"/>
    </xf>
    <xf numFmtId="9" fontId="14" fillId="3" borderId="4" xfId="0" applyNumberFormat="1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20" fillId="3" borderId="20" xfId="0" applyFont="1" applyFill="1" applyBorder="1" applyAlignment="1">
      <alignment horizontal="left"/>
    </xf>
    <xf numFmtId="0" fontId="20" fillId="3" borderId="0" xfId="0" applyFont="1" applyFill="1" applyAlignment="1">
      <alignment horizontal="left"/>
    </xf>
    <xf numFmtId="0" fontId="18" fillId="12" borderId="23" xfId="0" applyFont="1" applyFill="1" applyBorder="1" applyAlignment="1">
      <alignment horizontal="left"/>
    </xf>
    <xf numFmtId="0" fontId="18" fillId="12" borderId="22" xfId="0" applyFont="1" applyFill="1" applyBorder="1" applyAlignment="1">
      <alignment horizontal="left"/>
    </xf>
    <xf numFmtId="0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25">
    <dxf>
      <numFmt numFmtId="19" formatCode="m/d/yy"/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numFmt numFmtId="0" formatCode="General"/>
    </dxf>
    <dxf>
      <numFmt numFmtId="19" formatCode="m/d/yy"/>
    </dxf>
    <dxf>
      <numFmt numFmtId="19" formatCode="m/d/yy"/>
    </dxf>
    <dxf>
      <numFmt numFmtId="0" formatCode="General"/>
    </dxf>
    <dxf>
      <numFmt numFmtId="19" formatCode="m/d/yy"/>
    </dxf>
    <dxf>
      <numFmt numFmtId="19" formatCode="m/d/yy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8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0315102543772E-2"/>
          <c:y val="6.0806324820201471E-2"/>
          <c:w val="0.91493397730494241"/>
          <c:h val="0.73370539683653335"/>
        </c:manualLayout>
      </c:layout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412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36678510185024427"/>
                  <c:y val="-0.18013245599159103"/>
                </c:manualLayout>
              </c:layout>
              <c:numFmt formatCode="&quot;$&quot;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0" b="0" i="0" u="none" strike="noStrike" kern="1200" baseline="0">
                      <a:solidFill>
                        <a:schemeClr val="accent6">
                          <a:lumMod val="50000"/>
                          <a:alpha val="35282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854382253087155"/>
                      <c:h val="0.214708431117386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Basis'!$A$2:$A$439</c:f>
              <c:numCache>
                <c:formatCode>m/d/yy</c:formatCode>
                <c:ptCount val="438"/>
                <c:pt idx="0">
                  <c:v>45463</c:v>
                </c:pt>
                <c:pt idx="1">
                  <c:v>45462</c:v>
                </c:pt>
                <c:pt idx="2">
                  <c:v>45461</c:v>
                </c:pt>
                <c:pt idx="3">
                  <c:v>45460</c:v>
                </c:pt>
                <c:pt idx="4">
                  <c:v>45459</c:v>
                </c:pt>
                <c:pt idx="5">
                  <c:v>45458</c:v>
                </c:pt>
                <c:pt idx="6">
                  <c:v>45457</c:v>
                </c:pt>
                <c:pt idx="7">
                  <c:v>45456</c:v>
                </c:pt>
                <c:pt idx="8">
                  <c:v>45455</c:v>
                </c:pt>
                <c:pt idx="9">
                  <c:v>45454</c:v>
                </c:pt>
                <c:pt idx="10">
                  <c:v>45453</c:v>
                </c:pt>
                <c:pt idx="11">
                  <c:v>45452</c:v>
                </c:pt>
                <c:pt idx="12">
                  <c:v>45451</c:v>
                </c:pt>
                <c:pt idx="13">
                  <c:v>45450</c:v>
                </c:pt>
                <c:pt idx="14">
                  <c:v>45449</c:v>
                </c:pt>
                <c:pt idx="15">
                  <c:v>45448</c:v>
                </c:pt>
                <c:pt idx="16">
                  <c:v>45447</c:v>
                </c:pt>
                <c:pt idx="17">
                  <c:v>45446</c:v>
                </c:pt>
                <c:pt idx="18">
                  <c:v>45445</c:v>
                </c:pt>
                <c:pt idx="19">
                  <c:v>45444</c:v>
                </c:pt>
                <c:pt idx="20">
                  <c:v>45443</c:v>
                </c:pt>
                <c:pt idx="21">
                  <c:v>45442</c:v>
                </c:pt>
                <c:pt idx="22">
                  <c:v>45441</c:v>
                </c:pt>
                <c:pt idx="23">
                  <c:v>45440</c:v>
                </c:pt>
                <c:pt idx="24">
                  <c:v>45439</c:v>
                </c:pt>
                <c:pt idx="25">
                  <c:v>45438</c:v>
                </c:pt>
                <c:pt idx="26">
                  <c:v>45437</c:v>
                </c:pt>
                <c:pt idx="27">
                  <c:v>45436</c:v>
                </c:pt>
                <c:pt idx="28">
                  <c:v>45435</c:v>
                </c:pt>
                <c:pt idx="29">
                  <c:v>45434</c:v>
                </c:pt>
                <c:pt idx="30">
                  <c:v>45433</c:v>
                </c:pt>
                <c:pt idx="31">
                  <c:v>45432</c:v>
                </c:pt>
                <c:pt idx="32">
                  <c:v>45431</c:v>
                </c:pt>
                <c:pt idx="33">
                  <c:v>45430</c:v>
                </c:pt>
                <c:pt idx="34">
                  <c:v>45429</c:v>
                </c:pt>
                <c:pt idx="35">
                  <c:v>45428</c:v>
                </c:pt>
                <c:pt idx="36">
                  <c:v>45427</c:v>
                </c:pt>
                <c:pt idx="37">
                  <c:v>45426</c:v>
                </c:pt>
                <c:pt idx="38">
                  <c:v>45425</c:v>
                </c:pt>
                <c:pt idx="39">
                  <c:v>45424</c:v>
                </c:pt>
                <c:pt idx="40">
                  <c:v>45423</c:v>
                </c:pt>
                <c:pt idx="41">
                  <c:v>45422</c:v>
                </c:pt>
                <c:pt idx="42">
                  <c:v>45421</c:v>
                </c:pt>
                <c:pt idx="43">
                  <c:v>45420</c:v>
                </c:pt>
                <c:pt idx="44">
                  <c:v>45419</c:v>
                </c:pt>
                <c:pt idx="45">
                  <c:v>45418</c:v>
                </c:pt>
                <c:pt idx="46">
                  <c:v>45417</c:v>
                </c:pt>
                <c:pt idx="47">
                  <c:v>45416</c:v>
                </c:pt>
                <c:pt idx="48">
                  <c:v>45415</c:v>
                </c:pt>
                <c:pt idx="49">
                  <c:v>45414</c:v>
                </c:pt>
                <c:pt idx="50">
                  <c:v>45413</c:v>
                </c:pt>
                <c:pt idx="51">
                  <c:v>45412</c:v>
                </c:pt>
                <c:pt idx="52">
                  <c:v>45411</c:v>
                </c:pt>
                <c:pt idx="53">
                  <c:v>45410</c:v>
                </c:pt>
                <c:pt idx="54">
                  <c:v>45409</c:v>
                </c:pt>
                <c:pt idx="55">
                  <c:v>45408</c:v>
                </c:pt>
                <c:pt idx="56">
                  <c:v>45407</c:v>
                </c:pt>
                <c:pt idx="57">
                  <c:v>45406</c:v>
                </c:pt>
                <c:pt idx="58">
                  <c:v>45405</c:v>
                </c:pt>
                <c:pt idx="59">
                  <c:v>45404</c:v>
                </c:pt>
                <c:pt idx="60">
                  <c:v>45403</c:v>
                </c:pt>
                <c:pt idx="61">
                  <c:v>45402</c:v>
                </c:pt>
                <c:pt idx="62">
                  <c:v>45401</c:v>
                </c:pt>
                <c:pt idx="63">
                  <c:v>45400</c:v>
                </c:pt>
                <c:pt idx="64">
                  <c:v>45399</c:v>
                </c:pt>
                <c:pt idx="65">
                  <c:v>45398</c:v>
                </c:pt>
                <c:pt idx="66">
                  <c:v>45397</c:v>
                </c:pt>
                <c:pt idx="67">
                  <c:v>45396</c:v>
                </c:pt>
                <c:pt idx="68">
                  <c:v>45395</c:v>
                </c:pt>
                <c:pt idx="69">
                  <c:v>45394</c:v>
                </c:pt>
                <c:pt idx="70">
                  <c:v>45393</c:v>
                </c:pt>
                <c:pt idx="71">
                  <c:v>45392</c:v>
                </c:pt>
                <c:pt idx="72">
                  <c:v>45391</c:v>
                </c:pt>
                <c:pt idx="73">
                  <c:v>45390</c:v>
                </c:pt>
                <c:pt idx="74">
                  <c:v>45389</c:v>
                </c:pt>
                <c:pt idx="75">
                  <c:v>45388</c:v>
                </c:pt>
                <c:pt idx="76">
                  <c:v>45387</c:v>
                </c:pt>
                <c:pt idx="77">
                  <c:v>45386</c:v>
                </c:pt>
                <c:pt idx="78">
                  <c:v>45385</c:v>
                </c:pt>
                <c:pt idx="79">
                  <c:v>45384</c:v>
                </c:pt>
                <c:pt idx="80">
                  <c:v>45383</c:v>
                </c:pt>
                <c:pt idx="81">
                  <c:v>45382</c:v>
                </c:pt>
                <c:pt idx="82">
                  <c:v>45381</c:v>
                </c:pt>
                <c:pt idx="83">
                  <c:v>45380</c:v>
                </c:pt>
                <c:pt idx="84">
                  <c:v>45379</c:v>
                </c:pt>
                <c:pt idx="85">
                  <c:v>45378</c:v>
                </c:pt>
                <c:pt idx="86">
                  <c:v>45377</c:v>
                </c:pt>
                <c:pt idx="87">
                  <c:v>45376</c:v>
                </c:pt>
                <c:pt idx="88">
                  <c:v>45375</c:v>
                </c:pt>
                <c:pt idx="89">
                  <c:v>45374</c:v>
                </c:pt>
                <c:pt idx="90">
                  <c:v>45373</c:v>
                </c:pt>
                <c:pt idx="91">
                  <c:v>45372</c:v>
                </c:pt>
                <c:pt idx="92">
                  <c:v>45371</c:v>
                </c:pt>
                <c:pt idx="93">
                  <c:v>45370</c:v>
                </c:pt>
                <c:pt idx="94">
                  <c:v>45369</c:v>
                </c:pt>
                <c:pt idx="95">
                  <c:v>45368</c:v>
                </c:pt>
                <c:pt idx="96">
                  <c:v>45367</c:v>
                </c:pt>
                <c:pt idx="97">
                  <c:v>45366</c:v>
                </c:pt>
                <c:pt idx="98">
                  <c:v>45365</c:v>
                </c:pt>
                <c:pt idx="99">
                  <c:v>45364</c:v>
                </c:pt>
                <c:pt idx="100">
                  <c:v>45363</c:v>
                </c:pt>
                <c:pt idx="101">
                  <c:v>45362</c:v>
                </c:pt>
                <c:pt idx="102">
                  <c:v>45361</c:v>
                </c:pt>
                <c:pt idx="103">
                  <c:v>45360</c:v>
                </c:pt>
                <c:pt idx="104">
                  <c:v>45359</c:v>
                </c:pt>
                <c:pt idx="105">
                  <c:v>45358</c:v>
                </c:pt>
                <c:pt idx="106">
                  <c:v>45357</c:v>
                </c:pt>
                <c:pt idx="107">
                  <c:v>45356</c:v>
                </c:pt>
                <c:pt idx="108">
                  <c:v>45355</c:v>
                </c:pt>
                <c:pt idx="109">
                  <c:v>45354</c:v>
                </c:pt>
                <c:pt idx="110">
                  <c:v>45353</c:v>
                </c:pt>
                <c:pt idx="111">
                  <c:v>45352</c:v>
                </c:pt>
                <c:pt idx="112">
                  <c:v>45351</c:v>
                </c:pt>
                <c:pt idx="113">
                  <c:v>45350</c:v>
                </c:pt>
                <c:pt idx="114">
                  <c:v>45349</c:v>
                </c:pt>
                <c:pt idx="115">
                  <c:v>45348</c:v>
                </c:pt>
                <c:pt idx="116">
                  <c:v>45347</c:v>
                </c:pt>
                <c:pt idx="117">
                  <c:v>45346</c:v>
                </c:pt>
                <c:pt idx="118">
                  <c:v>45345</c:v>
                </c:pt>
                <c:pt idx="119">
                  <c:v>45344</c:v>
                </c:pt>
                <c:pt idx="120">
                  <c:v>45343</c:v>
                </c:pt>
                <c:pt idx="121">
                  <c:v>45342</c:v>
                </c:pt>
                <c:pt idx="122">
                  <c:v>45341</c:v>
                </c:pt>
                <c:pt idx="123">
                  <c:v>45340</c:v>
                </c:pt>
                <c:pt idx="124">
                  <c:v>45339</c:v>
                </c:pt>
                <c:pt idx="125">
                  <c:v>45338</c:v>
                </c:pt>
                <c:pt idx="126">
                  <c:v>45337</c:v>
                </c:pt>
                <c:pt idx="127">
                  <c:v>45336</c:v>
                </c:pt>
                <c:pt idx="128">
                  <c:v>45335</c:v>
                </c:pt>
                <c:pt idx="129">
                  <c:v>45334</c:v>
                </c:pt>
                <c:pt idx="130">
                  <c:v>45333</c:v>
                </c:pt>
                <c:pt idx="131">
                  <c:v>45332</c:v>
                </c:pt>
                <c:pt idx="132">
                  <c:v>45331</c:v>
                </c:pt>
                <c:pt idx="133">
                  <c:v>45330</c:v>
                </c:pt>
                <c:pt idx="134">
                  <c:v>45329</c:v>
                </c:pt>
                <c:pt idx="135">
                  <c:v>45328</c:v>
                </c:pt>
                <c:pt idx="136">
                  <c:v>45327</c:v>
                </c:pt>
                <c:pt idx="137">
                  <c:v>45326</c:v>
                </c:pt>
                <c:pt idx="138">
                  <c:v>45325</c:v>
                </c:pt>
                <c:pt idx="139">
                  <c:v>45324</c:v>
                </c:pt>
                <c:pt idx="140">
                  <c:v>45323</c:v>
                </c:pt>
                <c:pt idx="141">
                  <c:v>45322</c:v>
                </c:pt>
                <c:pt idx="142">
                  <c:v>45321</c:v>
                </c:pt>
                <c:pt idx="143">
                  <c:v>45320</c:v>
                </c:pt>
                <c:pt idx="144">
                  <c:v>45319</c:v>
                </c:pt>
                <c:pt idx="145">
                  <c:v>45318</c:v>
                </c:pt>
                <c:pt idx="146">
                  <c:v>45317</c:v>
                </c:pt>
                <c:pt idx="147">
                  <c:v>45316</c:v>
                </c:pt>
                <c:pt idx="148">
                  <c:v>45315</c:v>
                </c:pt>
                <c:pt idx="149">
                  <c:v>45314</c:v>
                </c:pt>
                <c:pt idx="150">
                  <c:v>45313</c:v>
                </c:pt>
                <c:pt idx="151">
                  <c:v>45312</c:v>
                </c:pt>
                <c:pt idx="152">
                  <c:v>45311</c:v>
                </c:pt>
                <c:pt idx="153">
                  <c:v>45310</c:v>
                </c:pt>
                <c:pt idx="154">
                  <c:v>45309</c:v>
                </c:pt>
                <c:pt idx="155">
                  <c:v>45308</c:v>
                </c:pt>
                <c:pt idx="156">
                  <c:v>45307</c:v>
                </c:pt>
                <c:pt idx="157">
                  <c:v>45306</c:v>
                </c:pt>
                <c:pt idx="158">
                  <c:v>45305</c:v>
                </c:pt>
                <c:pt idx="159">
                  <c:v>45304</c:v>
                </c:pt>
                <c:pt idx="160">
                  <c:v>45303</c:v>
                </c:pt>
                <c:pt idx="161">
                  <c:v>45302</c:v>
                </c:pt>
                <c:pt idx="162">
                  <c:v>45301</c:v>
                </c:pt>
                <c:pt idx="163">
                  <c:v>45300</c:v>
                </c:pt>
                <c:pt idx="164">
                  <c:v>45299</c:v>
                </c:pt>
                <c:pt idx="165">
                  <c:v>45298</c:v>
                </c:pt>
                <c:pt idx="166">
                  <c:v>45297</c:v>
                </c:pt>
                <c:pt idx="167">
                  <c:v>45296</c:v>
                </c:pt>
                <c:pt idx="168">
                  <c:v>45295</c:v>
                </c:pt>
                <c:pt idx="169">
                  <c:v>45294</c:v>
                </c:pt>
                <c:pt idx="170">
                  <c:v>45293</c:v>
                </c:pt>
                <c:pt idx="171">
                  <c:v>45292</c:v>
                </c:pt>
                <c:pt idx="172">
                  <c:v>45291</c:v>
                </c:pt>
                <c:pt idx="173">
                  <c:v>45290</c:v>
                </c:pt>
                <c:pt idx="174">
                  <c:v>45289</c:v>
                </c:pt>
                <c:pt idx="175">
                  <c:v>45288</c:v>
                </c:pt>
                <c:pt idx="176">
                  <c:v>45287</c:v>
                </c:pt>
                <c:pt idx="177">
                  <c:v>45286</c:v>
                </c:pt>
                <c:pt idx="178">
                  <c:v>45285</c:v>
                </c:pt>
                <c:pt idx="179">
                  <c:v>45284</c:v>
                </c:pt>
                <c:pt idx="180">
                  <c:v>45283</c:v>
                </c:pt>
                <c:pt idx="181">
                  <c:v>45282</c:v>
                </c:pt>
                <c:pt idx="182">
                  <c:v>45281</c:v>
                </c:pt>
                <c:pt idx="183">
                  <c:v>45280</c:v>
                </c:pt>
                <c:pt idx="184">
                  <c:v>45279</c:v>
                </c:pt>
                <c:pt idx="185">
                  <c:v>45278</c:v>
                </c:pt>
                <c:pt idx="186">
                  <c:v>45277</c:v>
                </c:pt>
                <c:pt idx="187">
                  <c:v>45276</c:v>
                </c:pt>
                <c:pt idx="188">
                  <c:v>45275</c:v>
                </c:pt>
                <c:pt idx="189">
                  <c:v>45274</c:v>
                </c:pt>
                <c:pt idx="190">
                  <c:v>45273</c:v>
                </c:pt>
                <c:pt idx="191">
                  <c:v>45272</c:v>
                </c:pt>
                <c:pt idx="192">
                  <c:v>45271</c:v>
                </c:pt>
                <c:pt idx="193">
                  <c:v>45270</c:v>
                </c:pt>
                <c:pt idx="194">
                  <c:v>45269</c:v>
                </c:pt>
                <c:pt idx="195">
                  <c:v>45268</c:v>
                </c:pt>
                <c:pt idx="196">
                  <c:v>45267</c:v>
                </c:pt>
                <c:pt idx="197">
                  <c:v>45266</c:v>
                </c:pt>
                <c:pt idx="198">
                  <c:v>45265</c:v>
                </c:pt>
                <c:pt idx="199">
                  <c:v>45264</c:v>
                </c:pt>
                <c:pt idx="200">
                  <c:v>45263</c:v>
                </c:pt>
                <c:pt idx="201">
                  <c:v>45262</c:v>
                </c:pt>
                <c:pt idx="202">
                  <c:v>45261</c:v>
                </c:pt>
                <c:pt idx="203">
                  <c:v>45260</c:v>
                </c:pt>
                <c:pt idx="204">
                  <c:v>45259</c:v>
                </c:pt>
                <c:pt idx="205">
                  <c:v>45258</c:v>
                </c:pt>
                <c:pt idx="206">
                  <c:v>45257</c:v>
                </c:pt>
                <c:pt idx="207">
                  <c:v>45256</c:v>
                </c:pt>
                <c:pt idx="208">
                  <c:v>45255</c:v>
                </c:pt>
                <c:pt idx="209">
                  <c:v>45254</c:v>
                </c:pt>
                <c:pt idx="210">
                  <c:v>45253</c:v>
                </c:pt>
                <c:pt idx="211">
                  <c:v>45252</c:v>
                </c:pt>
                <c:pt idx="212">
                  <c:v>45251</c:v>
                </c:pt>
                <c:pt idx="213">
                  <c:v>45250</c:v>
                </c:pt>
                <c:pt idx="214">
                  <c:v>45249</c:v>
                </c:pt>
                <c:pt idx="215">
                  <c:v>45248</c:v>
                </c:pt>
                <c:pt idx="216">
                  <c:v>45247</c:v>
                </c:pt>
                <c:pt idx="217">
                  <c:v>45246</c:v>
                </c:pt>
                <c:pt idx="218">
                  <c:v>45245</c:v>
                </c:pt>
                <c:pt idx="219">
                  <c:v>45244</c:v>
                </c:pt>
                <c:pt idx="220">
                  <c:v>45243</c:v>
                </c:pt>
                <c:pt idx="221">
                  <c:v>45242</c:v>
                </c:pt>
                <c:pt idx="222">
                  <c:v>45241</c:v>
                </c:pt>
                <c:pt idx="223">
                  <c:v>45240</c:v>
                </c:pt>
                <c:pt idx="224">
                  <c:v>45239</c:v>
                </c:pt>
                <c:pt idx="225">
                  <c:v>45238</c:v>
                </c:pt>
                <c:pt idx="226">
                  <c:v>45237</c:v>
                </c:pt>
                <c:pt idx="227">
                  <c:v>45236</c:v>
                </c:pt>
                <c:pt idx="228">
                  <c:v>45235</c:v>
                </c:pt>
                <c:pt idx="229">
                  <c:v>45234</c:v>
                </c:pt>
                <c:pt idx="230">
                  <c:v>45233</c:v>
                </c:pt>
                <c:pt idx="231">
                  <c:v>45232</c:v>
                </c:pt>
                <c:pt idx="232">
                  <c:v>45231</c:v>
                </c:pt>
                <c:pt idx="233">
                  <c:v>45230</c:v>
                </c:pt>
                <c:pt idx="234">
                  <c:v>45229</c:v>
                </c:pt>
                <c:pt idx="235">
                  <c:v>45228</c:v>
                </c:pt>
                <c:pt idx="236">
                  <c:v>45227</c:v>
                </c:pt>
                <c:pt idx="237">
                  <c:v>45226</c:v>
                </c:pt>
                <c:pt idx="238">
                  <c:v>45225</c:v>
                </c:pt>
                <c:pt idx="239">
                  <c:v>45224</c:v>
                </c:pt>
                <c:pt idx="240">
                  <c:v>45223</c:v>
                </c:pt>
                <c:pt idx="241">
                  <c:v>45222</c:v>
                </c:pt>
                <c:pt idx="242">
                  <c:v>45221</c:v>
                </c:pt>
                <c:pt idx="243">
                  <c:v>45220</c:v>
                </c:pt>
                <c:pt idx="244">
                  <c:v>45219</c:v>
                </c:pt>
                <c:pt idx="245">
                  <c:v>45218</c:v>
                </c:pt>
                <c:pt idx="246">
                  <c:v>45217</c:v>
                </c:pt>
                <c:pt idx="247">
                  <c:v>45216</c:v>
                </c:pt>
                <c:pt idx="248">
                  <c:v>45215</c:v>
                </c:pt>
                <c:pt idx="249">
                  <c:v>45214</c:v>
                </c:pt>
                <c:pt idx="250">
                  <c:v>45213</c:v>
                </c:pt>
                <c:pt idx="251">
                  <c:v>45212</c:v>
                </c:pt>
                <c:pt idx="252">
                  <c:v>45211</c:v>
                </c:pt>
                <c:pt idx="253">
                  <c:v>45210</c:v>
                </c:pt>
                <c:pt idx="254">
                  <c:v>45209</c:v>
                </c:pt>
                <c:pt idx="255">
                  <c:v>45208</c:v>
                </c:pt>
                <c:pt idx="256">
                  <c:v>45207</c:v>
                </c:pt>
                <c:pt idx="257">
                  <c:v>45206</c:v>
                </c:pt>
                <c:pt idx="258">
                  <c:v>45205</c:v>
                </c:pt>
                <c:pt idx="259">
                  <c:v>45204</c:v>
                </c:pt>
                <c:pt idx="260">
                  <c:v>45203</c:v>
                </c:pt>
                <c:pt idx="261">
                  <c:v>45202</c:v>
                </c:pt>
                <c:pt idx="262">
                  <c:v>45201</c:v>
                </c:pt>
                <c:pt idx="263">
                  <c:v>45200</c:v>
                </c:pt>
                <c:pt idx="264">
                  <c:v>45199</c:v>
                </c:pt>
                <c:pt idx="265">
                  <c:v>45198</c:v>
                </c:pt>
                <c:pt idx="266">
                  <c:v>45197</c:v>
                </c:pt>
                <c:pt idx="267">
                  <c:v>45196</c:v>
                </c:pt>
                <c:pt idx="268">
                  <c:v>45195</c:v>
                </c:pt>
                <c:pt idx="269">
                  <c:v>45194</c:v>
                </c:pt>
                <c:pt idx="270">
                  <c:v>45193</c:v>
                </c:pt>
                <c:pt idx="271">
                  <c:v>45192</c:v>
                </c:pt>
                <c:pt idx="272">
                  <c:v>45191</c:v>
                </c:pt>
                <c:pt idx="273">
                  <c:v>45190</c:v>
                </c:pt>
                <c:pt idx="274">
                  <c:v>45189</c:v>
                </c:pt>
                <c:pt idx="275">
                  <c:v>45188</c:v>
                </c:pt>
                <c:pt idx="276">
                  <c:v>45187</c:v>
                </c:pt>
                <c:pt idx="277">
                  <c:v>45186</c:v>
                </c:pt>
                <c:pt idx="278">
                  <c:v>45185</c:v>
                </c:pt>
                <c:pt idx="279">
                  <c:v>45184</c:v>
                </c:pt>
                <c:pt idx="280">
                  <c:v>45183</c:v>
                </c:pt>
                <c:pt idx="281">
                  <c:v>45182</c:v>
                </c:pt>
                <c:pt idx="282">
                  <c:v>45181</c:v>
                </c:pt>
                <c:pt idx="283">
                  <c:v>45180</c:v>
                </c:pt>
                <c:pt idx="284">
                  <c:v>45179</c:v>
                </c:pt>
                <c:pt idx="285">
                  <c:v>45178</c:v>
                </c:pt>
                <c:pt idx="286">
                  <c:v>45177</c:v>
                </c:pt>
                <c:pt idx="287">
                  <c:v>45176</c:v>
                </c:pt>
                <c:pt idx="288">
                  <c:v>45175</c:v>
                </c:pt>
                <c:pt idx="289">
                  <c:v>45174</c:v>
                </c:pt>
                <c:pt idx="290">
                  <c:v>45173</c:v>
                </c:pt>
                <c:pt idx="291">
                  <c:v>45172</c:v>
                </c:pt>
                <c:pt idx="292">
                  <c:v>45171</c:v>
                </c:pt>
                <c:pt idx="293">
                  <c:v>45170</c:v>
                </c:pt>
                <c:pt idx="294">
                  <c:v>45169</c:v>
                </c:pt>
                <c:pt idx="295">
                  <c:v>45168</c:v>
                </c:pt>
                <c:pt idx="296">
                  <c:v>45167</c:v>
                </c:pt>
                <c:pt idx="297">
                  <c:v>45166</c:v>
                </c:pt>
                <c:pt idx="298">
                  <c:v>45165</c:v>
                </c:pt>
                <c:pt idx="299">
                  <c:v>45164</c:v>
                </c:pt>
                <c:pt idx="300">
                  <c:v>45163</c:v>
                </c:pt>
                <c:pt idx="301">
                  <c:v>45162</c:v>
                </c:pt>
                <c:pt idx="302">
                  <c:v>45161</c:v>
                </c:pt>
                <c:pt idx="303">
                  <c:v>45160</c:v>
                </c:pt>
                <c:pt idx="304">
                  <c:v>45159</c:v>
                </c:pt>
                <c:pt idx="305">
                  <c:v>45158</c:v>
                </c:pt>
                <c:pt idx="306">
                  <c:v>45157</c:v>
                </c:pt>
                <c:pt idx="307">
                  <c:v>45156</c:v>
                </c:pt>
                <c:pt idx="308">
                  <c:v>45155</c:v>
                </c:pt>
                <c:pt idx="309">
                  <c:v>45154</c:v>
                </c:pt>
                <c:pt idx="310">
                  <c:v>45153</c:v>
                </c:pt>
                <c:pt idx="311">
                  <c:v>45152</c:v>
                </c:pt>
                <c:pt idx="312">
                  <c:v>45151</c:v>
                </c:pt>
                <c:pt idx="313">
                  <c:v>45150</c:v>
                </c:pt>
                <c:pt idx="314">
                  <c:v>45149</c:v>
                </c:pt>
                <c:pt idx="315">
                  <c:v>45148</c:v>
                </c:pt>
                <c:pt idx="316">
                  <c:v>45147</c:v>
                </c:pt>
                <c:pt idx="317">
                  <c:v>45146</c:v>
                </c:pt>
                <c:pt idx="318">
                  <c:v>45145</c:v>
                </c:pt>
                <c:pt idx="319">
                  <c:v>45144</c:v>
                </c:pt>
                <c:pt idx="320">
                  <c:v>45143</c:v>
                </c:pt>
                <c:pt idx="321">
                  <c:v>45142</c:v>
                </c:pt>
                <c:pt idx="322">
                  <c:v>45141</c:v>
                </c:pt>
                <c:pt idx="323">
                  <c:v>45140</c:v>
                </c:pt>
                <c:pt idx="324">
                  <c:v>45139</c:v>
                </c:pt>
                <c:pt idx="325">
                  <c:v>45138</c:v>
                </c:pt>
                <c:pt idx="326">
                  <c:v>45137</c:v>
                </c:pt>
                <c:pt idx="327">
                  <c:v>45136</c:v>
                </c:pt>
                <c:pt idx="328">
                  <c:v>45135</c:v>
                </c:pt>
                <c:pt idx="329">
                  <c:v>45134</c:v>
                </c:pt>
                <c:pt idx="330">
                  <c:v>45133</c:v>
                </c:pt>
                <c:pt idx="331">
                  <c:v>45132</c:v>
                </c:pt>
                <c:pt idx="332">
                  <c:v>45131</c:v>
                </c:pt>
                <c:pt idx="333">
                  <c:v>45130</c:v>
                </c:pt>
                <c:pt idx="334">
                  <c:v>45129</c:v>
                </c:pt>
                <c:pt idx="335">
                  <c:v>45128</c:v>
                </c:pt>
                <c:pt idx="336">
                  <c:v>45127</c:v>
                </c:pt>
                <c:pt idx="337">
                  <c:v>45126</c:v>
                </c:pt>
                <c:pt idx="338">
                  <c:v>45125</c:v>
                </c:pt>
                <c:pt idx="339">
                  <c:v>45124</c:v>
                </c:pt>
                <c:pt idx="340">
                  <c:v>45123</c:v>
                </c:pt>
                <c:pt idx="341">
                  <c:v>45122</c:v>
                </c:pt>
                <c:pt idx="342">
                  <c:v>45121</c:v>
                </c:pt>
                <c:pt idx="343">
                  <c:v>45120</c:v>
                </c:pt>
                <c:pt idx="344">
                  <c:v>45119</c:v>
                </c:pt>
                <c:pt idx="345">
                  <c:v>45118</c:v>
                </c:pt>
                <c:pt idx="346">
                  <c:v>45117</c:v>
                </c:pt>
                <c:pt idx="347">
                  <c:v>45116</c:v>
                </c:pt>
                <c:pt idx="348">
                  <c:v>45115</c:v>
                </c:pt>
                <c:pt idx="349">
                  <c:v>45114</c:v>
                </c:pt>
                <c:pt idx="350">
                  <c:v>45113</c:v>
                </c:pt>
                <c:pt idx="351">
                  <c:v>45112</c:v>
                </c:pt>
                <c:pt idx="352">
                  <c:v>45111</c:v>
                </c:pt>
                <c:pt idx="353">
                  <c:v>45110</c:v>
                </c:pt>
                <c:pt idx="354">
                  <c:v>45109</c:v>
                </c:pt>
                <c:pt idx="355">
                  <c:v>45108</c:v>
                </c:pt>
                <c:pt idx="356">
                  <c:v>45107</c:v>
                </c:pt>
                <c:pt idx="357">
                  <c:v>45106</c:v>
                </c:pt>
                <c:pt idx="358">
                  <c:v>45105</c:v>
                </c:pt>
                <c:pt idx="359">
                  <c:v>45104</c:v>
                </c:pt>
                <c:pt idx="360">
                  <c:v>45103</c:v>
                </c:pt>
                <c:pt idx="361">
                  <c:v>45102</c:v>
                </c:pt>
                <c:pt idx="362">
                  <c:v>45101</c:v>
                </c:pt>
                <c:pt idx="363">
                  <c:v>45100</c:v>
                </c:pt>
                <c:pt idx="364">
                  <c:v>45099</c:v>
                </c:pt>
                <c:pt idx="365">
                  <c:v>45098</c:v>
                </c:pt>
                <c:pt idx="366">
                  <c:v>45097</c:v>
                </c:pt>
                <c:pt idx="367">
                  <c:v>45096</c:v>
                </c:pt>
                <c:pt idx="368">
                  <c:v>45095</c:v>
                </c:pt>
                <c:pt idx="369">
                  <c:v>45094</c:v>
                </c:pt>
                <c:pt idx="370">
                  <c:v>45093</c:v>
                </c:pt>
                <c:pt idx="371">
                  <c:v>45092</c:v>
                </c:pt>
                <c:pt idx="372">
                  <c:v>45091</c:v>
                </c:pt>
                <c:pt idx="373">
                  <c:v>45090</c:v>
                </c:pt>
                <c:pt idx="374">
                  <c:v>45089</c:v>
                </c:pt>
                <c:pt idx="375">
                  <c:v>45088</c:v>
                </c:pt>
                <c:pt idx="376">
                  <c:v>45087</c:v>
                </c:pt>
                <c:pt idx="377">
                  <c:v>45086</c:v>
                </c:pt>
                <c:pt idx="378">
                  <c:v>45085</c:v>
                </c:pt>
                <c:pt idx="379">
                  <c:v>45084</c:v>
                </c:pt>
                <c:pt idx="380">
                  <c:v>45083</c:v>
                </c:pt>
                <c:pt idx="381">
                  <c:v>45082</c:v>
                </c:pt>
                <c:pt idx="382">
                  <c:v>45081</c:v>
                </c:pt>
                <c:pt idx="383">
                  <c:v>45080</c:v>
                </c:pt>
                <c:pt idx="384">
                  <c:v>45079</c:v>
                </c:pt>
                <c:pt idx="385">
                  <c:v>45078</c:v>
                </c:pt>
                <c:pt idx="386">
                  <c:v>45077</c:v>
                </c:pt>
                <c:pt idx="387">
                  <c:v>45076</c:v>
                </c:pt>
                <c:pt idx="388">
                  <c:v>45075</c:v>
                </c:pt>
                <c:pt idx="389">
                  <c:v>45074</c:v>
                </c:pt>
                <c:pt idx="390">
                  <c:v>45073</c:v>
                </c:pt>
                <c:pt idx="391">
                  <c:v>45072</c:v>
                </c:pt>
                <c:pt idx="392">
                  <c:v>45071</c:v>
                </c:pt>
                <c:pt idx="393">
                  <c:v>45070</c:v>
                </c:pt>
                <c:pt idx="394">
                  <c:v>45069</c:v>
                </c:pt>
                <c:pt idx="395">
                  <c:v>45068</c:v>
                </c:pt>
                <c:pt idx="396">
                  <c:v>45067</c:v>
                </c:pt>
                <c:pt idx="397">
                  <c:v>45066</c:v>
                </c:pt>
                <c:pt idx="398">
                  <c:v>45065</c:v>
                </c:pt>
                <c:pt idx="399">
                  <c:v>45064</c:v>
                </c:pt>
                <c:pt idx="400">
                  <c:v>45063</c:v>
                </c:pt>
                <c:pt idx="401">
                  <c:v>45062</c:v>
                </c:pt>
                <c:pt idx="402">
                  <c:v>45061</c:v>
                </c:pt>
                <c:pt idx="403">
                  <c:v>45060</c:v>
                </c:pt>
                <c:pt idx="404">
                  <c:v>45059</c:v>
                </c:pt>
                <c:pt idx="405">
                  <c:v>45058</c:v>
                </c:pt>
                <c:pt idx="406">
                  <c:v>45057</c:v>
                </c:pt>
                <c:pt idx="407">
                  <c:v>45056</c:v>
                </c:pt>
                <c:pt idx="408">
                  <c:v>45055</c:v>
                </c:pt>
                <c:pt idx="409">
                  <c:v>45054</c:v>
                </c:pt>
                <c:pt idx="410">
                  <c:v>45053</c:v>
                </c:pt>
                <c:pt idx="411">
                  <c:v>45052</c:v>
                </c:pt>
                <c:pt idx="412">
                  <c:v>45051</c:v>
                </c:pt>
                <c:pt idx="413">
                  <c:v>45050</c:v>
                </c:pt>
                <c:pt idx="414">
                  <c:v>45049</c:v>
                </c:pt>
                <c:pt idx="415">
                  <c:v>45048</c:v>
                </c:pt>
                <c:pt idx="416">
                  <c:v>45047</c:v>
                </c:pt>
                <c:pt idx="417">
                  <c:v>45046</c:v>
                </c:pt>
                <c:pt idx="418">
                  <c:v>45045</c:v>
                </c:pt>
                <c:pt idx="419">
                  <c:v>45044</c:v>
                </c:pt>
                <c:pt idx="420">
                  <c:v>45043</c:v>
                </c:pt>
                <c:pt idx="421">
                  <c:v>45042</c:v>
                </c:pt>
                <c:pt idx="422">
                  <c:v>45041</c:v>
                </c:pt>
                <c:pt idx="423">
                  <c:v>45040</c:v>
                </c:pt>
                <c:pt idx="424">
                  <c:v>45039</c:v>
                </c:pt>
                <c:pt idx="425">
                  <c:v>45038</c:v>
                </c:pt>
                <c:pt idx="426">
                  <c:v>45037</c:v>
                </c:pt>
                <c:pt idx="427">
                  <c:v>45036</c:v>
                </c:pt>
                <c:pt idx="428">
                  <c:v>45035</c:v>
                </c:pt>
                <c:pt idx="429">
                  <c:v>45034</c:v>
                </c:pt>
                <c:pt idx="430">
                  <c:v>45033</c:v>
                </c:pt>
                <c:pt idx="431">
                  <c:v>45032</c:v>
                </c:pt>
                <c:pt idx="432">
                  <c:v>45031</c:v>
                </c:pt>
                <c:pt idx="433">
                  <c:v>45030</c:v>
                </c:pt>
                <c:pt idx="434">
                  <c:v>45029</c:v>
                </c:pt>
                <c:pt idx="435">
                  <c:v>45028</c:v>
                </c:pt>
                <c:pt idx="436">
                  <c:v>45027</c:v>
                </c:pt>
                <c:pt idx="437">
                  <c:v>45026</c:v>
                </c:pt>
              </c:numCache>
            </c:numRef>
          </c:cat>
          <c:val>
            <c:numRef>
              <c:f>'Value &amp; Cost Basis'!$B$2:$B$439</c:f>
              <c:numCache>
                <c:formatCode>General</c:formatCode>
                <c:ptCount val="438"/>
                <c:pt idx="0">
                  <c:v>12662.10081079374</c:v>
                </c:pt>
                <c:pt idx="1">
                  <c:v>12609.947878397839</c:v>
                </c:pt>
                <c:pt idx="2">
                  <c:v>12354.801326130289</c:v>
                </c:pt>
                <c:pt idx="3">
                  <c:v>12723.79043217164</c:v>
                </c:pt>
                <c:pt idx="4">
                  <c:v>13038.40192833439</c:v>
                </c:pt>
                <c:pt idx="5">
                  <c:v>12931.462279597061</c:v>
                </c:pt>
                <c:pt idx="6">
                  <c:v>12857.054192319991</c:v>
                </c:pt>
                <c:pt idx="7">
                  <c:v>13047.70019727794</c:v>
                </c:pt>
                <c:pt idx="8">
                  <c:v>13508.486152648629</c:v>
                </c:pt>
                <c:pt idx="9">
                  <c:v>13016.437596514539</c:v>
                </c:pt>
                <c:pt idx="10">
                  <c:v>13367.13989288011</c:v>
                </c:pt>
                <c:pt idx="11">
                  <c:v>13577.73838424623</c:v>
                </c:pt>
                <c:pt idx="12">
                  <c:v>13416.837102645681</c:v>
                </c:pt>
                <c:pt idx="13">
                  <c:v>13780.173275465409</c:v>
                </c:pt>
                <c:pt idx="14">
                  <c:v>14670.90455504895</c:v>
                </c:pt>
                <c:pt idx="15">
                  <c:v>14976.642591014261</c:v>
                </c:pt>
                <c:pt idx="16">
                  <c:v>14811.59687903437</c:v>
                </c:pt>
                <c:pt idx="17">
                  <c:v>14622.69126887596</c:v>
                </c:pt>
                <c:pt idx="18">
                  <c:v>14384.57373482752</c:v>
                </c:pt>
                <c:pt idx="19">
                  <c:v>14500.151241651251</c:v>
                </c:pt>
                <c:pt idx="20">
                  <c:v>14532.13965668809</c:v>
                </c:pt>
                <c:pt idx="21">
                  <c:v>14574.575027411011</c:v>
                </c:pt>
                <c:pt idx="22">
                  <c:v>14823.457656903651</c:v>
                </c:pt>
                <c:pt idx="23">
                  <c:v>14985.63244934555</c:v>
                </c:pt>
                <c:pt idx="24">
                  <c:v>15258.62467680714</c:v>
                </c:pt>
                <c:pt idx="25">
                  <c:v>15187.259467923441</c:v>
                </c:pt>
                <c:pt idx="26">
                  <c:v>15490.784590982081</c:v>
                </c:pt>
                <c:pt idx="27">
                  <c:v>15364.71226833111</c:v>
                </c:pt>
                <c:pt idx="28">
                  <c:v>15359.760903352641</c:v>
                </c:pt>
                <c:pt idx="29">
                  <c:v>15695.313543307489</c:v>
                </c:pt>
                <c:pt idx="30">
                  <c:v>15979.55357879433</c:v>
                </c:pt>
                <c:pt idx="31">
                  <c:v>16178.62546577891</c:v>
                </c:pt>
                <c:pt idx="32">
                  <c:v>15299.519233658561</c:v>
                </c:pt>
                <c:pt idx="33">
                  <c:v>15734.60794400793</c:v>
                </c:pt>
                <c:pt idx="34">
                  <c:v>15803.820908479651</c:v>
                </c:pt>
                <c:pt idx="35">
                  <c:v>15496.588981141211</c:v>
                </c:pt>
                <c:pt idx="36">
                  <c:v>15419.15834117898</c:v>
                </c:pt>
                <c:pt idx="37">
                  <c:v>14706.43437321439</c:v>
                </c:pt>
                <c:pt idx="38">
                  <c:v>14955.95883130987</c:v>
                </c:pt>
                <c:pt idx="39">
                  <c:v>14984.53764992829</c:v>
                </c:pt>
                <c:pt idx="40">
                  <c:v>14888.9387523654</c:v>
                </c:pt>
                <c:pt idx="41">
                  <c:v>14785.124578337451</c:v>
                </c:pt>
                <c:pt idx="42">
                  <c:v>15413.780163714229</c:v>
                </c:pt>
                <c:pt idx="43">
                  <c:v>15013.44579377116</c:v>
                </c:pt>
                <c:pt idx="44">
                  <c:v>15239.104013174519</c:v>
                </c:pt>
                <c:pt idx="45">
                  <c:v>15921.79318523146</c:v>
                </c:pt>
                <c:pt idx="46">
                  <c:v>15470.09002804541</c:v>
                </c:pt>
                <c:pt idx="47">
                  <c:v>15389.54720176209</c:v>
                </c:pt>
                <c:pt idx="48">
                  <c:v>15610.77919020534</c:v>
                </c:pt>
                <c:pt idx="49">
                  <c:v>14557.239591926529</c:v>
                </c:pt>
                <c:pt idx="50">
                  <c:v>14463.247832623951</c:v>
                </c:pt>
                <c:pt idx="51">
                  <c:v>13767.601553314969</c:v>
                </c:pt>
                <c:pt idx="52">
                  <c:v>14734.087471593981</c:v>
                </c:pt>
                <c:pt idx="53">
                  <c:v>14706.677032783209</c:v>
                </c:pt>
                <c:pt idx="54">
                  <c:v>15061.88203075303</c:v>
                </c:pt>
                <c:pt idx="55">
                  <c:v>15496.15458852528</c:v>
                </c:pt>
                <c:pt idx="56">
                  <c:v>16160.041262124259</c:v>
                </c:pt>
                <c:pt idx="57">
                  <c:v>16576.907821389501</c:v>
                </c:pt>
                <c:pt idx="58">
                  <c:v>19450.477446544199</c:v>
                </c:pt>
                <c:pt idx="59">
                  <c:v>14197.83118124131</c:v>
                </c:pt>
                <c:pt idx="60">
                  <c:v>13651.20568076482</c:v>
                </c:pt>
                <c:pt idx="61">
                  <c:v>13566.557838140739</c:v>
                </c:pt>
                <c:pt idx="62">
                  <c:v>12760.85825858094</c:v>
                </c:pt>
                <c:pt idx="63">
                  <c:v>12174.560308548191</c:v>
                </c:pt>
                <c:pt idx="64">
                  <c:v>12441.53653356299</c:v>
                </c:pt>
                <c:pt idx="65">
                  <c:v>12603.069567948791</c:v>
                </c:pt>
                <c:pt idx="66">
                  <c:v>12591.433373951</c:v>
                </c:pt>
                <c:pt idx="67">
                  <c:v>13016.507162003651</c:v>
                </c:pt>
                <c:pt idx="68">
                  <c:v>12360.264909336411</c:v>
                </c:pt>
                <c:pt idx="69">
                  <c:v>13886.68416236974</c:v>
                </c:pt>
                <c:pt idx="70">
                  <c:v>15615.14354384155</c:v>
                </c:pt>
                <c:pt idx="71">
                  <c:v>15903.5310853049</c:v>
                </c:pt>
                <c:pt idx="72">
                  <c:v>15967.64412229779</c:v>
                </c:pt>
                <c:pt idx="73">
                  <c:v>16477.391104747039</c:v>
                </c:pt>
                <c:pt idx="74">
                  <c:v>15922.128083149941</c:v>
                </c:pt>
                <c:pt idx="75">
                  <c:v>15923.414353000629</c:v>
                </c:pt>
                <c:pt idx="76">
                  <c:v>15766.353115084979</c:v>
                </c:pt>
                <c:pt idx="77">
                  <c:v>15865.293281397901</c:v>
                </c:pt>
                <c:pt idx="78">
                  <c:v>15454.691850456171</c:v>
                </c:pt>
                <c:pt idx="79">
                  <c:v>15628.39592822707</c:v>
                </c:pt>
                <c:pt idx="80">
                  <c:v>16480.621473743031</c:v>
                </c:pt>
                <c:pt idx="81">
                  <c:v>17152.75965003555</c:v>
                </c:pt>
                <c:pt idx="82">
                  <c:v>16885.294168204469</c:v>
                </c:pt>
                <c:pt idx="83">
                  <c:v>17218.471402921248</c:v>
                </c:pt>
                <c:pt idx="84">
                  <c:v>17130.414550736768</c:v>
                </c:pt>
                <c:pt idx="85">
                  <c:v>16782.47822208485</c:v>
                </c:pt>
                <c:pt idx="86">
                  <c:v>17562.387656364779</c:v>
                </c:pt>
                <c:pt idx="87">
                  <c:v>17380.77704715055</c:v>
                </c:pt>
                <c:pt idx="88">
                  <c:v>16732.179677034779</c:v>
                </c:pt>
                <c:pt idx="89">
                  <c:v>16302.038591817231</c:v>
                </c:pt>
                <c:pt idx="90">
                  <c:v>16147.3063083257</c:v>
                </c:pt>
                <c:pt idx="91">
                  <c:v>16836.62087441286</c:v>
                </c:pt>
                <c:pt idx="92">
                  <c:v>16588.789790804662</c:v>
                </c:pt>
                <c:pt idx="93">
                  <c:v>15444.61691712735</c:v>
                </c:pt>
                <c:pt idx="94">
                  <c:v>17145.48051589328</c:v>
                </c:pt>
                <c:pt idx="95">
                  <c:v>17089.592187954731</c:v>
                </c:pt>
                <c:pt idx="96">
                  <c:v>16395.949765043672</c:v>
                </c:pt>
                <c:pt idx="97">
                  <c:v>17597.46511288944</c:v>
                </c:pt>
                <c:pt idx="98">
                  <c:v>18567.383130602509</c:v>
                </c:pt>
                <c:pt idx="99">
                  <c:v>19257.31695295528</c:v>
                </c:pt>
                <c:pt idx="100">
                  <c:v>19291.2571991121</c:v>
                </c:pt>
                <c:pt idx="101">
                  <c:v>19612.843270664569</c:v>
                </c:pt>
                <c:pt idx="102">
                  <c:v>17730.58766639583</c:v>
                </c:pt>
                <c:pt idx="103">
                  <c:v>18285.781809238691</c:v>
                </c:pt>
                <c:pt idx="104">
                  <c:v>18275.18309604314</c:v>
                </c:pt>
                <c:pt idx="105">
                  <c:v>18630.100979451399</c:v>
                </c:pt>
                <c:pt idx="106">
                  <c:v>17789.341222581199</c:v>
                </c:pt>
                <c:pt idx="107">
                  <c:v>16444.294929952968</c:v>
                </c:pt>
                <c:pt idx="108">
                  <c:v>17591.332205708699</c:v>
                </c:pt>
                <c:pt idx="109">
                  <c:v>16893.951771701541</c:v>
                </c:pt>
                <c:pt idx="110">
                  <c:v>17306.03140143189</c:v>
                </c:pt>
                <c:pt idx="111">
                  <c:v>16879.717475913589</c:v>
                </c:pt>
                <c:pt idx="112">
                  <c:v>16515.674111174249</c:v>
                </c:pt>
                <c:pt idx="113">
                  <c:v>16295.60891480912</c:v>
                </c:pt>
                <c:pt idx="114">
                  <c:v>16027.4065023444</c:v>
                </c:pt>
                <c:pt idx="115">
                  <c:v>15876.700055517251</c:v>
                </c:pt>
                <c:pt idx="116">
                  <c:v>15583.072359455349</c:v>
                </c:pt>
                <c:pt idx="117">
                  <c:v>15649.49181156128</c:v>
                </c:pt>
                <c:pt idx="118">
                  <c:v>13561.782471925861</c:v>
                </c:pt>
                <c:pt idx="119">
                  <c:v>14263.24546925888</c:v>
                </c:pt>
                <c:pt idx="120">
                  <c:v>13284.16035359389</c:v>
                </c:pt>
                <c:pt idx="121">
                  <c:v>13643.81172449971</c:v>
                </c:pt>
                <c:pt idx="122">
                  <c:v>13895.873277314309</c:v>
                </c:pt>
                <c:pt idx="123">
                  <c:v>12137.43328218663</c:v>
                </c:pt>
                <c:pt idx="124">
                  <c:v>11563.20843205476</c:v>
                </c:pt>
                <c:pt idx="125">
                  <c:v>11863.65126588734</c:v>
                </c:pt>
                <c:pt idx="126">
                  <c:v>11613.818656762231</c:v>
                </c:pt>
                <c:pt idx="127">
                  <c:v>11371.637394588261</c:v>
                </c:pt>
                <c:pt idx="128">
                  <c:v>11193.701416061551</c:v>
                </c:pt>
                <c:pt idx="129">
                  <c:v>11120.22968209853</c:v>
                </c:pt>
                <c:pt idx="130">
                  <c:v>10926.58711992184</c:v>
                </c:pt>
                <c:pt idx="131">
                  <c:v>10961.034809831821</c:v>
                </c:pt>
                <c:pt idx="132">
                  <c:v>11025.37085685381</c:v>
                </c:pt>
                <c:pt idx="133">
                  <c:v>10651.412460070391</c:v>
                </c:pt>
                <c:pt idx="134">
                  <c:v>10636.0469685633</c:v>
                </c:pt>
                <c:pt idx="135">
                  <c:v>10478.15153579369</c:v>
                </c:pt>
                <c:pt idx="136">
                  <c:v>10034.14543548085</c:v>
                </c:pt>
                <c:pt idx="137">
                  <c:v>9938.0793912179543</c:v>
                </c:pt>
                <c:pt idx="138">
                  <c:v>10143.033866931821</c:v>
                </c:pt>
                <c:pt idx="139">
                  <c:v>10055.326241896641</c:v>
                </c:pt>
                <c:pt idx="140">
                  <c:v>10105.16881367773</c:v>
                </c:pt>
                <c:pt idx="141">
                  <c:v>10016.30727916656</c:v>
                </c:pt>
                <c:pt idx="142">
                  <c:v>10364.34015468112</c:v>
                </c:pt>
                <c:pt idx="143">
                  <c:v>10691.1761218925</c:v>
                </c:pt>
                <c:pt idx="144">
                  <c:v>10510.16920993928</c:v>
                </c:pt>
                <c:pt idx="145">
                  <c:v>10649.391593845021</c:v>
                </c:pt>
                <c:pt idx="146">
                  <c:v>10667.646585194179</c:v>
                </c:pt>
                <c:pt idx="147">
                  <c:v>10258.940591199889</c:v>
                </c:pt>
                <c:pt idx="148">
                  <c:v>10370.933511508259</c:v>
                </c:pt>
                <c:pt idx="149">
                  <c:v>10234.87300467814</c:v>
                </c:pt>
                <c:pt idx="150">
                  <c:v>10323.10400177199</c:v>
                </c:pt>
                <c:pt idx="151">
                  <c:v>10885.323843478431</c:v>
                </c:pt>
                <c:pt idx="152">
                  <c:v>10998.77938722225</c:v>
                </c:pt>
                <c:pt idx="153">
                  <c:v>10868.277651179371</c:v>
                </c:pt>
                <c:pt idx="154">
                  <c:v>10898.59473036851</c:v>
                </c:pt>
                <c:pt idx="155">
                  <c:v>11334.293298374039</c:v>
                </c:pt>
                <c:pt idx="156">
                  <c:v>11549.591594518721</c:v>
                </c:pt>
                <c:pt idx="157">
                  <c:v>11316.305705637409</c:v>
                </c:pt>
                <c:pt idx="158">
                  <c:v>11258.909096567961</c:v>
                </c:pt>
                <c:pt idx="159">
                  <c:v>11594.80878521291</c:v>
                </c:pt>
                <c:pt idx="160">
                  <c:v>11472.1837554957</c:v>
                </c:pt>
                <c:pt idx="161">
                  <c:v>12050.385866039031</c:v>
                </c:pt>
                <c:pt idx="162">
                  <c:v>12017.543972990339</c:v>
                </c:pt>
                <c:pt idx="163">
                  <c:v>11200.19391363105</c:v>
                </c:pt>
                <c:pt idx="164">
                  <c:v>11648.34864640766</c:v>
                </c:pt>
                <c:pt idx="165">
                  <c:v>10904.296130439991</c:v>
                </c:pt>
                <c:pt idx="166">
                  <c:v>11393.19303462634</c:v>
                </c:pt>
                <c:pt idx="167">
                  <c:v>11879.299762819441</c:v>
                </c:pt>
                <c:pt idx="168">
                  <c:v>12260.64380262154</c:v>
                </c:pt>
                <c:pt idx="169">
                  <c:v>12245.13383786062</c:v>
                </c:pt>
                <c:pt idx="170">
                  <c:v>13347.16501940245</c:v>
                </c:pt>
                <c:pt idx="171">
                  <c:v>12947.83007908254</c:v>
                </c:pt>
                <c:pt idx="172">
                  <c:v>12290.362082772919</c:v>
                </c:pt>
                <c:pt idx="173">
                  <c:v>12481.769861201659</c:v>
                </c:pt>
                <c:pt idx="174">
                  <c:v>12649.83927396639</c:v>
                </c:pt>
                <c:pt idx="175">
                  <c:v>12774.881816162009</c:v>
                </c:pt>
                <c:pt idx="176">
                  <c:v>13006.60806487115</c:v>
                </c:pt>
                <c:pt idx="177">
                  <c:v>12672.522174734209</c:v>
                </c:pt>
                <c:pt idx="178">
                  <c:v>13142.746239323251</c:v>
                </c:pt>
                <c:pt idx="179">
                  <c:v>12657.45403680088</c:v>
                </c:pt>
                <c:pt idx="180">
                  <c:v>12815.150111431731</c:v>
                </c:pt>
                <c:pt idx="181">
                  <c:v>12825.28771257796</c:v>
                </c:pt>
                <c:pt idx="182">
                  <c:v>12822.636072947271</c:v>
                </c:pt>
                <c:pt idx="183">
                  <c:v>12433.37057334973</c:v>
                </c:pt>
                <c:pt idx="184">
                  <c:v>11858.97661647687</c:v>
                </c:pt>
                <c:pt idx="185">
                  <c:v>11760.411637300151</c:v>
                </c:pt>
                <c:pt idx="186">
                  <c:v>11663.423132235421</c:v>
                </c:pt>
                <c:pt idx="187">
                  <c:v>11861.11292038148</c:v>
                </c:pt>
                <c:pt idx="188">
                  <c:v>11835.709963896839</c:v>
                </c:pt>
                <c:pt idx="189">
                  <c:v>12282.92479743255</c:v>
                </c:pt>
                <c:pt idx="190">
                  <c:v>11683.926183295889</c:v>
                </c:pt>
                <c:pt idx="191">
                  <c:v>11508.474862555389</c:v>
                </c:pt>
                <c:pt idx="192">
                  <c:v>11142.806863884371</c:v>
                </c:pt>
                <c:pt idx="193">
                  <c:v>11836.837317052359</c:v>
                </c:pt>
                <c:pt idx="194">
                  <c:v>11764.85487427043</c:v>
                </c:pt>
                <c:pt idx="195">
                  <c:v>11876.13907076065</c:v>
                </c:pt>
                <c:pt idx="196">
                  <c:v>11198.50020851601</c:v>
                </c:pt>
                <c:pt idx="197">
                  <c:v>11140.41804568555</c:v>
                </c:pt>
                <c:pt idx="198">
                  <c:v>10738.02817676457</c:v>
                </c:pt>
                <c:pt idx="199">
                  <c:v>10604.88062856559</c:v>
                </c:pt>
                <c:pt idx="200">
                  <c:v>10453.732481992811</c:v>
                </c:pt>
                <c:pt idx="201">
                  <c:v>10446.18299241199</c:v>
                </c:pt>
                <c:pt idx="202">
                  <c:v>10249.65975068158</c:v>
                </c:pt>
                <c:pt idx="203">
                  <c:v>10136.19096233995</c:v>
                </c:pt>
                <c:pt idx="204">
                  <c:v>10154.976982975781</c:v>
                </c:pt>
                <c:pt idx="205">
                  <c:v>10252.933484462121</c:v>
                </c:pt>
                <c:pt idx="206">
                  <c:v>10240.342007749499</c:v>
                </c:pt>
                <c:pt idx="207">
                  <c:v>10456.61645257977</c:v>
                </c:pt>
                <c:pt idx="208">
                  <c:v>10563.93995438009</c:v>
                </c:pt>
                <c:pt idx="209">
                  <c:v>10453.935564153269</c:v>
                </c:pt>
                <c:pt idx="210">
                  <c:v>10370.558405331451</c:v>
                </c:pt>
                <c:pt idx="211">
                  <c:v>10377.209684921751</c:v>
                </c:pt>
                <c:pt idx="212">
                  <c:v>9800.3433959968752</c:v>
                </c:pt>
                <c:pt idx="213">
                  <c:v>10666.69194580202</c:v>
                </c:pt>
                <c:pt idx="214">
                  <c:v>10519.64265596577</c:v>
                </c:pt>
                <c:pt idx="215">
                  <c:v>10299.01993628986</c:v>
                </c:pt>
                <c:pt idx="216">
                  <c:v>10480.65410897804</c:v>
                </c:pt>
                <c:pt idx="217">
                  <c:v>10244.094157626179</c:v>
                </c:pt>
                <c:pt idx="218">
                  <c:v>10657.063583724859</c:v>
                </c:pt>
                <c:pt idx="219">
                  <c:v>10214.06939839362</c:v>
                </c:pt>
                <c:pt idx="220">
                  <c:v>10621.61662867511</c:v>
                </c:pt>
                <c:pt idx="221">
                  <c:v>10791.683633547171</c:v>
                </c:pt>
                <c:pt idx="222">
                  <c:v>10776.169425909209</c:v>
                </c:pt>
                <c:pt idx="223">
                  <c:v>10826.566100976541</c:v>
                </c:pt>
                <c:pt idx="224">
                  <c:v>10641.241772928541</c:v>
                </c:pt>
                <c:pt idx="225">
                  <c:v>10886.523136665401</c:v>
                </c:pt>
                <c:pt idx="226">
                  <c:v>10613.16634201649</c:v>
                </c:pt>
                <c:pt idx="227">
                  <c:v>10960.99645953356</c:v>
                </c:pt>
                <c:pt idx="228">
                  <c:v>10252.794616110439</c:v>
                </c:pt>
                <c:pt idx="229">
                  <c:v>9858.5995637323358</c:v>
                </c:pt>
                <c:pt idx="230">
                  <c:v>9758.7423148428134</c:v>
                </c:pt>
                <c:pt idx="231">
                  <c:v>9758.3019405593805</c:v>
                </c:pt>
                <c:pt idx="232">
                  <c:v>9634.0383977521378</c:v>
                </c:pt>
                <c:pt idx="233">
                  <c:v>9465.7439791246397</c:v>
                </c:pt>
                <c:pt idx="234">
                  <c:v>9378.9117674783811</c:v>
                </c:pt>
                <c:pt idx="235">
                  <c:v>9083.3971108411297</c:v>
                </c:pt>
                <c:pt idx="236">
                  <c:v>8938.8474584105988</c:v>
                </c:pt>
                <c:pt idx="237">
                  <c:v>8869.7413743746183</c:v>
                </c:pt>
                <c:pt idx="238">
                  <c:v>9099.2806005458187</c:v>
                </c:pt>
                <c:pt idx="239">
                  <c:v>9029.5615544221691</c:v>
                </c:pt>
                <c:pt idx="240">
                  <c:v>9007.4570817409185</c:v>
                </c:pt>
                <c:pt idx="241">
                  <c:v>8926.9152057755236</c:v>
                </c:pt>
                <c:pt idx="242">
                  <c:v>8589.3607743606626</c:v>
                </c:pt>
                <c:pt idx="243">
                  <c:v>8491.0099231596887</c:v>
                </c:pt>
                <c:pt idx="244">
                  <c:v>8314.1137890381833</c:v>
                </c:pt>
                <c:pt idx="245">
                  <c:v>8212.5659704171721</c:v>
                </c:pt>
                <c:pt idx="246">
                  <c:v>8065.5234772560198</c:v>
                </c:pt>
                <c:pt idx="247">
                  <c:v>8042.9933527495268</c:v>
                </c:pt>
                <c:pt idx="248">
                  <c:v>8162.4918353675384</c:v>
                </c:pt>
                <c:pt idx="249">
                  <c:v>8008.8100985180681</c:v>
                </c:pt>
                <c:pt idx="250">
                  <c:v>8003.7048014559041</c:v>
                </c:pt>
                <c:pt idx="251">
                  <c:v>7977.0830805758123</c:v>
                </c:pt>
                <c:pt idx="252">
                  <c:v>7869.3672095141374</c:v>
                </c:pt>
                <c:pt idx="253">
                  <c:v>8004.4115915315324</c:v>
                </c:pt>
                <c:pt idx="254">
                  <c:v>8104.1763099658492</c:v>
                </c:pt>
                <c:pt idx="255">
                  <c:v>8118.6589940664308</c:v>
                </c:pt>
                <c:pt idx="256">
                  <c:v>8376.1857224494979</c:v>
                </c:pt>
                <c:pt idx="257">
                  <c:v>8426.5909648566558</c:v>
                </c:pt>
                <c:pt idx="258">
                  <c:v>8481.3141958619181</c:v>
                </c:pt>
                <c:pt idx="259">
                  <c:v>8425.9616981367872</c:v>
                </c:pt>
                <c:pt idx="260">
                  <c:v>8568.7188784892223</c:v>
                </c:pt>
                <c:pt idx="261">
                  <c:v>8650.2666680188177</c:v>
                </c:pt>
                <c:pt idx="262">
                  <c:v>8491.2583267891405</c:v>
                </c:pt>
                <c:pt idx="263">
                  <c:v>8648.3565462640472</c:v>
                </c:pt>
                <c:pt idx="264">
                  <c:v>8492.273675454082</c:v>
                </c:pt>
                <c:pt idx="265">
                  <c:v>8522.4216418009473</c:v>
                </c:pt>
                <c:pt idx="266">
                  <c:v>8448.9560696732915</c:v>
                </c:pt>
                <c:pt idx="267">
                  <c:v>8324.8618331078123</c:v>
                </c:pt>
                <c:pt idx="268">
                  <c:v>8342.0893013376717</c:v>
                </c:pt>
                <c:pt idx="269">
                  <c:v>8464.8736812821735</c:v>
                </c:pt>
                <c:pt idx="270">
                  <c:v>8382.0572599026436</c:v>
                </c:pt>
                <c:pt idx="271">
                  <c:v>8595.6206728184043</c:v>
                </c:pt>
                <c:pt idx="272">
                  <c:v>8516.180888644285</c:v>
                </c:pt>
                <c:pt idx="273">
                  <c:v>8468.4320929953792</c:v>
                </c:pt>
                <c:pt idx="274">
                  <c:v>8608.7763099441836</c:v>
                </c:pt>
                <c:pt idx="275">
                  <c:v>8577.6484919235791</c:v>
                </c:pt>
                <c:pt idx="276">
                  <c:v>8402.2141419593681</c:v>
                </c:pt>
                <c:pt idx="277">
                  <c:v>8284.6486405886753</c:v>
                </c:pt>
                <c:pt idx="278">
                  <c:v>8506.4244249392359</c:v>
                </c:pt>
                <c:pt idx="279">
                  <c:v>8541.5816202143542</c:v>
                </c:pt>
                <c:pt idx="280">
                  <c:v>8403.1013799248885</c:v>
                </c:pt>
                <c:pt idx="281">
                  <c:v>8212.687749576</c:v>
                </c:pt>
                <c:pt idx="282">
                  <c:v>7972.7694829444426</c:v>
                </c:pt>
                <c:pt idx="283">
                  <c:v>7861.9185296123596</c:v>
                </c:pt>
                <c:pt idx="284">
                  <c:v>8181.962855730686</c:v>
                </c:pt>
                <c:pt idx="285">
                  <c:v>8327.3284263581136</c:v>
                </c:pt>
                <c:pt idx="286">
                  <c:v>8407.548904174886</c:v>
                </c:pt>
                <c:pt idx="287">
                  <c:v>8408.4211739302245</c:v>
                </c:pt>
                <c:pt idx="288">
                  <c:v>8337.3450464198086</c:v>
                </c:pt>
                <c:pt idx="289">
                  <c:v>8374.2577399467846</c:v>
                </c:pt>
                <c:pt idx="290">
                  <c:v>8326.0139558691208</c:v>
                </c:pt>
                <c:pt idx="291">
                  <c:v>8305.1953159387085</c:v>
                </c:pt>
                <c:pt idx="292">
                  <c:v>8342.5997272485292</c:v>
                </c:pt>
                <c:pt idx="293">
                  <c:v>8354.3922592512154</c:v>
                </c:pt>
                <c:pt idx="294">
                  <c:v>8662.0432460095581</c:v>
                </c:pt>
                <c:pt idx="295">
                  <c:v>8910.7767296058228</c:v>
                </c:pt>
                <c:pt idx="296">
                  <c:v>9231.1929611511077</c:v>
                </c:pt>
                <c:pt idx="297">
                  <c:v>9073.0713650416692</c:v>
                </c:pt>
                <c:pt idx="298">
                  <c:v>9240.4342236819648</c:v>
                </c:pt>
                <c:pt idx="299">
                  <c:v>9212.3657326176035</c:v>
                </c:pt>
                <c:pt idx="300">
                  <c:v>9326.2764293700548</c:v>
                </c:pt>
                <c:pt idx="301">
                  <c:v>9276.761917179967</c:v>
                </c:pt>
                <c:pt idx="302">
                  <c:v>9594.8482593820372</c:v>
                </c:pt>
                <c:pt idx="303">
                  <c:v>9278.3493998211088</c:v>
                </c:pt>
                <c:pt idx="304">
                  <c:v>9491.1415856114509</c:v>
                </c:pt>
                <c:pt idx="305">
                  <c:v>9633.7716393044866</c:v>
                </c:pt>
                <c:pt idx="306">
                  <c:v>9778.251438320096</c:v>
                </c:pt>
                <c:pt idx="307">
                  <c:v>9158.5272479019131</c:v>
                </c:pt>
                <c:pt idx="308">
                  <c:v>9034.1373808997378</c:v>
                </c:pt>
                <c:pt idx="309">
                  <c:v>10211.561992499801</c:v>
                </c:pt>
                <c:pt idx="310">
                  <c:v>10778.768347668451</c:v>
                </c:pt>
                <c:pt idx="311">
                  <c:v>10810.24958790991</c:v>
                </c:pt>
                <c:pt idx="312">
                  <c:v>10036.07217399173</c:v>
                </c:pt>
                <c:pt idx="313">
                  <c:v>9980.2845952989555</c:v>
                </c:pt>
                <c:pt idx="314">
                  <c:v>10048.34144669896</c:v>
                </c:pt>
                <c:pt idx="315">
                  <c:v>10149.43561119864</c:v>
                </c:pt>
                <c:pt idx="316">
                  <c:v>10412.63593568634</c:v>
                </c:pt>
                <c:pt idx="317">
                  <c:v>10510.37984993502</c:v>
                </c:pt>
                <c:pt idx="318">
                  <c:v>10081.055483912431</c:v>
                </c:pt>
                <c:pt idx="319">
                  <c:v>10129.17211459518</c:v>
                </c:pt>
                <c:pt idx="320">
                  <c:v>10017.074614403989</c:v>
                </c:pt>
                <c:pt idx="321">
                  <c:v>10099.53796778721</c:v>
                </c:pt>
                <c:pt idx="322">
                  <c:v>10360.71526881369</c:v>
                </c:pt>
                <c:pt idx="323">
                  <c:v>10512.195814584709</c:v>
                </c:pt>
                <c:pt idx="324">
                  <c:v>10720.284995360311</c:v>
                </c:pt>
                <c:pt idx="325">
                  <c:v>10654.33024823601</c:v>
                </c:pt>
                <c:pt idx="326">
                  <c:v>10733.58095100615</c:v>
                </c:pt>
                <c:pt idx="327">
                  <c:v>10861.49669800383</c:v>
                </c:pt>
                <c:pt idx="328">
                  <c:v>10805.16164848315</c:v>
                </c:pt>
                <c:pt idx="329">
                  <c:v>10761.958862441979</c:v>
                </c:pt>
                <c:pt idx="330">
                  <c:v>10825.31922847221</c:v>
                </c:pt>
                <c:pt idx="331">
                  <c:v>10749.31645161079</c:v>
                </c:pt>
                <c:pt idx="332">
                  <c:v>9674.2427029689297</c:v>
                </c:pt>
                <c:pt idx="333">
                  <c:v>10028.545581642969</c:v>
                </c:pt>
                <c:pt idx="334">
                  <c:v>9937.300940003528</c:v>
                </c:pt>
                <c:pt idx="335">
                  <c:v>10360.684645860951</c:v>
                </c:pt>
                <c:pt idx="336">
                  <c:v>10571.646766448401</c:v>
                </c:pt>
                <c:pt idx="337">
                  <c:v>10738.624374690149</c:v>
                </c:pt>
                <c:pt idx="338">
                  <c:v>10324.396730505099</c:v>
                </c:pt>
                <c:pt idx="339">
                  <c:v>10089.11236686464</c:v>
                </c:pt>
                <c:pt idx="340">
                  <c:v>10041.6116913892</c:v>
                </c:pt>
                <c:pt idx="341">
                  <c:v>10026.813439166959</c:v>
                </c:pt>
                <c:pt idx="342">
                  <c:v>10038.01463198471</c:v>
                </c:pt>
                <c:pt idx="343">
                  <c:v>10669.429924021781</c:v>
                </c:pt>
                <c:pt idx="344">
                  <c:v>8557.0181329960033</c:v>
                </c:pt>
                <c:pt idx="345">
                  <c:v>8587.4105508715129</c:v>
                </c:pt>
                <c:pt idx="346">
                  <c:v>8552.3155039103549</c:v>
                </c:pt>
                <c:pt idx="347">
                  <c:v>8479.7718129479308</c:v>
                </c:pt>
                <c:pt idx="348">
                  <c:v>8512.2498522802452</c:v>
                </c:pt>
                <c:pt idx="349">
                  <c:v>8491.9994271439136</c:v>
                </c:pt>
                <c:pt idx="350">
                  <c:v>8396.4470933559223</c:v>
                </c:pt>
                <c:pt idx="351">
                  <c:v>8615.9700257796721</c:v>
                </c:pt>
                <c:pt idx="352">
                  <c:v>8810.8772705159445</c:v>
                </c:pt>
                <c:pt idx="353">
                  <c:v>8929.8899329355809</c:v>
                </c:pt>
                <c:pt idx="354">
                  <c:v>8845.1011240823937</c:v>
                </c:pt>
                <c:pt idx="355">
                  <c:v>8802.3688384427278</c:v>
                </c:pt>
                <c:pt idx="356">
                  <c:v>8752.4286890626918</c:v>
                </c:pt>
                <c:pt idx="357">
                  <c:v>8489.5913659972612</c:v>
                </c:pt>
                <c:pt idx="358">
                  <c:v>8355.915094720247</c:v>
                </c:pt>
                <c:pt idx="359">
                  <c:v>8754.3367183418704</c:v>
                </c:pt>
                <c:pt idx="360">
                  <c:v>8627.6731379835564</c:v>
                </c:pt>
                <c:pt idx="361">
                  <c:v>8854.5673784002884</c:v>
                </c:pt>
                <c:pt idx="362">
                  <c:v>8768.1142221048685</c:v>
                </c:pt>
                <c:pt idx="363">
                  <c:v>8877.5022805921108</c:v>
                </c:pt>
                <c:pt idx="364">
                  <c:v>8711.1484859102857</c:v>
                </c:pt>
                <c:pt idx="365">
                  <c:v>8763.3531025526427</c:v>
                </c:pt>
                <c:pt idx="366">
                  <c:v>8430.5134296292672</c:v>
                </c:pt>
                <c:pt idx="367">
                  <c:v>8262.7329907048206</c:v>
                </c:pt>
                <c:pt idx="368">
                  <c:v>8237.4546490582106</c:v>
                </c:pt>
                <c:pt idx="369">
                  <c:v>8266.501777715479</c:v>
                </c:pt>
                <c:pt idx="370">
                  <c:v>8195.8472207131163</c:v>
                </c:pt>
                <c:pt idx="371">
                  <c:v>8072.8933613182708</c:v>
                </c:pt>
                <c:pt idx="372">
                  <c:v>8110.4190819877704</c:v>
                </c:pt>
                <c:pt idx="373">
                  <c:v>8511.0459997619218</c:v>
                </c:pt>
                <c:pt idx="374">
                  <c:v>8483.5565586892426</c:v>
                </c:pt>
                <c:pt idx="375">
                  <c:v>8442.9642357248958</c:v>
                </c:pt>
                <c:pt idx="376">
                  <c:v>8435.4862281391179</c:v>
                </c:pt>
                <c:pt idx="377">
                  <c:v>8965.6249509001918</c:v>
                </c:pt>
                <c:pt idx="378">
                  <c:v>9015.8419717770303</c:v>
                </c:pt>
                <c:pt idx="379">
                  <c:v>8955.0842326782622</c:v>
                </c:pt>
                <c:pt idx="380">
                  <c:v>9269.5046414077242</c:v>
                </c:pt>
                <c:pt idx="381">
                  <c:v>8996.9876399163186</c:v>
                </c:pt>
                <c:pt idx="382">
                  <c:v>9455.1490956731541</c:v>
                </c:pt>
                <c:pt idx="383">
                  <c:v>8386.2200408920235</c:v>
                </c:pt>
                <c:pt idx="384">
                  <c:v>8463.7175236778494</c:v>
                </c:pt>
                <c:pt idx="385">
                  <c:v>8258.5944661930262</c:v>
                </c:pt>
                <c:pt idx="386">
                  <c:v>8404.5745684799585</c:v>
                </c:pt>
                <c:pt idx="387">
                  <c:v>8526.9167850566446</c:v>
                </c:pt>
                <c:pt idx="388">
                  <c:v>8394.0659239965662</c:v>
                </c:pt>
                <c:pt idx="389">
                  <c:v>8411.227677703635</c:v>
                </c:pt>
                <c:pt idx="390">
                  <c:v>8134.2170470231704</c:v>
                </c:pt>
                <c:pt idx="391">
                  <c:v>8105.4435968347734</c:v>
                </c:pt>
                <c:pt idx="392">
                  <c:v>7928.2450697248951</c:v>
                </c:pt>
                <c:pt idx="393">
                  <c:v>7950.2262865611046</c:v>
                </c:pt>
                <c:pt idx="394">
                  <c:v>8163.8024561315542</c:v>
                </c:pt>
                <c:pt idx="395">
                  <c:v>8088.3859374488547</c:v>
                </c:pt>
                <c:pt idx="396">
                  <c:v>8035.5546325191972</c:v>
                </c:pt>
                <c:pt idx="397">
                  <c:v>8151.0380482185901</c:v>
                </c:pt>
                <c:pt idx="398">
                  <c:v>8132.5574644560911</c:v>
                </c:pt>
                <c:pt idx="399">
                  <c:v>8076.4119969432377</c:v>
                </c:pt>
                <c:pt idx="400">
                  <c:v>8108.6212301790547</c:v>
                </c:pt>
                <c:pt idx="401">
                  <c:v>8018.310479003454</c:v>
                </c:pt>
                <c:pt idx="402">
                  <c:v>7961.3662887755472</c:v>
                </c:pt>
                <c:pt idx="403">
                  <c:v>7895.001104964238</c:v>
                </c:pt>
                <c:pt idx="404">
                  <c:v>7856.2770349846851</c:v>
                </c:pt>
                <c:pt idx="405">
                  <c:v>7921.514515879494</c:v>
                </c:pt>
                <c:pt idx="406">
                  <c:v>7784.8358440995671</c:v>
                </c:pt>
                <c:pt idx="407">
                  <c:v>8046.7708859730374</c:v>
                </c:pt>
                <c:pt idx="408">
                  <c:v>8008.1845671538531</c:v>
                </c:pt>
                <c:pt idx="409">
                  <c:v>7990.438341863678</c:v>
                </c:pt>
                <c:pt idx="410">
                  <c:v>8303.5187448385132</c:v>
                </c:pt>
                <c:pt idx="411">
                  <c:v>8354.9891707469415</c:v>
                </c:pt>
                <c:pt idx="412">
                  <c:v>8628.1410246420492</c:v>
                </c:pt>
                <c:pt idx="413">
                  <c:v>8370.2120614000123</c:v>
                </c:pt>
                <c:pt idx="414">
                  <c:v>8472.110547626944</c:v>
                </c:pt>
                <c:pt idx="415">
                  <c:v>8423.1400169121043</c:v>
                </c:pt>
                <c:pt idx="416">
                  <c:v>8370.3421099703992</c:v>
                </c:pt>
                <c:pt idx="417">
                  <c:v>8680.6037904772711</c:v>
                </c:pt>
                <c:pt idx="418">
                  <c:v>8641.9999969055825</c:v>
                </c:pt>
                <c:pt idx="419">
                  <c:v>8629.9272840153826</c:v>
                </c:pt>
                <c:pt idx="420">
                  <c:v>8639.4844177479063</c:v>
                </c:pt>
                <c:pt idx="421">
                  <c:v>8479.0641642490991</c:v>
                </c:pt>
                <c:pt idx="422">
                  <c:v>8559.08992168849</c:v>
                </c:pt>
                <c:pt idx="423">
                  <c:v>8396.5931318790554</c:v>
                </c:pt>
                <c:pt idx="424">
                  <c:v>8474.79752214986</c:v>
                </c:pt>
                <c:pt idx="425">
                  <c:v>8593.0289612325341</c:v>
                </c:pt>
                <c:pt idx="426">
                  <c:v>8350.6197233377661</c:v>
                </c:pt>
                <c:pt idx="427">
                  <c:v>8755.4458449541416</c:v>
                </c:pt>
                <c:pt idx="428">
                  <c:v>8888.3417994876418</c:v>
                </c:pt>
                <c:pt idx="429">
                  <c:v>8749.915484044297</c:v>
                </c:pt>
                <c:pt idx="430">
                  <c:v>8558.9181637269176</c:v>
                </c:pt>
                <c:pt idx="431">
                  <c:v>8787.8075316299273</c:v>
                </c:pt>
                <c:pt idx="432">
                  <c:v>8725.8987985117801</c:v>
                </c:pt>
                <c:pt idx="433">
                  <c:v>8686.4290394986965</c:v>
                </c:pt>
                <c:pt idx="434">
                  <c:v>8460.6025626997161</c:v>
                </c:pt>
                <c:pt idx="435">
                  <c:v>8151.5374522034581</c:v>
                </c:pt>
                <c:pt idx="436">
                  <c:v>8197.7278953353343</c:v>
                </c:pt>
                <c:pt idx="437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47625" cap="rnd">
              <a:solidFill>
                <a:srgbClr val="FF84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'Value &amp; Cost Basis'!$A$2:$A$439</c:f>
              <c:numCache>
                <c:formatCode>m/d/yy</c:formatCode>
                <c:ptCount val="438"/>
                <c:pt idx="0">
                  <c:v>45463</c:v>
                </c:pt>
                <c:pt idx="1">
                  <c:v>45462</c:v>
                </c:pt>
                <c:pt idx="2">
                  <c:v>45461</c:v>
                </c:pt>
                <c:pt idx="3">
                  <c:v>45460</c:v>
                </c:pt>
                <c:pt idx="4">
                  <c:v>45459</c:v>
                </c:pt>
                <c:pt idx="5">
                  <c:v>45458</c:v>
                </c:pt>
                <c:pt idx="6">
                  <c:v>45457</c:v>
                </c:pt>
                <c:pt idx="7">
                  <c:v>45456</c:v>
                </c:pt>
                <c:pt idx="8">
                  <c:v>45455</c:v>
                </c:pt>
                <c:pt idx="9">
                  <c:v>45454</c:v>
                </c:pt>
                <c:pt idx="10">
                  <c:v>45453</c:v>
                </c:pt>
                <c:pt idx="11">
                  <c:v>45452</c:v>
                </c:pt>
                <c:pt idx="12">
                  <c:v>45451</c:v>
                </c:pt>
                <c:pt idx="13">
                  <c:v>45450</c:v>
                </c:pt>
                <c:pt idx="14">
                  <c:v>45449</c:v>
                </c:pt>
                <c:pt idx="15">
                  <c:v>45448</c:v>
                </c:pt>
                <c:pt idx="16">
                  <c:v>45447</c:v>
                </c:pt>
                <c:pt idx="17">
                  <c:v>45446</c:v>
                </c:pt>
                <c:pt idx="18">
                  <c:v>45445</c:v>
                </c:pt>
                <c:pt idx="19">
                  <c:v>45444</c:v>
                </c:pt>
                <c:pt idx="20">
                  <c:v>45443</c:v>
                </c:pt>
                <c:pt idx="21">
                  <c:v>45442</c:v>
                </c:pt>
                <c:pt idx="22">
                  <c:v>45441</c:v>
                </c:pt>
                <c:pt idx="23">
                  <c:v>45440</c:v>
                </c:pt>
                <c:pt idx="24">
                  <c:v>45439</c:v>
                </c:pt>
                <c:pt idx="25">
                  <c:v>45438</c:v>
                </c:pt>
                <c:pt idx="26">
                  <c:v>45437</c:v>
                </c:pt>
                <c:pt idx="27">
                  <c:v>45436</c:v>
                </c:pt>
                <c:pt idx="28">
                  <c:v>45435</c:v>
                </c:pt>
                <c:pt idx="29">
                  <c:v>45434</c:v>
                </c:pt>
                <c:pt idx="30">
                  <c:v>45433</c:v>
                </c:pt>
                <c:pt idx="31">
                  <c:v>45432</c:v>
                </c:pt>
                <c:pt idx="32">
                  <c:v>45431</c:v>
                </c:pt>
                <c:pt idx="33">
                  <c:v>45430</c:v>
                </c:pt>
                <c:pt idx="34">
                  <c:v>45429</c:v>
                </c:pt>
                <c:pt idx="35">
                  <c:v>45428</c:v>
                </c:pt>
                <c:pt idx="36">
                  <c:v>45427</c:v>
                </c:pt>
                <c:pt idx="37">
                  <c:v>45426</c:v>
                </c:pt>
                <c:pt idx="38">
                  <c:v>45425</c:v>
                </c:pt>
                <c:pt idx="39">
                  <c:v>45424</c:v>
                </c:pt>
                <c:pt idx="40">
                  <c:v>45423</c:v>
                </c:pt>
                <c:pt idx="41">
                  <c:v>45422</c:v>
                </c:pt>
                <c:pt idx="42">
                  <c:v>45421</c:v>
                </c:pt>
                <c:pt idx="43">
                  <c:v>45420</c:v>
                </c:pt>
                <c:pt idx="44">
                  <c:v>45419</c:v>
                </c:pt>
                <c:pt idx="45">
                  <c:v>45418</c:v>
                </c:pt>
                <c:pt idx="46">
                  <c:v>45417</c:v>
                </c:pt>
                <c:pt idx="47">
                  <c:v>45416</c:v>
                </c:pt>
                <c:pt idx="48">
                  <c:v>45415</c:v>
                </c:pt>
                <c:pt idx="49">
                  <c:v>45414</c:v>
                </c:pt>
                <c:pt idx="50">
                  <c:v>45413</c:v>
                </c:pt>
                <c:pt idx="51">
                  <c:v>45412</c:v>
                </c:pt>
                <c:pt idx="52">
                  <c:v>45411</c:v>
                </c:pt>
                <c:pt idx="53">
                  <c:v>45410</c:v>
                </c:pt>
                <c:pt idx="54">
                  <c:v>45409</c:v>
                </c:pt>
                <c:pt idx="55">
                  <c:v>45408</c:v>
                </c:pt>
                <c:pt idx="56">
                  <c:v>45407</c:v>
                </c:pt>
                <c:pt idx="57">
                  <c:v>45406</c:v>
                </c:pt>
                <c:pt idx="58">
                  <c:v>45405</c:v>
                </c:pt>
                <c:pt idx="59">
                  <c:v>45404</c:v>
                </c:pt>
                <c:pt idx="60">
                  <c:v>45403</c:v>
                </c:pt>
                <c:pt idx="61">
                  <c:v>45402</c:v>
                </c:pt>
                <c:pt idx="62">
                  <c:v>45401</c:v>
                </c:pt>
                <c:pt idx="63">
                  <c:v>45400</c:v>
                </c:pt>
                <c:pt idx="64">
                  <c:v>45399</c:v>
                </c:pt>
                <c:pt idx="65">
                  <c:v>45398</c:v>
                </c:pt>
                <c:pt idx="66">
                  <c:v>45397</c:v>
                </c:pt>
                <c:pt idx="67">
                  <c:v>45396</c:v>
                </c:pt>
                <c:pt idx="68">
                  <c:v>45395</c:v>
                </c:pt>
                <c:pt idx="69">
                  <c:v>45394</c:v>
                </c:pt>
                <c:pt idx="70">
                  <c:v>45393</c:v>
                </c:pt>
                <c:pt idx="71">
                  <c:v>45392</c:v>
                </c:pt>
                <c:pt idx="72">
                  <c:v>45391</c:v>
                </c:pt>
                <c:pt idx="73">
                  <c:v>45390</c:v>
                </c:pt>
                <c:pt idx="74">
                  <c:v>45389</c:v>
                </c:pt>
                <c:pt idx="75">
                  <c:v>45388</c:v>
                </c:pt>
                <c:pt idx="76">
                  <c:v>45387</c:v>
                </c:pt>
                <c:pt idx="77">
                  <c:v>45386</c:v>
                </c:pt>
                <c:pt idx="78">
                  <c:v>45385</c:v>
                </c:pt>
                <c:pt idx="79">
                  <c:v>45384</c:v>
                </c:pt>
                <c:pt idx="80">
                  <c:v>45383</c:v>
                </c:pt>
                <c:pt idx="81">
                  <c:v>45382</c:v>
                </c:pt>
                <c:pt idx="82">
                  <c:v>45381</c:v>
                </c:pt>
                <c:pt idx="83">
                  <c:v>45380</c:v>
                </c:pt>
                <c:pt idx="84">
                  <c:v>45379</c:v>
                </c:pt>
                <c:pt idx="85">
                  <c:v>45378</c:v>
                </c:pt>
                <c:pt idx="86">
                  <c:v>45377</c:v>
                </c:pt>
                <c:pt idx="87">
                  <c:v>45376</c:v>
                </c:pt>
                <c:pt idx="88">
                  <c:v>45375</c:v>
                </c:pt>
                <c:pt idx="89">
                  <c:v>45374</c:v>
                </c:pt>
                <c:pt idx="90">
                  <c:v>45373</c:v>
                </c:pt>
                <c:pt idx="91">
                  <c:v>45372</c:v>
                </c:pt>
                <c:pt idx="92">
                  <c:v>45371</c:v>
                </c:pt>
                <c:pt idx="93">
                  <c:v>45370</c:v>
                </c:pt>
                <c:pt idx="94">
                  <c:v>45369</c:v>
                </c:pt>
                <c:pt idx="95">
                  <c:v>45368</c:v>
                </c:pt>
                <c:pt idx="96">
                  <c:v>45367</c:v>
                </c:pt>
                <c:pt idx="97">
                  <c:v>45366</c:v>
                </c:pt>
                <c:pt idx="98">
                  <c:v>45365</c:v>
                </c:pt>
                <c:pt idx="99">
                  <c:v>45364</c:v>
                </c:pt>
                <c:pt idx="100">
                  <c:v>45363</c:v>
                </c:pt>
                <c:pt idx="101">
                  <c:v>45362</c:v>
                </c:pt>
                <c:pt idx="102">
                  <c:v>45361</c:v>
                </c:pt>
                <c:pt idx="103">
                  <c:v>45360</c:v>
                </c:pt>
                <c:pt idx="104">
                  <c:v>45359</c:v>
                </c:pt>
                <c:pt idx="105">
                  <c:v>45358</c:v>
                </c:pt>
                <c:pt idx="106">
                  <c:v>45357</c:v>
                </c:pt>
                <c:pt idx="107">
                  <c:v>45356</c:v>
                </c:pt>
                <c:pt idx="108">
                  <c:v>45355</c:v>
                </c:pt>
                <c:pt idx="109">
                  <c:v>45354</c:v>
                </c:pt>
                <c:pt idx="110">
                  <c:v>45353</c:v>
                </c:pt>
                <c:pt idx="111">
                  <c:v>45352</c:v>
                </c:pt>
                <c:pt idx="112">
                  <c:v>45351</c:v>
                </c:pt>
                <c:pt idx="113">
                  <c:v>45350</c:v>
                </c:pt>
                <c:pt idx="114">
                  <c:v>45349</c:v>
                </c:pt>
                <c:pt idx="115">
                  <c:v>45348</c:v>
                </c:pt>
                <c:pt idx="116">
                  <c:v>45347</c:v>
                </c:pt>
                <c:pt idx="117">
                  <c:v>45346</c:v>
                </c:pt>
                <c:pt idx="118">
                  <c:v>45345</c:v>
                </c:pt>
                <c:pt idx="119">
                  <c:v>45344</c:v>
                </c:pt>
                <c:pt idx="120">
                  <c:v>45343</c:v>
                </c:pt>
                <c:pt idx="121">
                  <c:v>45342</c:v>
                </c:pt>
                <c:pt idx="122">
                  <c:v>45341</c:v>
                </c:pt>
                <c:pt idx="123">
                  <c:v>45340</c:v>
                </c:pt>
                <c:pt idx="124">
                  <c:v>45339</c:v>
                </c:pt>
                <c:pt idx="125">
                  <c:v>45338</c:v>
                </c:pt>
                <c:pt idx="126">
                  <c:v>45337</c:v>
                </c:pt>
                <c:pt idx="127">
                  <c:v>45336</c:v>
                </c:pt>
                <c:pt idx="128">
                  <c:v>45335</c:v>
                </c:pt>
                <c:pt idx="129">
                  <c:v>45334</c:v>
                </c:pt>
                <c:pt idx="130">
                  <c:v>45333</c:v>
                </c:pt>
                <c:pt idx="131">
                  <c:v>45332</c:v>
                </c:pt>
                <c:pt idx="132">
                  <c:v>45331</c:v>
                </c:pt>
                <c:pt idx="133">
                  <c:v>45330</c:v>
                </c:pt>
                <c:pt idx="134">
                  <c:v>45329</c:v>
                </c:pt>
                <c:pt idx="135">
                  <c:v>45328</c:v>
                </c:pt>
                <c:pt idx="136">
                  <c:v>45327</c:v>
                </c:pt>
                <c:pt idx="137">
                  <c:v>45326</c:v>
                </c:pt>
                <c:pt idx="138">
                  <c:v>45325</c:v>
                </c:pt>
                <c:pt idx="139">
                  <c:v>45324</c:v>
                </c:pt>
                <c:pt idx="140">
                  <c:v>45323</c:v>
                </c:pt>
                <c:pt idx="141">
                  <c:v>45322</c:v>
                </c:pt>
                <c:pt idx="142">
                  <c:v>45321</c:v>
                </c:pt>
                <c:pt idx="143">
                  <c:v>45320</c:v>
                </c:pt>
                <c:pt idx="144">
                  <c:v>45319</c:v>
                </c:pt>
                <c:pt idx="145">
                  <c:v>45318</c:v>
                </c:pt>
                <c:pt idx="146">
                  <c:v>45317</c:v>
                </c:pt>
                <c:pt idx="147">
                  <c:v>45316</c:v>
                </c:pt>
                <c:pt idx="148">
                  <c:v>45315</c:v>
                </c:pt>
                <c:pt idx="149">
                  <c:v>45314</c:v>
                </c:pt>
                <c:pt idx="150">
                  <c:v>45313</c:v>
                </c:pt>
                <c:pt idx="151">
                  <c:v>45312</c:v>
                </c:pt>
                <c:pt idx="152">
                  <c:v>45311</c:v>
                </c:pt>
                <c:pt idx="153">
                  <c:v>45310</c:v>
                </c:pt>
                <c:pt idx="154">
                  <c:v>45309</c:v>
                </c:pt>
                <c:pt idx="155">
                  <c:v>45308</c:v>
                </c:pt>
                <c:pt idx="156">
                  <c:v>45307</c:v>
                </c:pt>
                <c:pt idx="157">
                  <c:v>45306</c:v>
                </c:pt>
                <c:pt idx="158">
                  <c:v>45305</c:v>
                </c:pt>
                <c:pt idx="159">
                  <c:v>45304</c:v>
                </c:pt>
                <c:pt idx="160">
                  <c:v>45303</c:v>
                </c:pt>
                <c:pt idx="161">
                  <c:v>45302</c:v>
                </c:pt>
                <c:pt idx="162">
                  <c:v>45301</c:v>
                </c:pt>
                <c:pt idx="163">
                  <c:v>45300</c:v>
                </c:pt>
                <c:pt idx="164">
                  <c:v>45299</c:v>
                </c:pt>
                <c:pt idx="165">
                  <c:v>45298</c:v>
                </c:pt>
                <c:pt idx="166">
                  <c:v>45297</c:v>
                </c:pt>
                <c:pt idx="167">
                  <c:v>45296</c:v>
                </c:pt>
                <c:pt idx="168">
                  <c:v>45295</c:v>
                </c:pt>
                <c:pt idx="169">
                  <c:v>45294</c:v>
                </c:pt>
                <c:pt idx="170">
                  <c:v>45293</c:v>
                </c:pt>
                <c:pt idx="171">
                  <c:v>45292</c:v>
                </c:pt>
                <c:pt idx="172">
                  <c:v>45291</c:v>
                </c:pt>
                <c:pt idx="173">
                  <c:v>45290</c:v>
                </c:pt>
                <c:pt idx="174">
                  <c:v>45289</c:v>
                </c:pt>
                <c:pt idx="175">
                  <c:v>45288</c:v>
                </c:pt>
                <c:pt idx="176">
                  <c:v>45287</c:v>
                </c:pt>
                <c:pt idx="177">
                  <c:v>45286</c:v>
                </c:pt>
                <c:pt idx="178">
                  <c:v>45285</c:v>
                </c:pt>
                <c:pt idx="179">
                  <c:v>45284</c:v>
                </c:pt>
                <c:pt idx="180">
                  <c:v>45283</c:v>
                </c:pt>
                <c:pt idx="181">
                  <c:v>45282</c:v>
                </c:pt>
                <c:pt idx="182">
                  <c:v>45281</c:v>
                </c:pt>
                <c:pt idx="183">
                  <c:v>45280</c:v>
                </c:pt>
                <c:pt idx="184">
                  <c:v>45279</c:v>
                </c:pt>
                <c:pt idx="185">
                  <c:v>45278</c:v>
                </c:pt>
                <c:pt idx="186">
                  <c:v>45277</c:v>
                </c:pt>
                <c:pt idx="187">
                  <c:v>45276</c:v>
                </c:pt>
                <c:pt idx="188">
                  <c:v>45275</c:v>
                </c:pt>
                <c:pt idx="189">
                  <c:v>45274</c:v>
                </c:pt>
                <c:pt idx="190">
                  <c:v>45273</c:v>
                </c:pt>
                <c:pt idx="191">
                  <c:v>45272</c:v>
                </c:pt>
                <c:pt idx="192">
                  <c:v>45271</c:v>
                </c:pt>
                <c:pt idx="193">
                  <c:v>45270</c:v>
                </c:pt>
                <c:pt idx="194">
                  <c:v>45269</c:v>
                </c:pt>
                <c:pt idx="195">
                  <c:v>45268</c:v>
                </c:pt>
                <c:pt idx="196">
                  <c:v>45267</c:v>
                </c:pt>
                <c:pt idx="197">
                  <c:v>45266</c:v>
                </c:pt>
                <c:pt idx="198">
                  <c:v>45265</c:v>
                </c:pt>
                <c:pt idx="199">
                  <c:v>45264</c:v>
                </c:pt>
                <c:pt idx="200">
                  <c:v>45263</c:v>
                </c:pt>
                <c:pt idx="201">
                  <c:v>45262</c:v>
                </c:pt>
                <c:pt idx="202">
                  <c:v>45261</c:v>
                </c:pt>
                <c:pt idx="203">
                  <c:v>45260</c:v>
                </c:pt>
                <c:pt idx="204">
                  <c:v>45259</c:v>
                </c:pt>
                <c:pt idx="205">
                  <c:v>45258</c:v>
                </c:pt>
                <c:pt idx="206">
                  <c:v>45257</c:v>
                </c:pt>
                <c:pt idx="207">
                  <c:v>45256</c:v>
                </c:pt>
                <c:pt idx="208">
                  <c:v>45255</c:v>
                </c:pt>
                <c:pt idx="209">
                  <c:v>45254</c:v>
                </c:pt>
                <c:pt idx="210">
                  <c:v>45253</c:v>
                </c:pt>
                <c:pt idx="211">
                  <c:v>45252</c:v>
                </c:pt>
                <c:pt idx="212">
                  <c:v>45251</c:v>
                </c:pt>
                <c:pt idx="213">
                  <c:v>45250</c:v>
                </c:pt>
                <c:pt idx="214">
                  <c:v>45249</c:v>
                </c:pt>
                <c:pt idx="215">
                  <c:v>45248</c:v>
                </c:pt>
                <c:pt idx="216">
                  <c:v>45247</c:v>
                </c:pt>
                <c:pt idx="217">
                  <c:v>45246</c:v>
                </c:pt>
                <c:pt idx="218">
                  <c:v>45245</c:v>
                </c:pt>
                <c:pt idx="219">
                  <c:v>45244</c:v>
                </c:pt>
                <c:pt idx="220">
                  <c:v>45243</c:v>
                </c:pt>
                <c:pt idx="221">
                  <c:v>45242</c:v>
                </c:pt>
                <c:pt idx="222">
                  <c:v>45241</c:v>
                </c:pt>
                <c:pt idx="223">
                  <c:v>45240</c:v>
                </c:pt>
                <c:pt idx="224">
                  <c:v>45239</c:v>
                </c:pt>
                <c:pt idx="225">
                  <c:v>45238</c:v>
                </c:pt>
                <c:pt idx="226">
                  <c:v>45237</c:v>
                </c:pt>
                <c:pt idx="227">
                  <c:v>45236</c:v>
                </c:pt>
                <c:pt idx="228">
                  <c:v>45235</c:v>
                </c:pt>
                <c:pt idx="229">
                  <c:v>45234</c:v>
                </c:pt>
                <c:pt idx="230">
                  <c:v>45233</c:v>
                </c:pt>
                <c:pt idx="231">
                  <c:v>45232</c:v>
                </c:pt>
                <c:pt idx="232">
                  <c:v>45231</c:v>
                </c:pt>
                <c:pt idx="233">
                  <c:v>45230</c:v>
                </c:pt>
                <c:pt idx="234">
                  <c:v>45229</c:v>
                </c:pt>
                <c:pt idx="235">
                  <c:v>45228</c:v>
                </c:pt>
                <c:pt idx="236">
                  <c:v>45227</c:v>
                </c:pt>
                <c:pt idx="237">
                  <c:v>45226</c:v>
                </c:pt>
                <c:pt idx="238">
                  <c:v>45225</c:v>
                </c:pt>
                <c:pt idx="239">
                  <c:v>45224</c:v>
                </c:pt>
                <c:pt idx="240">
                  <c:v>45223</c:v>
                </c:pt>
                <c:pt idx="241">
                  <c:v>45222</c:v>
                </c:pt>
                <c:pt idx="242">
                  <c:v>45221</c:v>
                </c:pt>
                <c:pt idx="243">
                  <c:v>45220</c:v>
                </c:pt>
                <c:pt idx="244">
                  <c:v>45219</c:v>
                </c:pt>
                <c:pt idx="245">
                  <c:v>45218</c:v>
                </c:pt>
                <c:pt idx="246">
                  <c:v>45217</c:v>
                </c:pt>
                <c:pt idx="247">
                  <c:v>45216</c:v>
                </c:pt>
                <c:pt idx="248">
                  <c:v>45215</c:v>
                </c:pt>
                <c:pt idx="249">
                  <c:v>45214</c:v>
                </c:pt>
                <c:pt idx="250">
                  <c:v>45213</c:v>
                </c:pt>
                <c:pt idx="251">
                  <c:v>45212</c:v>
                </c:pt>
                <c:pt idx="252">
                  <c:v>45211</c:v>
                </c:pt>
                <c:pt idx="253">
                  <c:v>45210</c:v>
                </c:pt>
                <c:pt idx="254">
                  <c:v>45209</c:v>
                </c:pt>
                <c:pt idx="255">
                  <c:v>45208</c:v>
                </c:pt>
                <c:pt idx="256">
                  <c:v>45207</c:v>
                </c:pt>
                <c:pt idx="257">
                  <c:v>45206</c:v>
                </c:pt>
                <c:pt idx="258">
                  <c:v>45205</c:v>
                </c:pt>
                <c:pt idx="259">
                  <c:v>45204</c:v>
                </c:pt>
                <c:pt idx="260">
                  <c:v>45203</c:v>
                </c:pt>
                <c:pt idx="261">
                  <c:v>45202</c:v>
                </c:pt>
                <c:pt idx="262">
                  <c:v>45201</c:v>
                </c:pt>
                <c:pt idx="263">
                  <c:v>45200</c:v>
                </c:pt>
                <c:pt idx="264">
                  <c:v>45199</c:v>
                </c:pt>
                <c:pt idx="265">
                  <c:v>45198</c:v>
                </c:pt>
                <c:pt idx="266">
                  <c:v>45197</c:v>
                </c:pt>
                <c:pt idx="267">
                  <c:v>45196</c:v>
                </c:pt>
                <c:pt idx="268">
                  <c:v>45195</c:v>
                </c:pt>
                <c:pt idx="269">
                  <c:v>45194</c:v>
                </c:pt>
                <c:pt idx="270">
                  <c:v>45193</c:v>
                </c:pt>
                <c:pt idx="271">
                  <c:v>45192</c:v>
                </c:pt>
                <c:pt idx="272">
                  <c:v>45191</c:v>
                </c:pt>
                <c:pt idx="273">
                  <c:v>45190</c:v>
                </c:pt>
                <c:pt idx="274">
                  <c:v>45189</c:v>
                </c:pt>
                <c:pt idx="275">
                  <c:v>45188</c:v>
                </c:pt>
                <c:pt idx="276">
                  <c:v>45187</c:v>
                </c:pt>
                <c:pt idx="277">
                  <c:v>45186</c:v>
                </c:pt>
                <c:pt idx="278">
                  <c:v>45185</c:v>
                </c:pt>
                <c:pt idx="279">
                  <c:v>45184</c:v>
                </c:pt>
                <c:pt idx="280">
                  <c:v>45183</c:v>
                </c:pt>
                <c:pt idx="281">
                  <c:v>45182</c:v>
                </c:pt>
                <c:pt idx="282">
                  <c:v>45181</c:v>
                </c:pt>
                <c:pt idx="283">
                  <c:v>45180</c:v>
                </c:pt>
                <c:pt idx="284">
                  <c:v>45179</c:v>
                </c:pt>
                <c:pt idx="285">
                  <c:v>45178</c:v>
                </c:pt>
                <c:pt idx="286">
                  <c:v>45177</c:v>
                </c:pt>
                <c:pt idx="287">
                  <c:v>45176</c:v>
                </c:pt>
                <c:pt idx="288">
                  <c:v>45175</c:v>
                </c:pt>
                <c:pt idx="289">
                  <c:v>45174</c:v>
                </c:pt>
                <c:pt idx="290">
                  <c:v>45173</c:v>
                </c:pt>
                <c:pt idx="291">
                  <c:v>45172</c:v>
                </c:pt>
                <c:pt idx="292">
                  <c:v>45171</c:v>
                </c:pt>
                <c:pt idx="293">
                  <c:v>45170</c:v>
                </c:pt>
                <c:pt idx="294">
                  <c:v>45169</c:v>
                </c:pt>
                <c:pt idx="295">
                  <c:v>45168</c:v>
                </c:pt>
                <c:pt idx="296">
                  <c:v>45167</c:v>
                </c:pt>
                <c:pt idx="297">
                  <c:v>45166</c:v>
                </c:pt>
                <c:pt idx="298">
                  <c:v>45165</c:v>
                </c:pt>
                <c:pt idx="299">
                  <c:v>45164</c:v>
                </c:pt>
                <c:pt idx="300">
                  <c:v>45163</c:v>
                </c:pt>
                <c:pt idx="301">
                  <c:v>45162</c:v>
                </c:pt>
                <c:pt idx="302">
                  <c:v>45161</c:v>
                </c:pt>
                <c:pt idx="303">
                  <c:v>45160</c:v>
                </c:pt>
                <c:pt idx="304">
                  <c:v>45159</c:v>
                </c:pt>
                <c:pt idx="305">
                  <c:v>45158</c:v>
                </c:pt>
                <c:pt idx="306">
                  <c:v>45157</c:v>
                </c:pt>
                <c:pt idx="307">
                  <c:v>45156</c:v>
                </c:pt>
                <c:pt idx="308">
                  <c:v>45155</c:v>
                </c:pt>
                <c:pt idx="309">
                  <c:v>45154</c:v>
                </c:pt>
                <c:pt idx="310">
                  <c:v>45153</c:v>
                </c:pt>
                <c:pt idx="311">
                  <c:v>45152</c:v>
                </c:pt>
                <c:pt idx="312">
                  <c:v>45151</c:v>
                </c:pt>
                <c:pt idx="313">
                  <c:v>45150</c:v>
                </c:pt>
                <c:pt idx="314">
                  <c:v>45149</c:v>
                </c:pt>
                <c:pt idx="315">
                  <c:v>45148</c:v>
                </c:pt>
                <c:pt idx="316">
                  <c:v>45147</c:v>
                </c:pt>
                <c:pt idx="317">
                  <c:v>45146</c:v>
                </c:pt>
                <c:pt idx="318">
                  <c:v>45145</c:v>
                </c:pt>
                <c:pt idx="319">
                  <c:v>45144</c:v>
                </c:pt>
                <c:pt idx="320">
                  <c:v>45143</c:v>
                </c:pt>
                <c:pt idx="321">
                  <c:v>45142</c:v>
                </c:pt>
                <c:pt idx="322">
                  <c:v>45141</c:v>
                </c:pt>
                <c:pt idx="323">
                  <c:v>45140</c:v>
                </c:pt>
                <c:pt idx="324">
                  <c:v>45139</c:v>
                </c:pt>
                <c:pt idx="325">
                  <c:v>45138</c:v>
                </c:pt>
                <c:pt idx="326">
                  <c:v>45137</c:v>
                </c:pt>
                <c:pt idx="327">
                  <c:v>45136</c:v>
                </c:pt>
                <c:pt idx="328">
                  <c:v>45135</c:v>
                </c:pt>
                <c:pt idx="329">
                  <c:v>45134</c:v>
                </c:pt>
                <c:pt idx="330">
                  <c:v>45133</c:v>
                </c:pt>
                <c:pt idx="331">
                  <c:v>45132</c:v>
                </c:pt>
                <c:pt idx="332">
                  <c:v>45131</c:v>
                </c:pt>
                <c:pt idx="333">
                  <c:v>45130</c:v>
                </c:pt>
                <c:pt idx="334">
                  <c:v>45129</c:v>
                </c:pt>
                <c:pt idx="335">
                  <c:v>45128</c:v>
                </c:pt>
                <c:pt idx="336">
                  <c:v>45127</c:v>
                </c:pt>
                <c:pt idx="337">
                  <c:v>45126</c:v>
                </c:pt>
                <c:pt idx="338">
                  <c:v>45125</c:v>
                </c:pt>
                <c:pt idx="339">
                  <c:v>45124</c:v>
                </c:pt>
                <c:pt idx="340">
                  <c:v>45123</c:v>
                </c:pt>
                <c:pt idx="341">
                  <c:v>45122</c:v>
                </c:pt>
                <c:pt idx="342">
                  <c:v>45121</c:v>
                </c:pt>
                <c:pt idx="343">
                  <c:v>45120</c:v>
                </c:pt>
                <c:pt idx="344">
                  <c:v>45119</c:v>
                </c:pt>
                <c:pt idx="345">
                  <c:v>45118</c:v>
                </c:pt>
                <c:pt idx="346">
                  <c:v>45117</c:v>
                </c:pt>
                <c:pt idx="347">
                  <c:v>45116</c:v>
                </c:pt>
                <c:pt idx="348">
                  <c:v>45115</c:v>
                </c:pt>
                <c:pt idx="349">
                  <c:v>45114</c:v>
                </c:pt>
                <c:pt idx="350">
                  <c:v>45113</c:v>
                </c:pt>
                <c:pt idx="351">
                  <c:v>45112</c:v>
                </c:pt>
                <c:pt idx="352">
                  <c:v>45111</c:v>
                </c:pt>
                <c:pt idx="353">
                  <c:v>45110</c:v>
                </c:pt>
                <c:pt idx="354">
                  <c:v>45109</c:v>
                </c:pt>
                <c:pt idx="355">
                  <c:v>45108</c:v>
                </c:pt>
                <c:pt idx="356">
                  <c:v>45107</c:v>
                </c:pt>
                <c:pt idx="357">
                  <c:v>45106</c:v>
                </c:pt>
                <c:pt idx="358">
                  <c:v>45105</c:v>
                </c:pt>
                <c:pt idx="359">
                  <c:v>45104</c:v>
                </c:pt>
                <c:pt idx="360">
                  <c:v>45103</c:v>
                </c:pt>
                <c:pt idx="361">
                  <c:v>45102</c:v>
                </c:pt>
                <c:pt idx="362">
                  <c:v>45101</c:v>
                </c:pt>
                <c:pt idx="363">
                  <c:v>45100</c:v>
                </c:pt>
                <c:pt idx="364">
                  <c:v>45099</c:v>
                </c:pt>
                <c:pt idx="365">
                  <c:v>45098</c:v>
                </c:pt>
                <c:pt idx="366">
                  <c:v>45097</c:v>
                </c:pt>
                <c:pt idx="367">
                  <c:v>45096</c:v>
                </c:pt>
                <c:pt idx="368">
                  <c:v>45095</c:v>
                </c:pt>
                <c:pt idx="369">
                  <c:v>45094</c:v>
                </c:pt>
                <c:pt idx="370">
                  <c:v>45093</c:v>
                </c:pt>
                <c:pt idx="371">
                  <c:v>45092</c:v>
                </c:pt>
                <c:pt idx="372">
                  <c:v>45091</c:v>
                </c:pt>
                <c:pt idx="373">
                  <c:v>45090</c:v>
                </c:pt>
                <c:pt idx="374">
                  <c:v>45089</c:v>
                </c:pt>
                <c:pt idx="375">
                  <c:v>45088</c:v>
                </c:pt>
                <c:pt idx="376">
                  <c:v>45087</c:v>
                </c:pt>
                <c:pt idx="377">
                  <c:v>45086</c:v>
                </c:pt>
                <c:pt idx="378">
                  <c:v>45085</c:v>
                </c:pt>
                <c:pt idx="379">
                  <c:v>45084</c:v>
                </c:pt>
                <c:pt idx="380">
                  <c:v>45083</c:v>
                </c:pt>
                <c:pt idx="381">
                  <c:v>45082</c:v>
                </c:pt>
                <c:pt idx="382">
                  <c:v>45081</c:v>
                </c:pt>
                <c:pt idx="383">
                  <c:v>45080</c:v>
                </c:pt>
                <c:pt idx="384">
                  <c:v>45079</c:v>
                </c:pt>
                <c:pt idx="385">
                  <c:v>45078</c:v>
                </c:pt>
                <c:pt idx="386">
                  <c:v>45077</c:v>
                </c:pt>
                <c:pt idx="387">
                  <c:v>45076</c:v>
                </c:pt>
                <c:pt idx="388">
                  <c:v>45075</c:v>
                </c:pt>
                <c:pt idx="389">
                  <c:v>45074</c:v>
                </c:pt>
                <c:pt idx="390">
                  <c:v>45073</c:v>
                </c:pt>
                <c:pt idx="391">
                  <c:v>45072</c:v>
                </c:pt>
                <c:pt idx="392">
                  <c:v>45071</c:v>
                </c:pt>
                <c:pt idx="393">
                  <c:v>45070</c:v>
                </c:pt>
                <c:pt idx="394">
                  <c:v>45069</c:v>
                </c:pt>
                <c:pt idx="395">
                  <c:v>45068</c:v>
                </c:pt>
                <c:pt idx="396">
                  <c:v>45067</c:v>
                </c:pt>
                <c:pt idx="397">
                  <c:v>45066</c:v>
                </c:pt>
                <c:pt idx="398">
                  <c:v>45065</c:v>
                </c:pt>
                <c:pt idx="399">
                  <c:v>45064</c:v>
                </c:pt>
                <c:pt idx="400">
                  <c:v>45063</c:v>
                </c:pt>
                <c:pt idx="401">
                  <c:v>45062</c:v>
                </c:pt>
                <c:pt idx="402">
                  <c:v>45061</c:v>
                </c:pt>
                <c:pt idx="403">
                  <c:v>45060</c:v>
                </c:pt>
                <c:pt idx="404">
                  <c:v>45059</c:v>
                </c:pt>
                <c:pt idx="405">
                  <c:v>45058</c:v>
                </c:pt>
                <c:pt idx="406">
                  <c:v>45057</c:v>
                </c:pt>
                <c:pt idx="407">
                  <c:v>45056</c:v>
                </c:pt>
                <c:pt idx="408">
                  <c:v>45055</c:v>
                </c:pt>
                <c:pt idx="409">
                  <c:v>45054</c:v>
                </c:pt>
                <c:pt idx="410">
                  <c:v>45053</c:v>
                </c:pt>
                <c:pt idx="411">
                  <c:v>45052</c:v>
                </c:pt>
                <c:pt idx="412">
                  <c:v>45051</c:v>
                </c:pt>
                <c:pt idx="413">
                  <c:v>45050</c:v>
                </c:pt>
                <c:pt idx="414">
                  <c:v>45049</c:v>
                </c:pt>
                <c:pt idx="415">
                  <c:v>45048</c:v>
                </c:pt>
                <c:pt idx="416">
                  <c:v>45047</c:v>
                </c:pt>
                <c:pt idx="417">
                  <c:v>45046</c:v>
                </c:pt>
                <c:pt idx="418">
                  <c:v>45045</c:v>
                </c:pt>
                <c:pt idx="419">
                  <c:v>45044</c:v>
                </c:pt>
                <c:pt idx="420">
                  <c:v>45043</c:v>
                </c:pt>
                <c:pt idx="421">
                  <c:v>45042</c:v>
                </c:pt>
                <c:pt idx="422">
                  <c:v>45041</c:v>
                </c:pt>
                <c:pt idx="423">
                  <c:v>45040</c:v>
                </c:pt>
                <c:pt idx="424">
                  <c:v>45039</c:v>
                </c:pt>
                <c:pt idx="425">
                  <c:v>45038</c:v>
                </c:pt>
                <c:pt idx="426">
                  <c:v>45037</c:v>
                </c:pt>
                <c:pt idx="427">
                  <c:v>45036</c:v>
                </c:pt>
                <c:pt idx="428">
                  <c:v>45035</c:v>
                </c:pt>
                <c:pt idx="429">
                  <c:v>45034</c:v>
                </c:pt>
                <c:pt idx="430">
                  <c:v>45033</c:v>
                </c:pt>
                <c:pt idx="431">
                  <c:v>45032</c:v>
                </c:pt>
                <c:pt idx="432">
                  <c:v>45031</c:v>
                </c:pt>
                <c:pt idx="433">
                  <c:v>45030</c:v>
                </c:pt>
                <c:pt idx="434">
                  <c:v>45029</c:v>
                </c:pt>
                <c:pt idx="435">
                  <c:v>45028</c:v>
                </c:pt>
                <c:pt idx="436">
                  <c:v>45027</c:v>
                </c:pt>
                <c:pt idx="437">
                  <c:v>45026</c:v>
                </c:pt>
              </c:numCache>
            </c:numRef>
          </c:cat>
          <c:val>
            <c:numRef>
              <c:f>'Value &amp; Cost Basis'!$C$2:$C$439</c:f>
              <c:numCache>
                <c:formatCode>General</c:formatCode>
                <c:ptCount val="438"/>
                <c:pt idx="0">
                  <c:v>12079.17</c:v>
                </c:pt>
                <c:pt idx="1">
                  <c:v>12079.17</c:v>
                </c:pt>
                <c:pt idx="2">
                  <c:v>12079.17</c:v>
                </c:pt>
                <c:pt idx="3">
                  <c:v>12079.17</c:v>
                </c:pt>
                <c:pt idx="4">
                  <c:v>12079.17</c:v>
                </c:pt>
                <c:pt idx="5">
                  <c:v>12079.17</c:v>
                </c:pt>
                <c:pt idx="6">
                  <c:v>12079.17</c:v>
                </c:pt>
                <c:pt idx="7">
                  <c:v>12079.17</c:v>
                </c:pt>
                <c:pt idx="8">
                  <c:v>12079.17</c:v>
                </c:pt>
                <c:pt idx="9">
                  <c:v>12079.17</c:v>
                </c:pt>
                <c:pt idx="10">
                  <c:v>12079.17</c:v>
                </c:pt>
                <c:pt idx="11">
                  <c:v>12079.17</c:v>
                </c:pt>
                <c:pt idx="12">
                  <c:v>12079.17</c:v>
                </c:pt>
                <c:pt idx="13">
                  <c:v>12079.17</c:v>
                </c:pt>
                <c:pt idx="14">
                  <c:v>12079.17</c:v>
                </c:pt>
                <c:pt idx="15">
                  <c:v>12079.17</c:v>
                </c:pt>
                <c:pt idx="16">
                  <c:v>12079.17</c:v>
                </c:pt>
                <c:pt idx="17">
                  <c:v>12079.17</c:v>
                </c:pt>
                <c:pt idx="18">
                  <c:v>12079.17</c:v>
                </c:pt>
                <c:pt idx="19">
                  <c:v>12079.17</c:v>
                </c:pt>
                <c:pt idx="20">
                  <c:v>12079.17</c:v>
                </c:pt>
                <c:pt idx="21">
                  <c:v>12079.17</c:v>
                </c:pt>
                <c:pt idx="22">
                  <c:v>12079.17</c:v>
                </c:pt>
                <c:pt idx="23">
                  <c:v>12079.17</c:v>
                </c:pt>
                <c:pt idx="24">
                  <c:v>12079.17</c:v>
                </c:pt>
                <c:pt idx="25">
                  <c:v>12079.17</c:v>
                </c:pt>
                <c:pt idx="26">
                  <c:v>12079.17</c:v>
                </c:pt>
                <c:pt idx="27">
                  <c:v>12079.17</c:v>
                </c:pt>
                <c:pt idx="28">
                  <c:v>12079.17</c:v>
                </c:pt>
                <c:pt idx="29">
                  <c:v>12079.17</c:v>
                </c:pt>
                <c:pt idx="30">
                  <c:v>12079.17</c:v>
                </c:pt>
                <c:pt idx="31">
                  <c:v>12079.17</c:v>
                </c:pt>
                <c:pt idx="32">
                  <c:v>12079.17</c:v>
                </c:pt>
                <c:pt idx="33">
                  <c:v>12079.17</c:v>
                </c:pt>
                <c:pt idx="34">
                  <c:v>12079.17</c:v>
                </c:pt>
                <c:pt idx="35">
                  <c:v>12079.17</c:v>
                </c:pt>
                <c:pt idx="36">
                  <c:v>12079.17</c:v>
                </c:pt>
                <c:pt idx="37">
                  <c:v>12079.17</c:v>
                </c:pt>
                <c:pt idx="38">
                  <c:v>12079.17</c:v>
                </c:pt>
                <c:pt idx="39">
                  <c:v>12079.17</c:v>
                </c:pt>
                <c:pt idx="40">
                  <c:v>12079.17</c:v>
                </c:pt>
                <c:pt idx="41">
                  <c:v>12079.17</c:v>
                </c:pt>
                <c:pt idx="42">
                  <c:v>12079.17</c:v>
                </c:pt>
                <c:pt idx="43">
                  <c:v>12079.17</c:v>
                </c:pt>
                <c:pt idx="44">
                  <c:v>12079.17</c:v>
                </c:pt>
                <c:pt idx="45">
                  <c:v>12079.17</c:v>
                </c:pt>
                <c:pt idx="46">
                  <c:v>12079.17</c:v>
                </c:pt>
                <c:pt idx="47">
                  <c:v>12079.17</c:v>
                </c:pt>
                <c:pt idx="48">
                  <c:v>12079.17</c:v>
                </c:pt>
                <c:pt idx="49">
                  <c:v>12079.17</c:v>
                </c:pt>
                <c:pt idx="50">
                  <c:v>12079.17</c:v>
                </c:pt>
                <c:pt idx="51">
                  <c:v>12079.17</c:v>
                </c:pt>
                <c:pt idx="52">
                  <c:v>12079.17</c:v>
                </c:pt>
                <c:pt idx="53">
                  <c:v>12079.17</c:v>
                </c:pt>
                <c:pt idx="54">
                  <c:v>12079.17</c:v>
                </c:pt>
                <c:pt idx="55">
                  <c:v>12084.38</c:v>
                </c:pt>
                <c:pt idx="56">
                  <c:v>12084.38</c:v>
                </c:pt>
                <c:pt idx="57">
                  <c:v>12084.38</c:v>
                </c:pt>
                <c:pt idx="58">
                  <c:v>12084.38</c:v>
                </c:pt>
                <c:pt idx="59">
                  <c:v>12084.38</c:v>
                </c:pt>
                <c:pt idx="60">
                  <c:v>12084.38</c:v>
                </c:pt>
                <c:pt idx="61">
                  <c:v>12084.38</c:v>
                </c:pt>
                <c:pt idx="62">
                  <c:v>12084.38</c:v>
                </c:pt>
                <c:pt idx="63">
                  <c:v>12084.38</c:v>
                </c:pt>
                <c:pt idx="64">
                  <c:v>12084.38</c:v>
                </c:pt>
                <c:pt idx="65">
                  <c:v>12084.38</c:v>
                </c:pt>
                <c:pt idx="66">
                  <c:v>12084.38</c:v>
                </c:pt>
                <c:pt idx="67">
                  <c:v>12084.38</c:v>
                </c:pt>
                <c:pt idx="68">
                  <c:v>12084.38</c:v>
                </c:pt>
                <c:pt idx="69">
                  <c:v>12084.38</c:v>
                </c:pt>
                <c:pt idx="70">
                  <c:v>12084.38</c:v>
                </c:pt>
                <c:pt idx="71">
                  <c:v>12084.38</c:v>
                </c:pt>
                <c:pt idx="72">
                  <c:v>12084.38</c:v>
                </c:pt>
                <c:pt idx="73">
                  <c:v>12084.38</c:v>
                </c:pt>
                <c:pt idx="74">
                  <c:v>12084.38</c:v>
                </c:pt>
                <c:pt idx="75">
                  <c:v>12084.38</c:v>
                </c:pt>
                <c:pt idx="76">
                  <c:v>12084.38</c:v>
                </c:pt>
                <c:pt idx="77">
                  <c:v>12084.38</c:v>
                </c:pt>
                <c:pt idx="78">
                  <c:v>12084.38</c:v>
                </c:pt>
                <c:pt idx="79">
                  <c:v>12084.38</c:v>
                </c:pt>
                <c:pt idx="80">
                  <c:v>12084.38</c:v>
                </c:pt>
                <c:pt idx="81">
                  <c:v>12084.38</c:v>
                </c:pt>
                <c:pt idx="82">
                  <c:v>12084.38</c:v>
                </c:pt>
                <c:pt idx="83">
                  <c:v>12084.38</c:v>
                </c:pt>
                <c:pt idx="84">
                  <c:v>12084.38</c:v>
                </c:pt>
                <c:pt idx="85">
                  <c:v>12084.38</c:v>
                </c:pt>
                <c:pt idx="86">
                  <c:v>12084.38</c:v>
                </c:pt>
                <c:pt idx="87">
                  <c:v>12084.38</c:v>
                </c:pt>
                <c:pt idx="88">
                  <c:v>12084.38</c:v>
                </c:pt>
                <c:pt idx="89">
                  <c:v>12084.38</c:v>
                </c:pt>
                <c:pt idx="90">
                  <c:v>12084.38</c:v>
                </c:pt>
                <c:pt idx="91">
                  <c:v>12084.38</c:v>
                </c:pt>
                <c:pt idx="92">
                  <c:v>12084.38</c:v>
                </c:pt>
                <c:pt idx="93">
                  <c:v>12084.38</c:v>
                </c:pt>
                <c:pt idx="94">
                  <c:v>12084.38</c:v>
                </c:pt>
                <c:pt idx="95">
                  <c:v>12084.38</c:v>
                </c:pt>
                <c:pt idx="96">
                  <c:v>12084.38</c:v>
                </c:pt>
                <c:pt idx="97">
                  <c:v>12084.38</c:v>
                </c:pt>
                <c:pt idx="98">
                  <c:v>12084.38</c:v>
                </c:pt>
                <c:pt idx="99">
                  <c:v>12084.38</c:v>
                </c:pt>
                <c:pt idx="100">
                  <c:v>12084.38</c:v>
                </c:pt>
                <c:pt idx="101">
                  <c:v>12084.38</c:v>
                </c:pt>
                <c:pt idx="102">
                  <c:v>12084.38</c:v>
                </c:pt>
                <c:pt idx="103">
                  <c:v>12084.38</c:v>
                </c:pt>
                <c:pt idx="104">
                  <c:v>12084.38</c:v>
                </c:pt>
                <c:pt idx="105">
                  <c:v>12084.38</c:v>
                </c:pt>
                <c:pt idx="106">
                  <c:v>12084.38</c:v>
                </c:pt>
                <c:pt idx="107">
                  <c:v>12084.38</c:v>
                </c:pt>
                <c:pt idx="108">
                  <c:v>12084.38</c:v>
                </c:pt>
                <c:pt idx="109">
                  <c:v>12084.38</c:v>
                </c:pt>
                <c:pt idx="110">
                  <c:v>12084.38</c:v>
                </c:pt>
                <c:pt idx="111">
                  <c:v>12084.38</c:v>
                </c:pt>
                <c:pt idx="112">
                  <c:v>12084.38</c:v>
                </c:pt>
                <c:pt idx="113">
                  <c:v>12084.38</c:v>
                </c:pt>
                <c:pt idx="114">
                  <c:v>12084.38</c:v>
                </c:pt>
                <c:pt idx="115">
                  <c:v>12084.38</c:v>
                </c:pt>
                <c:pt idx="116">
                  <c:v>12084.38</c:v>
                </c:pt>
                <c:pt idx="117">
                  <c:v>12084.38</c:v>
                </c:pt>
                <c:pt idx="118">
                  <c:v>10113.74</c:v>
                </c:pt>
                <c:pt idx="119">
                  <c:v>10113.74</c:v>
                </c:pt>
                <c:pt idx="120">
                  <c:v>10113.74</c:v>
                </c:pt>
                <c:pt idx="121">
                  <c:v>10113.74</c:v>
                </c:pt>
                <c:pt idx="122">
                  <c:v>10113.74</c:v>
                </c:pt>
                <c:pt idx="123">
                  <c:v>10113.74</c:v>
                </c:pt>
                <c:pt idx="124">
                  <c:v>10113.74</c:v>
                </c:pt>
                <c:pt idx="125">
                  <c:v>10113.74</c:v>
                </c:pt>
                <c:pt idx="126">
                  <c:v>10113.74</c:v>
                </c:pt>
                <c:pt idx="127">
                  <c:v>10113.74</c:v>
                </c:pt>
                <c:pt idx="128">
                  <c:v>10113.74</c:v>
                </c:pt>
                <c:pt idx="129">
                  <c:v>10113.74</c:v>
                </c:pt>
                <c:pt idx="130">
                  <c:v>10113.74</c:v>
                </c:pt>
                <c:pt idx="131">
                  <c:v>10113.74</c:v>
                </c:pt>
                <c:pt idx="132">
                  <c:v>10113.74</c:v>
                </c:pt>
                <c:pt idx="133">
                  <c:v>10113.74</c:v>
                </c:pt>
                <c:pt idx="134">
                  <c:v>10113.74</c:v>
                </c:pt>
                <c:pt idx="135">
                  <c:v>10113.74</c:v>
                </c:pt>
                <c:pt idx="136">
                  <c:v>10113</c:v>
                </c:pt>
                <c:pt idx="137">
                  <c:v>10113</c:v>
                </c:pt>
                <c:pt idx="138">
                  <c:v>10113</c:v>
                </c:pt>
                <c:pt idx="139">
                  <c:v>10113</c:v>
                </c:pt>
                <c:pt idx="140">
                  <c:v>10113</c:v>
                </c:pt>
                <c:pt idx="141">
                  <c:v>10113</c:v>
                </c:pt>
                <c:pt idx="142">
                  <c:v>10113</c:v>
                </c:pt>
                <c:pt idx="143">
                  <c:v>10107.67</c:v>
                </c:pt>
                <c:pt idx="144">
                  <c:v>10107.67</c:v>
                </c:pt>
                <c:pt idx="145">
                  <c:v>10107.67</c:v>
                </c:pt>
                <c:pt idx="146">
                  <c:v>10107.67</c:v>
                </c:pt>
                <c:pt idx="147">
                  <c:v>10107.67</c:v>
                </c:pt>
                <c:pt idx="148">
                  <c:v>10107.67</c:v>
                </c:pt>
                <c:pt idx="149">
                  <c:v>10107.67</c:v>
                </c:pt>
                <c:pt idx="150">
                  <c:v>10107.67</c:v>
                </c:pt>
                <c:pt idx="151">
                  <c:v>10107.67</c:v>
                </c:pt>
                <c:pt idx="152">
                  <c:v>10107.67</c:v>
                </c:pt>
                <c:pt idx="153">
                  <c:v>10107.67</c:v>
                </c:pt>
                <c:pt idx="154">
                  <c:v>10107.67</c:v>
                </c:pt>
                <c:pt idx="155">
                  <c:v>10107.67</c:v>
                </c:pt>
                <c:pt idx="156">
                  <c:v>10107.67</c:v>
                </c:pt>
                <c:pt idx="157">
                  <c:v>10107.67</c:v>
                </c:pt>
                <c:pt idx="158">
                  <c:v>10107.67</c:v>
                </c:pt>
                <c:pt idx="159">
                  <c:v>10107.67</c:v>
                </c:pt>
                <c:pt idx="160">
                  <c:v>10107.67</c:v>
                </c:pt>
                <c:pt idx="161">
                  <c:v>10107.67</c:v>
                </c:pt>
                <c:pt idx="162">
                  <c:v>10107.67</c:v>
                </c:pt>
                <c:pt idx="163">
                  <c:v>10107.67</c:v>
                </c:pt>
                <c:pt idx="164">
                  <c:v>10107.67</c:v>
                </c:pt>
                <c:pt idx="165">
                  <c:v>10107.67</c:v>
                </c:pt>
                <c:pt idx="166">
                  <c:v>10107.67</c:v>
                </c:pt>
                <c:pt idx="167">
                  <c:v>10107.67</c:v>
                </c:pt>
                <c:pt idx="168">
                  <c:v>10107.67</c:v>
                </c:pt>
                <c:pt idx="169">
                  <c:v>10107.67</c:v>
                </c:pt>
                <c:pt idx="170">
                  <c:v>10107.67</c:v>
                </c:pt>
                <c:pt idx="171">
                  <c:v>10107.67</c:v>
                </c:pt>
                <c:pt idx="172">
                  <c:v>10107.67</c:v>
                </c:pt>
                <c:pt idx="173">
                  <c:v>10107.67</c:v>
                </c:pt>
                <c:pt idx="174">
                  <c:v>10107.67</c:v>
                </c:pt>
                <c:pt idx="175">
                  <c:v>10107.67</c:v>
                </c:pt>
                <c:pt idx="176">
                  <c:v>10107.67</c:v>
                </c:pt>
                <c:pt idx="177">
                  <c:v>10107.67</c:v>
                </c:pt>
                <c:pt idx="178">
                  <c:v>10107.67</c:v>
                </c:pt>
                <c:pt idx="179">
                  <c:v>10107.67</c:v>
                </c:pt>
                <c:pt idx="180">
                  <c:v>10107.67</c:v>
                </c:pt>
                <c:pt idx="181">
                  <c:v>10107.67</c:v>
                </c:pt>
                <c:pt idx="182">
                  <c:v>10104.700000000001</c:v>
                </c:pt>
                <c:pt idx="183">
                  <c:v>10104.700000000001</c:v>
                </c:pt>
                <c:pt idx="184">
                  <c:v>10104.700000000001</c:v>
                </c:pt>
                <c:pt idx="185">
                  <c:v>10104.700000000001</c:v>
                </c:pt>
                <c:pt idx="186">
                  <c:v>10104.700000000001</c:v>
                </c:pt>
                <c:pt idx="187">
                  <c:v>10104.700000000001</c:v>
                </c:pt>
                <c:pt idx="188">
                  <c:v>10104.700000000001</c:v>
                </c:pt>
                <c:pt idx="189">
                  <c:v>10104.700000000001</c:v>
                </c:pt>
                <c:pt idx="190">
                  <c:v>10104.700000000001</c:v>
                </c:pt>
                <c:pt idx="191">
                  <c:v>10104.700000000001</c:v>
                </c:pt>
                <c:pt idx="192">
                  <c:v>10104.700000000001</c:v>
                </c:pt>
                <c:pt idx="193">
                  <c:v>10104.700000000001</c:v>
                </c:pt>
                <c:pt idx="194">
                  <c:v>10104.700000000001</c:v>
                </c:pt>
                <c:pt idx="195">
                  <c:v>10104.700000000001</c:v>
                </c:pt>
                <c:pt idx="196">
                  <c:v>10104.700000000001</c:v>
                </c:pt>
                <c:pt idx="197">
                  <c:v>10101.52</c:v>
                </c:pt>
                <c:pt idx="198">
                  <c:v>10101.52</c:v>
                </c:pt>
                <c:pt idx="199">
                  <c:v>10101.52</c:v>
                </c:pt>
                <c:pt idx="200">
                  <c:v>10101.52</c:v>
                </c:pt>
                <c:pt idx="201">
                  <c:v>10101.52</c:v>
                </c:pt>
                <c:pt idx="202">
                  <c:v>10101.52</c:v>
                </c:pt>
                <c:pt idx="203">
                  <c:v>10101.52</c:v>
                </c:pt>
                <c:pt idx="204">
                  <c:v>10101.52</c:v>
                </c:pt>
                <c:pt idx="205">
                  <c:v>10101.52</c:v>
                </c:pt>
                <c:pt idx="206">
                  <c:v>10101.52</c:v>
                </c:pt>
                <c:pt idx="207">
                  <c:v>10101.52</c:v>
                </c:pt>
                <c:pt idx="208">
                  <c:v>10101.52</c:v>
                </c:pt>
                <c:pt idx="209">
                  <c:v>10101.52</c:v>
                </c:pt>
                <c:pt idx="210">
                  <c:v>10101.52</c:v>
                </c:pt>
                <c:pt idx="211">
                  <c:v>10101.52</c:v>
                </c:pt>
                <c:pt idx="212">
                  <c:v>10101.52</c:v>
                </c:pt>
                <c:pt idx="213">
                  <c:v>10101.52</c:v>
                </c:pt>
                <c:pt idx="214">
                  <c:v>10101.52</c:v>
                </c:pt>
                <c:pt idx="215">
                  <c:v>10101.52</c:v>
                </c:pt>
                <c:pt idx="216">
                  <c:v>10100.85</c:v>
                </c:pt>
                <c:pt idx="217">
                  <c:v>10100.85</c:v>
                </c:pt>
                <c:pt idx="218">
                  <c:v>10100.85</c:v>
                </c:pt>
                <c:pt idx="219">
                  <c:v>10100.85</c:v>
                </c:pt>
                <c:pt idx="220">
                  <c:v>10097.379999999999</c:v>
                </c:pt>
                <c:pt idx="221">
                  <c:v>10097.379999999999</c:v>
                </c:pt>
                <c:pt idx="222">
                  <c:v>10097.379999999999</c:v>
                </c:pt>
                <c:pt idx="223">
                  <c:v>10097.379999999999</c:v>
                </c:pt>
                <c:pt idx="224">
                  <c:v>10097.379999999999</c:v>
                </c:pt>
                <c:pt idx="225">
                  <c:v>10097.379999999999</c:v>
                </c:pt>
                <c:pt idx="226">
                  <c:v>10097.379999999999</c:v>
                </c:pt>
                <c:pt idx="227">
                  <c:v>10097.379999999999</c:v>
                </c:pt>
                <c:pt idx="228">
                  <c:v>10097.379999999999</c:v>
                </c:pt>
                <c:pt idx="229">
                  <c:v>10097.379999999999</c:v>
                </c:pt>
                <c:pt idx="230">
                  <c:v>10097.379999999999</c:v>
                </c:pt>
                <c:pt idx="231">
                  <c:v>10097.379999999999</c:v>
                </c:pt>
                <c:pt idx="232">
                  <c:v>10097.379999999999</c:v>
                </c:pt>
                <c:pt idx="233">
                  <c:v>10097.379999999999</c:v>
                </c:pt>
                <c:pt idx="234">
                  <c:v>10097.379999999999</c:v>
                </c:pt>
                <c:pt idx="235">
                  <c:v>10097.379999999999</c:v>
                </c:pt>
                <c:pt idx="236">
                  <c:v>10097.379999999999</c:v>
                </c:pt>
                <c:pt idx="237">
                  <c:v>10097.379999999999</c:v>
                </c:pt>
                <c:pt idx="238">
                  <c:v>10097.379999999999</c:v>
                </c:pt>
                <c:pt idx="239">
                  <c:v>10096.57</c:v>
                </c:pt>
                <c:pt idx="240">
                  <c:v>10096.57</c:v>
                </c:pt>
                <c:pt idx="241">
                  <c:v>10096.57</c:v>
                </c:pt>
                <c:pt idx="242">
                  <c:v>10096.57</c:v>
                </c:pt>
                <c:pt idx="243">
                  <c:v>10096.57</c:v>
                </c:pt>
                <c:pt idx="244">
                  <c:v>10082.94</c:v>
                </c:pt>
                <c:pt idx="245">
                  <c:v>10082.94</c:v>
                </c:pt>
                <c:pt idx="246">
                  <c:v>10082.94</c:v>
                </c:pt>
                <c:pt idx="247">
                  <c:v>10082.94</c:v>
                </c:pt>
                <c:pt idx="248">
                  <c:v>10082.94</c:v>
                </c:pt>
                <c:pt idx="249">
                  <c:v>10082.94</c:v>
                </c:pt>
                <c:pt idx="250">
                  <c:v>10082.94</c:v>
                </c:pt>
                <c:pt idx="251">
                  <c:v>10082.94</c:v>
                </c:pt>
                <c:pt idx="252">
                  <c:v>10082.94</c:v>
                </c:pt>
                <c:pt idx="253">
                  <c:v>10082.94</c:v>
                </c:pt>
                <c:pt idx="254">
                  <c:v>10082.94</c:v>
                </c:pt>
                <c:pt idx="255">
                  <c:v>10082.94</c:v>
                </c:pt>
                <c:pt idx="256">
                  <c:v>10082.94</c:v>
                </c:pt>
                <c:pt idx="257">
                  <c:v>10082.94</c:v>
                </c:pt>
                <c:pt idx="258">
                  <c:v>10082.94</c:v>
                </c:pt>
                <c:pt idx="259">
                  <c:v>10082.94</c:v>
                </c:pt>
                <c:pt idx="260">
                  <c:v>10082.94</c:v>
                </c:pt>
                <c:pt idx="261">
                  <c:v>10082.94</c:v>
                </c:pt>
                <c:pt idx="262">
                  <c:v>10082.94</c:v>
                </c:pt>
                <c:pt idx="263">
                  <c:v>10082.94</c:v>
                </c:pt>
                <c:pt idx="264">
                  <c:v>10082.94</c:v>
                </c:pt>
                <c:pt idx="265">
                  <c:v>10082.94</c:v>
                </c:pt>
                <c:pt idx="266">
                  <c:v>10082.94</c:v>
                </c:pt>
                <c:pt idx="267">
                  <c:v>10082.94</c:v>
                </c:pt>
                <c:pt idx="268">
                  <c:v>10082.94</c:v>
                </c:pt>
                <c:pt idx="269">
                  <c:v>10082.94</c:v>
                </c:pt>
                <c:pt idx="270">
                  <c:v>10082.94</c:v>
                </c:pt>
                <c:pt idx="271">
                  <c:v>10082.94</c:v>
                </c:pt>
                <c:pt idx="272">
                  <c:v>10082.94</c:v>
                </c:pt>
                <c:pt idx="273">
                  <c:v>10082.94</c:v>
                </c:pt>
                <c:pt idx="274">
                  <c:v>10082.94</c:v>
                </c:pt>
                <c:pt idx="275">
                  <c:v>10082.94</c:v>
                </c:pt>
                <c:pt idx="276">
                  <c:v>10082.94</c:v>
                </c:pt>
                <c:pt idx="277">
                  <c:v>10082.94</c:v>
                </c:pt>
                <c:pt idx="278">
                  <c:v>10082.94</c:v>
                </c:pt>
                <c:pt idx="279">
                  <c:v>10082.94</c:v>
                </c:pt>
                <c:pt idx="280">
                  <c:v>10082.94</c:v>
                </c:pt>
                <c:pt idx="281">
                  <c:v>10082.94</c:v>
                </c:pt>
                <c:pt idx="282">
                  <c:v>10082.94</c:v>
                </c:pt>
                <c:pt idx="283">
                  <c:v>10082.94</c:v>
                </c:pt>
                <c:pt idx="284">
                  <c:v>10082.94</c:v>
                </c:pt>
                <c:pt idx="285">
                  <c:v>10082.94</c:v>
                </c:pt>
                <c:pt idx="286">
                  <c:v>10082.94</c:v>
                </c:pt>
                <c:pt idx="287">
                  <c:v>10082.94</c:v>
                </c:pt>
                <c:pt idx="288">
                  <c:v>10082.94</c:v>
                </c:pt>
                <c:pt idx="289">
                  <c:v>10082.94</c:v>
                </c:pt>
                <c:pt idx="290">
                  <c:v>10082.94</c:v>
                </c:pt>
                <c:pt idx="291">
                  <c:v>10082.94</c:v>
                </c:pt>
                <c:pt idx="292">
                  <c:v>10082.94</c:v>
                </c:pt>
                <c:pt idx="293">
                  <c:v>10082.94</c:v>
                </c:pt>
                <c:pt idx="294">
                  <c:v>10082.94</c:v>
                </c:pt>
                <c:pt idx="295">
                  <c:v>10082.94</c:v>
                </c:pt>
                <c:pt idx="296">
                  <c:v>10082.94</c:v>
                </c:pt>
                <c:pt idx="297">
                  <c:v>10082.94</c:v>
                </c:pt>
                <c:pt idx="298">
                  <c:v>10082.94</c:v>
                </c:pt>
                <c:pt idx="299">
                  <c:v>10082.94</c:v>
                </c:pt>
                <c:pt idx="300">
                  <c:v>10082.94</c:v>
                </c:pt>
                <c:pt idx="301">
                  <c:v>10082.94</c:v>
                </c:pt>
                <c:pt idx="302">
                  <c:v>10082.94</c:v>
                </c:pt>
                <c:pt idx="303">
                  <c:v>10082.94</c:v>
                </c:pt>
                <c:pt idx="304">
                  <c:v>10082.94</c:v>
                </c:pt>
                <c:pt idx="305">
                  <c:v>10082.94</c:v>
                </c:pt>
                <c:pt idx="306">
                  <c:v>10082.94</c:v>
                </c:pt>
                <c:pt idx="307">
                  <c:v>10082.94</c:v>
                </c:pt>
                <c:pt idx="308">
                  <c:v>10082.94</c:v>
                </c:pt>
                <c:pt idx="309">
                  <c:v>10082.94</c:v>
                </c:pt>
                <c:pt idx="310">
                  <c:v>10082.94</c:v>
                </c:pt>
                <c:pt idx="311">
                  <c:v>10082.94</c:v>
                </c:pt>
                <c:pt idx="312">
                  <c:v>10082.94</c:v>
                </c:pt>
                <c:pt idx="313">
                  <c:v>10082.94</c:v>
                </c:pt>
                <c:pt idx="314">
                  <c:v>10082.94</c:v>
                </c:pt>
                <c:pt idx="315">
                  <c:v>10082.94</c:v>
                </c:pt>
                <c:pt idx="316">
                  <c:v>10082.94</c:v>
                </c:pt>
                <c:pt idx="317">
                  <c:v>9505.5399999999991</c:v>
                </c:pt>
                <c:pt idx="318">
                  <c:v>9505.5399999999991</c:v>
                </c:pt>
                <c:pt idx="319">
                  <c:v>9505.5399999999991</c:v>
                </c:pt>
                <c:pt idx="320">
                  <c:v>9505.5399999999991</c:v>
                </c:pt>
                <c:pt idx="321">
                  <c:v>9505.5399999999991</c:v>
                </c:pt>
                <c:pt idx="322">
                  <c:v>9507.7099999999991</c:v>
                </c:pt>
                <c:pt idx="323">
                  <c:v>9505.5399999999991</c:v>
                </c:pt>
                <c:pt idx="324">
                  <c:v>9505.5399999999991</c:v>
                </c:pt>
                <c:pt idx="325">
                  <c:v>9505.5399999999991</c:v>
                </c:pt>
                <c:pt idx="326">
                  <c:v>9505.5399999999991</c:v>
                </c:pt>
                <c:pt idx="327">
                  <c:v>9505.5399999999991</c:v>
                </c:pt>
                <c:pt idx="328">
                  <c:v>9505.5399999999991</c:v>
                </c:pt>
                <c:pt idx="329">
                  <c:v>9505.5399999999991</c:v>
                </c:pt>
                <c:pt idx="330">
                  <c:v>9505.5399999999991</c:v>
                </c:pt>
                <c:pt idx="331">
                  <c:v>9505.5399999999991</c:v>
                </c:pt>
                <c:pt idx="332">
                  <c:v>8505.5399999999991</c:v>
                </c:pt>
                <c:pt idx="333">
                  <c:v>8505.5399999999991</c:v>
                </c:pt>
                <c:pt idx="334">
                  <c:v>8505.5399999999991</c:v>
                </c:pt>
                <c:pt idx="335">
                  <c:v>8505.5399999999991</c:v>
                </c:pt>
                <c:pt idx="336">
                  <c:v>8505.5399999999991</c:v>
                </c:pt>
                <c:pt idx="337">
                  <c:v>8505.5399999999991</c:v>
                </c:pt>
                <c:pt idx="338">
                  <c:v>8505.5399999999991</c:v>
                </c:pt>
                <c:pt idx="339">
                  <c:v>8876.409999999998</c:v>
                </c:pt>
                <c:pt idx="340">
                  <c:v>8876.409999999998</c:v>
                </c:pt>
                <c:pt idx="341">
                  <c:v>8876.409999999998</c:v>
                </c:pt>
                <c:pt idx="342">
                  <c:v>8876.409999999998</c:v>
                </c:pt>
                <c:pt idx="343">
                  <c:v>9003.6699999999983</c:v>
                </c:pt>
                <c:pt idx="344">
                  <c:v>9003.6699999999983</c:v>
                </c:pt>
                <c:pt idx="345">
                  <c:v>9003.6699999999983</c:v>
                </c:pt>
                <c:pt idx="346">
                  <c:v>9003.6699999999983</c:v>
                </c:pt>
                <c:pt idx="347">
                  <c:v>9003.4999999999982</c:v>
                </c:pt>
                <c:pt idx="348">
                  <c:v>9003.4999999999982</c:v>
                </c:pt>
                <c:pt idx="349">
                  <c:v>9003.4999999999982</c:v>
                </c:pt>
                <c:pt idx="350">
                  <c:v>9003.4999999999982</c:v>
                </c:pt>
                <c:pt idx="351">
                  <c:v>9003.4999999999982</c:v>
                </c:pt>
                <c:pt idx="352">
                  <c:v>9003.4999999999982</c:v>
                </c:pt>
                <c:pt idx="353">
                  <c:v>9003.4999999999982</c:v>
                </c:pt>
                <c:pt idx="354">
                  <c:v>9003.4999999999982</c:v>
                </c:pt>
                <c:pt idx="355">
                  <c:v>9003.4999999999982</c:v>
                </c:pt>
                <c:pt idx="356">
                  <c:v>9003.4999999999982</c:v>
                </c:pt>
                <c:pt idx="357">
                  <c:v>9003.4999999999982</c:v>
                </c:pt>
                <c:pt idx="358">
                  <c:v>9003.4999999999982</c:v>
                </c:pt>
                <c:pt idx="359">
                  <c:v>9003.4999999999982</c:v>
                </c:pt>
                <c:pt idx="360">
                  <c:v>9003.4999999999982</c:v>
                </c:pt>
                <c:pt idx="361">
                  <c:v>9003.4999999999982</c:v>
                </c:pt>
                <c:pt idx="362">
                  <c:v>9003.4999999999982</c:v>
                </c:pt>
                <c:pt idx="363">
                  <c:v>9003.4999999999982</c:v>
                </c:pt>
                <c:pt idx="364">
                  <c:v>9003.4999999999982</c:v>
                </c:pt>
                <c:pt idx="365">
                  <c:v>9003.4999999999982</c:v>
                </c:pt>
                <c:pt idx="366">
                  <c:v>9002.6299999999974</c:v>
                </c:pt>
                <c:pt idx="367">
                  <c:v>9129.0099999999984</c:v>
                </c:pt>
                <c:pt idx="368">
                  <c:v>9129.0099999999984</c:v>
                </c:pt>
                <c:pt idx="369">
                  <c:v>9129.0099999999984</c:v>
                </c:pt>
                <c:pt idx="370">
                  <c:v>9129.0099999999984</c:v>
                </c:pt>
                <c:pt idx="371">
                  <c:v>9129.0099999999984</c:v>
                </c:pt>
                <c:pt idx="372">
                  <c:v>9129.0099999999984</c:v>
                </c:pt>
                <c:pt idx="373">
                  <c:v>9129.0099999999984</c:v>
                </c:pt>
                <c:pt idx="374">
                  <c:v>9129.0099999999984</c:v>
                </c:pt>
                <c:pt idx="375">
                  <c:v>9129.0099999999984</c:v>
                </c:pt>
                <c:pt idx="376">
                  <c:v>9122.6999999999971</c:v>
                </c:pt>
                <c:pt idx="377">
                  <c:v>9122.6999999999971</c:v>
                </c:pt>
                <c:pt idx="378">
                  <c:v>9122.6999999999971</c:v>
                </c:pt>
                <c:pt idx="379">
                  <c:v>9122.6999999999971</c:v>
                </c:pt>
                <c:pt idx="380">
                  <c:v>9122.6999999999971</c:v>
                </c:pt>
                <c:pt idx="381">
                  <c:v>9122.6999999999971</c:v>
                </c:pt>
                <c:pt idx="382">
                  <c:v>9122.6999999999971</c:v>
                </c:pt>
                <c:pt idx="383">
                  <c:v>8123.7299999999977</c:v>
                </c:pt>
                <c:pt idx="384">
                  <c:v>8123.7299999999977</c:v>
                </c:pt>
                <c:pt idx="385">
                  <c:v>8123.7299999999977</c:v>
                </c:pt>
                <c:pt idx="386">
                  <c:v>8123.7299999999977</c:v>
                </c:pt>
                <c:pt idx="387">
                  <c:v>8123.7299999999977</c:v>
                </c:pt>
                <c:pt idx="388">
                  <c:v>8123.7299999999977</c:v>
                </c:pt>
                <c:pt idx="389">
                  <c:v>8123.7299999999977</c:v>
                </c:pt>
                <c:pt idx="390">
                  <c:v>8123.7299999999977</c:v>
                </c:pt>
                <c:pt idx="391">
                  <c:v>8123.7299999999977</c:v>
                </c:pt>
                <c:pt idx="392">
                  <c:v>8123.7299999999977</c:v>
                </c:pt>
                <c:pt idx="393">
                  <c:v>8123.7299999999977</c:v>
                </c:pt>
                <c:pt idx="394">
                  <c:v>8123.7299999999977</c:v>
                </c:pt>
                <c:pt idx="395">
                  <c:v>8123.7299999999977</c:v>
                </c:pt>
                <c:pt idx="396">
                  <c:v>8120.6299999999983</c:v>
                </c:pt>
                <c:pt idx="397">
                  <c:v>8120.6299999999983</c:v>
                </c:pt>
                <c:pt idx="398">
                  <c:v>8120.6299999999983</c:v>
                </c:pt>
                <c:pt idx="399">
                  <c:v>8120.6299999999983</c:v>
                </c:pt>
                <c:pt idx="400">
                  <c:v>8120.6299999999983</c:v>
                </c:pt>
                <c:pt idx="401">
                  <c:v>8120.6299999999983</c:v>
                </c:pt>
                <c:pt idx="402">
                  <c:v>8120.6299999999983</c:v>
                </c:pt>
                <c:pt idx="403">
                  <c:v>8120.6299999999983</c:v>
                </c:pt>
                <c:pt idx="404">
                  <c:v>8120.6299999999983</c:v>
                </c:pt>
                <c:pt idx="405">
                  <c:v>8086.0399999999981</c:v>
                </c:pt>
                <c:pt idx="406">
                  <c:v>8086.0399999999981</c:v>
                </c:pt>
                <c:pt idx="407">
                  <c:v>8086.0399999999981</c:v>
                </c:pt>
                <c:pt idx="408">
                  <c:v>8086.0399999999981</c:v>
                </c:pt>
                <c:pt idx="409">
                  <c:v>8035.0199999999986</c:v>
                </c:pt>
                <c:pt idx="410">
                  <c:v>8035.0199999999986</c:v>
                </c:pt>
                <c:pt idx="411">
                  <c:v>8035.0199999999986</c:v>
                </c:pt>
                <c:pt idx="412">
                  <c:v>8035.0199999999986</c:v>
                </c:pt>
                <c:pt idx="413">
                  <c:v>8035.0199999999986</c:v>
                </c:pt>
                <c:pt idx="414">
                  <c:v>8035.0199999999986</c:v>
                </c:pt>
                <c:pt idx="415">
                  <c:v>8035.0199999999986</c:v>
                </c:pt>
                <c:pt idx="416">
                  <c:v>8035.0199999999986</c:v>
                </c:pt>
                <c:pt idx="417">
                  <c:v>8035.0199999999986</c:v>
                </c:pt>
                <c:pt idx="418">
                  <c:v>8035.0199999999986</c:v>
                </c:pt>
                <c:pt idx="419">
                  <c:v>8035.0199999999986</c:v>
                </c:pt>
                <c:pt idx="420">
                  <c:v>8035.0199999999986</c:v>
                </c:pt>
                <c:pt idx="421">
                  <c:v>8035.0199999999986</c:v>
                </c:pt>
                <c:pt idx="422">
                  <c:v>8035.0199999999986</c:v>
                </c:pt>
                <c:pt idx="423">
                  <c:v>8035.0199999999986</c:v>
                </c:pt>
                <c:pt idx="424">
                  <c:v>8035.0199999999986</c:v>
                </c:pt>
                <c:pt idx="425">
                  <c:v>8035.0199999999986</c:v>
                </c:pt>
                <c:pt idx="426">
                  <c:v>8035.0199999999986</c:v>
                </c:pt>
                <c:pt idx="427">
                  <c:v>8035.0199999999986</c:v>
                </c:pt>
                <c:pt idx="428">
                  <c:v>8035.0199999999986</c:v>
                </c:pt>
                <c:pt idx="429">
                  <c:v>7095.3399999999983</c:v>
                </c:pt>
                <c:pt idx="430">
                  <c:v>7095.3399999999983</c:v>
                </c:pt>
                <c:pt idx="431">
                  <c:v>7095.3399999999983</c:v>
                </c:pt>
                <c:pt idx="432">
                  <c:v>7095.3399999999983</c:v>
                </c:pt>
                <c:pt idx="433">
                  <c:v>7095.3399999999983</c:v>
                </c:pt>
                <c:pt idx="434">
                  <c:v>7095.3399999999983</c:v>
                </c:pt>
                <c:pt idx="435">
                  <c:v>7095.3399999999983</c:v>
                </c:pt>
                <c:pt idx="436">
                  <c:v>7095.3399999999983</c:v>
                </c:pt>
                <c:pt idx="437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hiLowLine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  <c:min val="6000"/>
        </c:scaling>
        <c:delete val="0"/>
        <c:axPos val="r"/>
        <c:majorGridlines>
          <c:spPr>
            <a:ln w="12700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alpha val="36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sz="3000" b="0">
                <a:solidFill>
                  <a:schemeClr val="tx1"/>
                </a:solidFill>
              </a:rPr>
              <a:t>Coin Diversity</a:t>
            </a:r>
          </a:p>
        </c:rich>
      </c:tx>
      <c:layout>
        <c:manualLayout>
          <c:xMode val="edge"/>
          <c:yMode val="edge"/>
          <c:x val="0.33105223616726254"/>
          <c:y val="0.1426621237086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5480017620077"/>
          <c:y val="0.25782263644885339"/>
          <c:w val="0.73239849020098979"/>
          <c:h val="0.6026207049143784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EF-8B4F-AF19-855BB5A9656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BEF-8B4F-AF19-855BB5A96562}"/>
              </c:ext>
            </c:extLst>
          </c:dPt>
          <c:dLbls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BEF-8B4F-AF19-855BB5A96562}"/>
                </c:ext>
              </c:extLst>
            </c:dLbl>
            <c:dLbl>
              <c:idx val="33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F-8B4F-AF19-855BB5A96562}"/>
                </c:ext>
              </c:extLst>
            </c:dLbl>
            <c:dLbl>
              <c:idx val="34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F-8B4F-AF19-855BB5A96562}"/>
                </c:ext>
              </c:extLst>
            </c:dLbl>
            <c:dLbl>
              <c:idx val="35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F-8B4F-AF19-855BB5A96562}"/>
                </c:ext>
              </c:extLst>
            </c:dLbl>
            <c:dLbl>
              <c:idx val="36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EF-8B4F-AF19-855BB5A96562}"/>
                </c:ext>
              </c:extLst>
            </c:dLbl>
            <c:dLbl>
              <c:idx val="37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F-8B4F-AF19-855BB5A96562}"/>
                </c:ext>
              </c:extLst>
            </c:dLbl>
            <c:dLbl>
              <c:idx val="38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F-8B4F-AF19-855BB5A96562}"/>
                </c:ext>
              </c:extLst>
            </c:dLbl>
            <c:dLbl>
              <c:idx val="39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F-8B4F-AF19-855BB5A96562}"/>
                </c:ext>
              </c:extLst>
            </c:dLbl>
            <c:dLbl>
              <c:idx val="40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EF-8B4F-AF19-855BB5A96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[0]!ASSETS</c:f>
              <c:strCache>
                <c:ptCount val="2"/>
                <c:pt idx="0">
                  <c:v>XRP</c:v>
                </c:pt>
                <c:pt idx="1">
                  <c:v>HBAR</c:v>
                </c:pt>
              </c:strCache>
            </c:strRef>
          </c:cat>
          <c:val>
            <c:numRef>
              <c:f>[0]!ASSETS_VALUE</c:f>
              <c:numCache>
                <c:formatCode>"$"#,##0.00</c:formatCode>
                <c:ptCount val="2"/>
                <c:pt idx="0">
                  <c:v>6019.6334009070815</c:v>
                </c:pt>
                <c:pt idx="1">
                  <c:v>6642.4674098866617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F-8B4F-AF19-855BB5A9656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380851082477108"/>
          <c:y val="0.92402618172186624"/>
          <c:w val="0.28616101160605645"/>
          <c:h val="4.4772637813098953E-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8400">
        <a:alpha val="49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202044</xdr:rowOff>
    </xdr:from>
    <xdr:to>
      <xdr:col>14</xdr:col>
      <xdr:colOff>1</xdr:colOff>
      <xdr:row>35</xdr:row>
      <xdr:rowOff>55823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15995</xdr:colOff>
      <xdr:row>0</xdr:row>
      <xdr:rowOff>0</xdr:rowOff>
    </xdr:from>
    <xdr:to>
      <xdr:col>21</xdr:col>
      <xdr:colOff>307032</xdr:colOff>
      <xdr:row>39</xdr:row>
      <xdr:rowOff>374281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C0848E-B710-C768-1980-51F5783A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884C7E8E-AE3F-E14F-96EF-71DD7C168FF1}" autoFormatId="16" applyNumberFormats="0" applyBorderFormats="0" applyFontFormats="0" applyPatternFormats="0" applyAlignmentFormats="0" applyWidthHeightFormats="0">
  <queryTableRefresh nextId="7">
    <queryTableFields count="5">
      <queryTableField id="1" name="Date" tableColumnId="1"/>
      <queryTableField id="2" name="Currency" tableColumnId="2"/>
      <queryTableField id="5" name="Price" tableColumnId="5"/>
      <queryTableField id="3" name="Quantity" tableColumnId="3"/>
      <queryTableField id="4" name="Cost Basis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83747B2-D659-0546-BA17-819FCF09D66E}" autoFormatId="16" applyNumberFormats="0" applyBorderFormats="0" applyFontFormats="0" applyPatternFormats="0" applyAlignmentFormats="0" applyWidthHeightFormats="0">
  <queryTableRefresh nextId="8">
    <queryTableFields count="7">
      <queryTableField id="1" name="Currency" tableColumnId="1"/>
      <queryTableField id="2" name="Quantity" tableColumnId="2"/>
      <queryTableField id="3" name="Date Acquired" tableColumnId="3"/>
      <queryTableField id="4" name="Date Sold" tableColumnId="4"/>
      <queryTableField id="5" name="Proceeds" tableColumnId="5"/>
      <queryTableField id="6" name="Cost Basis" tableColumnId="6"/>
      <queryTableField id="7" name="Return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643D54F5-CCCC-0142-9EC3-6DFE7B4ADFE8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Portfolio Value" tableColumnId="2"/>
      <queryTableField id="3" name="Cost Basis" tableColumnId="3"/>
      <queryTableField id="4" name="Unrealized Retur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EAC785-B139-6341-B3BE-8F8C4572CD90}" name="After_Sales__4" displayName="After_Sales__4" ref="A1:E46" tableType="queryTable" totalsRowShown="0">
  <autoFilter ref="A1:E46" xr:uid="{E7EAC785-B139-6341-B3BE-8F8C4572CD90}"/>
  <tableColumns count="5">
    <tableColumn id="1" xr3:uid="{AECFFA4F-DD0B-BE4F-BCB0-F3B95BF13A5F}" uniqueName="1" name="Date" queryTableFieldId="1" dataDxfId="19"/>
    <tableColumn id="2" xr3:uid="{DFD961B5-1BFE-1247-97AE-BFF99C006379}" uniqueName="2" name="Currency" queryTableFieldId="2" dataDxfId="24"/>
    <tableColumn id="5" xr3:uid="{240A2F55-666B-9247-B67F-7930E4BFCE0F}" uniqueName="5" name="Price" queryTableFieldId="5"/>
    <tableColumn id="3" xr3:uid="{39FE6F34-6887-F940-9A12-028A2F5DAE1F}" uniqueName="3" name="Quantity" queryTableFieldId="3"/>
    <tableColumn id="4" xr3:uid="{3C3FAA1E-AB4D-F544-981F-4B0D21ED4F58}" uniqueName="4" name="Cost Basis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605F4F-1615-0546-809D-3E8FCDBFD987}" name="_8949" displayName="_8949" ref="A1:G446" tableType="queryTable" totalsRowShown="0">
  <autoFilter ref="A1:G446" xr:uid="{B5605F4F-1615-0546-809D-3E8FCDBFD987}"/>
  <tableColumns count="7">
    <tableColumn id="1" xr3:uid="{B91FD79B-9790-DF44-B1A8-4408E7F2094C}" uniqueName="1" name="Currency" queryTableFieldId="1" dataDxfId="23"/>
    <tableColumn id="2" xr3:uid="{7A239754-B32D-0447-84B1-22E3CC21AC84}" uniqueName="2" name="Quantity" queryTableFieldId="2"/>
    <tableColumn id="3" xr3:uid="{12526AB5-F56E-8D41-8ABF-F649B1C40B85}" uniqueName="3" name="Date Acquired" queryTableFieldId="3" dataDxfId="22"/>
    <tableColumn id="4" xr3:uid="{A312B5E6-11CA-0A40-BEE5-C73186922E67}" uniqueName="4" name="Date Sold" queryTableFieldId="4" dataDxfId="21"/>
    <tableColumn id="5" xr3:uid="{1F20287D-5817-8342-98A0-DBA999A97B0A}" uniqueName="5" name="Proceeds" queryTableFieldId="5"/>
    <tableColumn id="6" xr3:uid="{858FE9C7-A1BE-E049-B6B0-B8A8B521B86A}" uniqueName="6" name="Cost Basis" queryTableFieldId="6"/>
    <tableColumn id="7" xr3:uid="{0A7DEFB4-2FA7-9F46-B143-572BE36580E5}" uniqueName="7" name="Return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20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226" tableType="queryTable" totalsRowShown="0">
  <autoFilter ref="A1:D1226" xr:uid="{2B141AC4-AD9A-EC4D-A1EF-775064B6D606}"/>
  <tableColumns count="4">
    <tableColumn id="1" xr3:uid="{3AA8E93A-539C-934F-88E3-D64F6C91523A}" uniqueName="1" name="Date" queryTableFieldId="1" dataDxfId="18"/>
    <tableColumn id="2" xr3:uid="{9B3EB5A6-C9BB-024B-AA85-582F8A6457D7}" uniqueName="2" name="Symbol" queryTableFieldId="2" dataDxfId="17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D439" tableType="queryTable" totalsRowShown="0">
  <autoFilter ref="A1:D439" xr:uid="{3076DD81-C4A9-034A-AD95-964EF8FB0A99}"/>
  <tableColumns count="4">
    <tableColumn id="1" xr3:uid="{55842D81-11D8-704F-9FA7-42C6664BE34D}" uniqueName="1" name="Date" queryTableFieldId="1" dataDxfId="0"/>
    <tableColumn id="2" xr3:uid="{1067D134-0319-A64D-A0AC-8D8B39A13AE7}" uniqueName="2" name="Portfolio Value" queryTableFieldId="2"/>
    <tableColumn id="3" xr3:uid="{FD303C98-9ED4-3142-83F1-9ECEA6206CFB}" uniqueName="3" name="Cost Basis" queryTableFieldId="3"/>
    <tableColumn id="4" xr3:uid="{4C538E9C-452D-4841-9715-4BF6F28BA6F1}" uniqueName="4" name="Unrealized Return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G40"/>
  <sheetViews>
    <sheetView zoomScale="66" zoomScaleNormal="125" workbookViewId="0">
      <selection activeCell="P44" sqref="P44"/>
    </sheetView>
  </sheetViews>
  <sheetFormatPr baseColWidth="10" defaultRowHeight="16" x14ac:dyDescent="0.2"/>
  <cols>
    <col min="1" max="1" width="13.5703125" style="1" customWidth="1"/>
    <col min="2" max="2" width="14.85546875" style="1" customWidth="1"/>
    <col min="3" max="3" width="7.42578125" style="1" customWidth="1"/>
    <col min="4" max="4" width="17.7109375" style="1" customWidth="1"/>
    <col min="5" max="5" width="5.7109375" style="6" customWidth="1"/>
    <col min="6" max="6" width="16.140625" style="1" customWidth="1"/>
    <col min="7" max="7" width="10.140625" style="6" customWidth="1"/>
    <col min="8" max="8" width="16.140625" style="1" customWidth="1"/>
    <col min="9" max="9" width="18.7109375" style="6" customWidth="1"/>
    <col min="10" max="10" width="16.28515625" style="1" customWidth="1"/>
    <col min="11" max="30" width="10.7109375" style="1" customWidth="1"/>
    <col min="31" max="16384" width="10.7109375" style="1"/>
  </cols>
  <sheetData>
    <row r="1" spans="1:215" s="31" customFormat="1" ht="16" customHeight="1" x14ac:dyDescent="0.2">
      <c r="A1" s="199" t="s">
        <v>0</v>
      </c>
      <c r="B1" s="199"/>
      <c r="C1" s="199"/>
      <c r="D1" s="199"/>
      <c r="E1" s="199"/>
      <c r="G1" s="190" t="s">
        <v>144</v>
      </c>
      <c r="H1" s="191"/>
      <c r="I1" s="193">
        <f ca="1">I5+I7</f>
        <v>-556.64918920625882</v>
      </c>
      <c r="J1" s="193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</row>
    <row r="2" spans="1:215" s="31" customFormat="1" x14ac:dyDescent="0.2">
      <c r="A2" s="199"/>
      <c r="B2" s="199"/>
      <c r="C2" s="199"/>
      <c r="D2" s="199"/>
      <c r="E2" s="199"/>
      <c r="G2" s="191"/>
      <c r="H2" s="191"/>
      <c r="I2" s="193"/>
      <c r="J2" s="193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</row>
    <row r="3" spans="1:215" s="32" customFormat="1" ht="17" customHeight="1" thickBot="1" x14ac:dyDescent="0.25">
      <c r="A3" s="200"/>
      <c r="B3" s="200"/>
      <c r="C3" s="200"/>
      <c r="D3" s="200"/>
      <c r="E3" s="200"/>
      <c r="G3" s="192"/>
      <c r="H3" s="192"/>
      <c r="I3" s="194"/>
      <c r="J3" s="194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</row>
    <row r="4" spans="1:215" s="43" customFormat="1" ht="17" customHeight="1" thickTop="1" x14ac:dyDescent="0.2">
      <c r="E4" s="40"/>
      <c r="G4" s="40"/>
      <c r="I4" s="40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</row>
    <row r="5" spans="1:215" s="43" customFormat="1" ht="16" customHeight="1" x14ac:dyDescent="0.2">
      <c r="A5" s="201" t="s">
        <v>1</v>
      </c>
      <c r="B5" s="201"/>
      <c r="C5" s="203">
        <f>'Value &amp; Cost Basis'!C2</f>
        <v>12079.17</v>
      </c>
      <c r="D5" s="203"/>
      <c r="E5" s="203"/>
      <c r="G5" s="196" t="s">
        <v>13</v>
      </c>
      <c r="H5" s="196"/>
      <c r="I5" s="197">
        <f>'Value &amp; Cost Basis'!B2-'Value &amp; Cost Basis'!C2</f>
        <v>582.93081079373951</v>
      </c>
      <c r="J5" s="198">
        <f>I5/C5</f>
        <v>4.8259177641654147E-2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</row>
    <row r="6" spans="1:215" s="43" customFormat="1" ht="16" customHeight="1" x14ac:dyDescent="0.2">
      <c r="A6" s="201"/>
      <c r="B6" s="201"/>
      <c r="C6" s="203"/>
      <c r="D6" s="203"/>
      <c r="E6" s="203"/>
      <c r="G6" s="196"/>
      <c r="H6" s="196"/>
      <c r="I6" s="197"/>
      <c r="J6" s="198"/>
      <c r="K6" s="49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</row>
    <row r="7" spans="1:215" s="43" customFormat="1" ht="16" customHeight="1" x14ac:dyDescent="0.2">
      <c r="A7" s="202" t="s">
        <v>2</v>
      </c>
      <c r="B7" s="202"/>
      <c r="C7" s="204" cm="1">
        <f t="array" aca="1" ref="C7" ca="1">SUM(_xlfn._xlws.FILTER(CURRENT_QUANTITY, (CURRENCY_VALUE &gt; 5)) * INDEX(PRICES, MATCH(_xlfn._xlws.FILTER(CURRENCY, (CURRENCY_VALUE &gt; 5)), PRICES_SYMBOL, 0)))</f>
        <v>12662.100810793743</v>
      </c>
      <c r="D7" s="204"/>
      <c r="E7" s="204"/>
      <c r="G7" s="188" t="s">
        <v>143</v>
      </c>
      <c r="H7" s="188"/>
      <c r="I7" s="189">
        <f ca="1">SUM(RETURN_8949)</f>
        <v>-1139.5799999999983</v>
      </c>
      <c r="J7" s="48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</row>
    <row r="8" spans="1:215" s="43" customFormat="1" ht="16" customHeight="1" x14ac:dyDescent="0.2">
      <c r="A8" s="202"/>
      <c r="B8" s="202"/>
      <c r="C8" s="204"/>
      <c r="D8" s="204"/>
      <c r="E8" s="204"/>
      <c r="G8" s="188"/>
      <c r="H8" s="188"/>
      <c r="I8" s="189"/>
      <c r="J8" s="48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</row>
    <row r="9" spans="1:215" s="43" customFormat="1" ht="17" customHeight="1" x14ac:dyDescent="0.2">
      <c r="A9" s="202"/>
      <c r="B9" s="202"/>
      <c r="C9" s="204"/>
      <c r="D9" s="204"/>
      <c r="E9" s="204"/>
      <c r="G9" s="188"/>
      <c r="H9" s="188"/>
      <c r="I9" s="189"/>
      <c r="M9" s="186"/>
      <c r="N9" s="187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</row>
    <row r="10" spans="1:215" s="43" customFormat="1" ht="17" customHeight="1" x14ac:dyDescent="0.2">
      <c r="E10" s="40"/>
      <c r="G10" s="40"/>
      <c r="I10" s="40"/>
      <c r="M10" s="187"/>
      <c r="N10" s="187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</row>
    <row r="12" spans="1:215" ht="17" customHeight="1" x14ac:dyDescent="0.2"/>
    <row r="13" spans="1:215" s="5" customFormat="1" ht="21" customHeight="1" x14ac:dyDescent="0.25">
      <c r="E13" s="28"/>
      <c r="G13" s="28"/>
      <c r="I13" s="28"/>
      <c r="M13" s="26" t="s">
        <v>3</v>
      </c>
    </row>
    <row r="14" spans="1:215" x14ac:dyDescent="0.2">
      <c r="M14" s="27" t="s">
        <v>4</v>
      </c>
    </row>
    <row r="15" spans="1:215" x14ac:dyDescent="0.2">
      <c r="M15" s="27" t="s">
        <v>5</v>
      </c>
    </row>
    <row r="16" spans="1:215" x14ac:dyDescent="0.2">
      <c r="M16" s="27" t="s">
        <v>6</v>
      </c>
    </row>
    <row r="17" spans="13:13" x14ac:dyDescent="0.2">
      <c r="M17" s="27" t="s">
        <v>7</v>
      </c>
    </row>
    <row r="18" spans="13:13" x14ac:dyDescent="0.2">
      <c r="M18" s="27" t="s">
        <v>8</v>
      </c>
    </row>
    <row r="19" spans="13:13" x14ac:dyDescent="0.2">
      <c r="M19" s="27" t="s">
        <v>9</v>
      </c>
    </row>
    <row r="35" spans="1:215" ht="16" customHeight="1" x14ac:dyDescent="0.2">
      <c r="C35" s="33"/>
    </row>
    <row r="36" spans="1:215" ht="5" customHeight="1" x14ac:dyDescent="0.2">
      <c r="B36" s="33"/>
      <c r="C36" s="33"/>
    </row>
    <row r="37" spans="1:215" s="31" customFormat="1" ht="28" customHeight="1" thickBot="1" x14ac:dyDescent="0.3">
      <c r="A37" s="38" t="s">
        <v>10</v>
      </c>
      <c r="B37" s="46" t="s">
        <v>90</v>
      </c>
      <c r="C37" s="38"/>
      <c r="D37" s="38" t="s">
        <v>11</v>
      </c>
      <c r="E37" s="38"/>
      <c r="F37" s="39" t="s">
        <v>12</v>
      </c>
      <c r="G37" s="38"/>
      <c r="H37" s="39" t="s">
        <v>1</v>
      </c>
      <c r="I37" s="44"/>
      <c r="J37" s="195" t="s">
        <v>13</v>
      </c>
      <c r="K37" s="195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</row>
    <row r="38" spans="1:215" s="43" customFormat="1" ht="12" customHeight="1" x14ac:dyDescent="0.25">
      <c r="A38" s="34"/>
      <c r="B38" s="34"/>
      <c r="C38" s="34"/>
      <c r="D38" s="35"/>
      <c r="E38" s="34"/>
      <c r="F38" s="35"/>
      <c r="G38" s="34"/>
      <c r="H38" s="35"/>
      <c r="I38" s="40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</row>
    <row r="39" spans="1:215" s="43" customFormat="1" ht="25" x14ac:dyDescent="0.25">
      <c r="A39" s="36" t="str" cm="1">
        <f t="array" aca="1" ref="A39:A40" ca="1">_xlfn._xlws.FILTER(CURRENCY, (CURRENCY_VALUE &gt; 5))</f>
        <v>XRP</v>
      </c>
      <c r="B39" s="47" cm="1">
        <f t="array" aca="1" ref="B39:B40" ca="1">INDEX(PRICES,MATCH(_xlfn._xlws.FILTER(CURRENCY,(CURRENCY_VALUE&gt;5)),PRICES_SYMBOL,0))</f>
        <v>0.49045993999999998</v>
      </c>
      <c r="C39" s="36"/>
      <c r="D39" s="45" cm="1">
        <f t="array" aca="1" ref="D39:D40" ca="1">_xlfn._xlws.FILTER(CURRENT_QUANTITY, (CURRENCY_VALUE &gt; 5))</f>
        <v>12273.445616999998</v>
      </c>
      <c r="E39" s="36"/>
      <c r="F39" s="37" cm="1">
        <f t="array" aca="1" ref="F39:F40" ca="1">_xlfn._xlws.FILTER(CURRENCY_VALUE, (CURRENCY_VALUE &gt; 5))</f>
        <v>6019.6334009070815</v>
      </c>
      <c r="G39" s="36"/>
      <c r="H39" s="37" cm="1">
        <f t="array" aca="1" ref="H39:H40" ca="1">_xlfn._xlws.FILTER(CURRENT_COST_BASIS, (CURRENCY_VALUE &gt; 5))</f>
        <v>7072.8099999999995</v>
      </c>
      <c r="I39" s="40"/>
      <c r="J39" s="42" cm="1">
        <f t="array" aca="1" ref="J39:J40" ca="1">_xlfn._xlws.FILTER(UNREALIZED_RETURN, (CURRENCY_VALUE &gt; 5))</f>
        <v>-1053.176599092918</v>
      </c>
      <c r="K39" s="41" cm="1">
        <f t="array" aca="1" ref="K39:K40" ca="1">_xlfn._xlws.FILTER(UNREALIZED_RETURN, (CURRENCY_VALUE &gt; 5)) / _xlfn._xlws.FILTER(CURRENT_COST_BASIS, (CURRENCY_VALUE &gt; 5))</f>
        <v>-0.14890497540481337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</row>
    <row r="40" spans="1:215" s="43" customFormat="1" ht="30" customHeight="1" x14ac:dyDescent="0.25">
      <c r="A40" s="36" t="str">
        <f ca="1"/>
        <v>HBAR</v>
      </c>
      <c r="B40" s="47">
        <f ca="1"/>
        <v>8.1482529999999997E-2</v>
      </c>
      <c r="C40" s="36"/>
      <c r="D40" s="45">
        <f ca="1"/>
        <v>81520.141923510004</v>
      </c>
      <c r="E40" s="36"/>
      <c r="F40" s="37">
        <f ca="1"/>
        <v>6642.4674098866617</v>
      </c>
      <c r="G40" s="36"/>
      <c r="H40" s="37">
        <f ca="1"/>
        <v>5004.399999999996</v>
      </c>
      <c r="I40" s="40"/>
      <c r="J40" s="42">
        <f ca="1"/>
        <v>1638.0674098866657</v>
      </c>
      <c r="K40" s="41">
        <f ca="1"/>
        <v>0.32732543559401067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</row>
  </sheetData>
  <mergeCells count="14">
    <mergeCell ref="J37:K37"/>
    <mergeCell ref="G5:H6"/>
    <mergeCell ref="I5:I6"/>
    <mergeCell ref="J5:J6"/>
    <mergeCell ref="A1:E3"/>
    <mergeCell ref="A5:B6"/>
    <mergeCell ref="A7:B9"/>
    <mergeCell ref="C5:E6"/>
    <mergeCell ref="C7:E9"/>
    <mergeCell ref="M9:N10"/>
    <mergeCell ref="G7:H9"/>
    <mergeCell ref="I7:I9"/>
    <mergeCell ref="G1:H3"/>
    <mergeCell ref="I1:J3"/>
  </mergeCells>
  <dataValidations count="1">
    <dataValidation type="list" showInputMessage="1" showErrorMessage="1" sqref="M9:N10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G375"/>
  <sheetViews>
    <sheetView zoomScale="107" workbookViewId="0">
      <pane ySplit="1" topLeftCell="A2" activePane="bottomLeft" state="frozen"/>
      <selection activeCell="D1" sqref="D1"/>
      <selection pane="bottomLeft" activeCell="C47" sqref="C47"/>
    </sheetView>
  </sheetViews>
  <sheetFormatPr baseColWidth="10" defaultRowHeight="16" x14ac:dyDescent="0.2"/>
  <cols>
    <col min="1" max="1" width="21.28515625" style="169" customWidth="1"/>
    <col min="2" max="2" width="21.5703125" style="170" customWidth="1"/>
    <col min="3" max="3" width="20.85546875" style="171" customWidth="1"/>
    <col min="4" max="4" width="22.5703125" style="171" customWidth="1"/>
    <col min="5" max="5" width="22.5703125" style="180" customWidth="1"/>
    <col min="6" max="6" width="28.85546875" style="172" customWidth="1"/>
    <col min="7" max="7" width="17" style="173" customWidth="1"/>
    <col min="8" max="8" width="19" style="173" customWidth="1"/>
    <col min="9" max="9" width="23.7109375" style="174" customWidth="1"/>
    <col min="10" max="10" width="15.5703125" style="175" customWidth="1"/>
    <col min="11" max="11" width="16" style="175" customWidth="1"/>
    <col min="12" max="12" width="23" style="176" customWidth="1"/>
    <col min="13" max="13" width="24.28515625" style="177" customWidth="1"/>
    <col min="14" max="14" width="28.28515625" style="177" customWidth="1"/>
    <col min="15" max="16384" width="10.7109375" style="154"/>
  </cols>
  <sheetData>
    <row r="1" spans="1:33" ht="19" customHeight="1" x14ac:dyDescent="0.2">
      <c r="A1" s="145" t="s">
        <v>16</v>
      </c>
      <c r="B1" s="146" t="s">
        <v>17</v>
      </c>
      <c r="C1" s="147" t="s">
        <v>18</v>
      </c>
      <c r="D1" s="147" t="s">
        <v>19</v>
      </c>
      <c r="E1" s="178" t="s">
        <v>150</v>
      </c>
      <c r="F1" s="148" t="s">
        <v>20</v>
      </c>
      <c r="G1" s="149" t="s">
        <v>21</v>
      </c>
      <c r="H1" s="149" t="s">
        <v>22</v>
      </c>
      <c r="I1" s="150" t="s">
        <v>23</v>
      </c>
      <c r="J1" s="151" t="s">
        <v>24</v>
      </c>
      <c r="K1" s="151" t="s">
        <v>25</v>
      </c>
      <c r="L1" s="152" t="s">
        <v>26</v>
      </c>
      <c r="M1" s="153" t="s">
        <v>27</v>
      </c>
      <c r="N1" s="153" t="s">
        <v>28</v>
      </c>
    </row>
    <row r="2" spans="1:33" s="164" customFormat="1" x14ac:dyDescent="0.2">
      <c r="A2" s="155">
        <v>45407.979166666664</v>
      </c>
      <c r="B2" s="156" t="s">
        <v>29</v>
      </c>
      <c r="C2" s="157">
        <f>12253+9.459208</f>
        <v>12262.459208</v>
      </c>
      <c r="D2" s="157" t="s">
        <v>14</v>
      </c>
      <c r="E2" s="179" cm="1">
        <f t="array" aca="1" ref="E2:E357" ca="1">IFERROR(IF(RECEIVED_COST_BASIS = 0, "", RECEIVED_COST_BASIS/RECEIVED_QUANTITY), "")</f>
        <v>0.52730042892061946</v>
      </c>
      <c r="F2" s="158">
        <f>6461.01+4.99</f>
        <v>6466</v>
      </c>
      <c r="G2" s="159">
        <f>9.45921+12253</f>
        <v>12262.459210000001</v>
      </c>
      <c r="H2" s="159" t="s">
        <v>14</v>
      </c>
      <c r="I2" s="160">
        <f>6470.62+4.99</f>
        <v>6475.61</v>
      </c>
      <c r="J2" s="161">
        <v>2.0000000000000002E-5</v>
      </c>
      <c r="K2" s="161" t="s">
        <v>14</v>
      </c>
      <c r="L2" s="162">
        <v>0</v>
      </c>
      <c r="M2" s="163"/>
      <c r="N2" s="163"/>
    </row>
    <row r="3" spans="1:33" s="164" customFormat="1" x14ac:dyDescent="0.2">
      <c r="A3" s="155">
        <v>45407.974999999999</v>
      </c>
      <c r="B3" s="156" t="s">
        <v>29</v>
      </c>
      <c r="C3" s="157">
        <f>81528+41.46061364</f>
        <v>81569.460613639996</v>
      </c>
      <c r="D3" s="157" t="s">
        <v>15</v>
      </c>
      <c r="E3" s="179">
        <f ca="1"/>
        <v>0.11945034240389102</v>
      </c>
      <c r="F3" s="158">
        <f>9738.52+4.98</f>
        <v>9743.5</v>
      </c>
      <c r="G3" s="159">
        <f>81528.00086156 + 41.4614</f>
        <v>81569.462261559995</v>
      </c>
      <c r="H3" s="159" t="s">
        <v>15</v>
      </c>
      <c r="I3" s="160">
        <f>9734.15 + 4.95</f>
        <v>9739.1</v>
      </c>
      <c r="J3" s="161">
        <f>0.00086156 * 2</f>
        <v>1.7231200000000001E-3</v>
      </c>
      <c r="K3" s="161" t="s">
        <v>15</v>
      </c>
      <c r="L3" s="162">
        <v>0</v>
      </c>
      <c r="M3" s="163"/>
      <c r="N3" s="163"/>
    </row>
    <row r="4" spans="1:33" s="164" customFormat="1" x14ac:dyDescent="0.2">
      <c r="A4" s="155">
        <v>45345.194444444453</v>
      </c>
      <c r="B4" s="156" t="s">
        <v>29</v>
      </c>
      <c r="C4" s="157">
        <v>3616.6573899999999</v>
      </c>
      <c r="D4" s="157" t="s">
        <v>14</v>
      </c>
      <c r="E4" s="179">
        <f ca="1"/>
        <v>0.54487881695644946</v>
      </c>
      <c r="F4" s="158">
        <v>1970.64</v>
      </c>
      <c r="G4" s="159">
        <v>3616.6573899999999</v>
      </c>
      <c r="H4" s="159" t="s">
        <v>14</v>
      </c>
      <c r="I4" s="160">
        <v>1970.64</v>
      </c>
      <c r="J4" s="161"/>
      <c r="K4" s="161"/>
      <c r="L4" s="162"/>
      <c r="M4" s="163"/>
      <c r="N4" s="163"/>
    </row>
    <row r="5" spans="1:33" s="164" customFormat="1" x14ac:dyDescent="0.2">
      <c r="A5" s="155">
        <v>45345.19027777778</v>
      </c>
      <c r="B5" s="156" t="s">
        <v>30</v>
      </c>
      <c r="C5" s="157">
        <v>3616.6573899999999</v>
      </c>
      <c r="D5" s="157" t="s">
        <v>14</v>
      </c>
      <c r="E5" s="179">
        <f ca="1"/>
        <v>0.54487881695644946</v>
      </c>
      <c r="F5" s="158">
        <v>1970.64</v>
      </c>
      <c r="G5" s="159"/>
      <c r="H5" s="159"/>
      <c r="I5" s="160"/>
      <c r="J5" s="161">
        <v>29.36</v>
      </c>
      <c r="K5" s="161" t="s">
        <v>31</v>
      </c>
      <c r="L5" s="162">
        <v>29.36</v>
      </c>
      <c r="M5" s="163"/>
      <c r="N5" s="163"/>
      <c r="T5" s="165"/>
      <c r="U5" s="166"/>
      <c r="V5" s="166"/>
      <c r="W5" s="166"/>
      <c r="X5" s="167"/>
      <c r="Y5" s="168"/>
      <c r="Z5" s="166"/>
      <c r="AA5" s="166"/>
      <c r="AB5" s="168"/>
      <c r="AC5" s="166"/>
      <c r="AD5" s="166"/>
      <c r="AE5" s="168"/>
      <c r="AF5" s="168"/>
      <c r="AG5" s="168"/>
    </row>
    <row r="6" spans="1:33" x14ac:dyDescent="0.2">
      <c r="A6" s="169">
        <v>45327.971851851849</v>
      </c>
      <c r="B6" s="170" t="s">
        <v>30</v>
      </c>
      <c r="C6" s="171">
        <v>10.87677555</v>
      </c>
      <c r="D6" s="171" t="s">
        <v>15</v>
      </c>
      <c r="E6" s="180">
        <f ca="1"/>
        <v>6.8034869028808814E-2</v>
      </c>
      <c r="F6" s="172">
        <v>0.74</v>
      </c>
      <c r="J6" s="175">
        <v>1.4769900000000001E-3</v>
      </c>
      <c r="K6" s="175" t="s">
        <v>15</v>
      </c>
      <c r="L6" s="176">
        <v>0</v>
      </c>
      <c r="N6" s="177">
        <v>0</v>
      </c>
      <c r="T6" s="165"/>
      <c r="U6" s="166"/>
      <c r="V6" s="166"/>
      <c r="W6" s="166"/>
      <c r="X6" s="167"/>
      <c r="Y6" s="168"/>
      <c r="Z6" s="166"/>
      <c r="AA6" s="166"/>
      <c r="AB6" s="168"/>
      <c r="AC6" s="166"/>
      <c r="AD6" s="166"/>
      <c r="AE6" s="168"/>
      <c r="AF6" s="168"/>
      <c r="AG6" s="168"/>
    </row>
    <row r="7" spans="1:33" x14ac:dyDescent="0.2">
      <c r="A7" s="169">
        <v>45320.480104166672</v>
      </c>
      <c r="B7" s="170" t="s">
        <v>30</v>
      </c>
      <c r="C7" s="171">
        <v>72.684001640000005</v>
      </c>
      <c r="D7" s="171" t="s">
        <v>15</v>
      </c>
      <c r="E7" s="180">
        <f ca="1"/>
        <v>7.333113036895253E-2</v>
      </c>
      <c r="F7" s="172">
        <v>5.33</v>
      </c>
      <c r="J7" s="175">
        <v>1.38708E-3</v>
      </c>
      <c r="K7" s="175" t="s">
        <v>15</v>
      </c>
      <c r="L7" s="176">
        <v>0</v>
      </c>
      <c r="N7" s="177">
        <v>0</v>
      </c>
    </row>
    <row r="8" spans="1:33" x14ac:dyDescent="0.2">
      <c r="A8" s="169">
        <v>45281.831469907411</v>
      </c>
      <c r="B8" s="170" t="s">
        <v>30</v>
      </c>
      <c r="C8" s="171">
        <v>34.129637819999999</v>
      </c>
      <c r="D8" s="171" t="s">
        <v>15</v>
      </c>
      <c r="E8" s="180">
        <f ca="1"/>
        <v>8.7021140267113453E-2</v>
      </c>
      <c r="F8" s="172">
        <v>2.97</v>
      </c>
      <c r="J8" s="175">
        <v>1.12359E-3</v>
      </c>
      <c r="K8" s="175" t="s">
        <v>15</v>
      </c>
      <c r="L8" s="176">
        <v>0</v>
      </c>
      <c r="N8" s="177">
        <v>0</v>
      </c>
    </row>
    <row r="9" spans="1:33" x14ac:dyDescent="0.2">
      <c r="A9" s="169">
        <v>45268.5000462963</v>
      </c>
      <c r="B9" s="170" t="s">
        <v>29</v>
      </c>
      <c r="C9" s="171">
        <v>2.5099999999999998E-4</v>
      </c>
      <c r="D9" s="171" t="s">
        <v>32</v>
      </c>
      <c r="E9" s="180" t="str">
        <f ca="1"/>
        <v/>
      </c>
      <c r="F9" s="172">
        <v>0</v>
      </c>
      <c r="G9" s="173">
        <v>2.5099999999999998E-4</v>
      </c>
      <c r="H9" s="173" t="s">
        <v>32</v>
      </c>
      <c r="I9" s="174">
        <v>0</v>
      </c>
      <c r="M9" s="177">
        <v>0</v>
      </c>
    </row>
    <row r="10" spans="1:33" x14ac:dyDescent="0.2">
      <c r="A10" s="169">
        <v>45266.919039351851</v>
      </c>
      <c r="B10" s="170" t="s">
        <v>30</v>
      </c>
      <c r="C10" s="171">
        <v>48.302981090000003</v>
      </c>
      <c r="D10" s="171" t="s">
        <v>15</v>
      </c>
      <c r="E10" s="180">
        <f ca="1"/>
        <v>6.583444599568089E-2</v>
      </c>
      <c r="F10" s="172">
        <v>3.18</v>
      </c>
      <c r="J10" s="175">
        <v>1.4703800000000001E-3</v>
      </c>
      <c r="K10" s="175" t="s">
        <v>15</v>
      </c>
      <c r="L10" s="176">
        <v>0</v>
      </c>
      <c r="N10" s="177">
        <v>0</v>
      </c>
    </row>
    <row r="11" spans="1:33" x14ac:dyDescent="0.2">
      <c r="A11" s="169">
        <v>45254.750219907408</v>
      </c>
      <c r="B11" s="170" t="s">
        <v>29</v>
      </c>
      <c r="C11" s="171">
        <v>3.4547000000000001E-2</v>
      </c>
      <c r="D11" s="171" t="s">
        <v>32</v>
      </c>
      <c r="E11" s="180" t="str">
        <f ca="1"/>
        <v/>
      </c>
      <c r="F11" s="172">
        <v>0</v>
      </c>
      <c r="G11" s="173">
        <v>3.4547000000000001E-2</v>
      </c>
      <c r="H11" s="173" t="s">
        <v>32</v>
      </c>
      <c r="I11" s="174">
        <v>0</v>
      </c>
      <c r="M11" s="177">
        <v>0</v>
      </c>
    </row>
    <row r="12" spans="1:33" x14ac:dyDescent="0.2">
      <c r="A12" s="169">
        <v>45250.833518518521</v>
      </c>
      <c r="B12" s="170" t="s">
        <v>29</v>
      </c>
      <c r="C12" s="171">
        <v>2.65E-6</v>
      </c>
      <c r="D12" s="171" t="s">
        <v>33</v>
      </c>
      <c r="E12" s="180" t="str">
        <f ca="1"/>
        <v/>
      </c>
      <c r="F12" s="172">
        <v>0</v>
      </c>
      <c r="G12" s="173">
        <v>2.65E-6</v>
      </c>
      <c r="H12" s="173" t="s">
        <v>33</v>
      </c>
      <c r="I12" s="174">
        <v>0</v>
      </c>
      <c r="M12" s="177">
        <v>0</v>
      </c>
    </row>
    <row r="13" spans="1:33" x14ac:dyDescent="0.2">
      <c r="A13" s="169">
        <v>45247.933171296303</v>
      </c>
      <c r="B13" s="170" t="s">
        <v>30</v>
      </c>
      <c r="C13" s="171">
        <v>10.96719865</v>
      </c>
      <c r="D13" s="171" t="s">
        <v>15</v>
      </c>
      <c r="E13" s="180">
        <f ca="1"/>
        <v>6.109126144076911E-2</v>
      </c>
      <c r="F13" s="172">
        <v>0.67</v>
      </c>
      <c r="J13" s="175">
        <v>1.6597999999999999E-3</v>
      </c>
      <c r="K13" s="175" t="s">
        <v>15</v>
      </c>
      <c r="L13" s="176">
        <v>0</v>
      </c>
      <c r="N13" s="177">
        <v>0</v>
      </c>
    </row>
    <row r="14" spans="1:33" x14ac:dyDescent="0.2">
      <c r="A14" s="169">
        <v>45246.916747685187</v>
      </c>
      <c r="B14" s="170" t="s">
        <v>29</v>
      </c>
      <c r="C14" s="171">
        <v>1.45E-4</v>
      </c>
      <c r="D14" s="171" t="s">
        <v>34</v>
      </c>
      <c r="E14" s="180" t="str">
        <f ca="1"/>
        <v/>
      </c>
      <c r="F14" s="172">
        <v>0</v>
      </c>
      <c r="G14" s="173">
        <v>1.45E-4</v>
      </c>
      <c r="H14" s="173" t="s">
        <v>34</v>
      </c>
      <c r="I14" s="174">
        <v>0</v>
      </c>
      <c r="M14" s="177">
        <v>0</v>
      </c>
    </row>
    <row r="15" spans="1:33" x14ac:dyDescent="0.2">
      <c r="A15" s="169">
        <v>45243.922037037039</v>
      </c>
      <c r="B15" s="170" t="s">
        <v>30</v>
      </c>
      <c r="C15" s="171">
        <v>55.782606919999999</v>
      </c>
      <c r="D15" s="171" t="s">
        <v>15</v>
      </c>
      <c r="E15" s="180">
        <f ca="1"/>
        <v>6.2205769711990364E-2</v>
      </c>
      <c r="F15" s="172">
        <v>3.47</v>
      </c>
      <c r="J15" s="175">
        <v>1.68936E-3</v>
      </c>
      <c r="K15" s="175" t="s">
        <v>15</v>
      </c>
      <c r="L15" s="176">
        <v>0</v>
      </c>
      <c r="N15" s="177">
        <v>0</v>
      </c>
    </row>
    <row r="16" spans="1:33" x14ac:dyDescent="0.2">
      <c r="A16" s="169">
        <v>45236.666921296302</v>
      </c>
      <c r="B16" s="170" t="s">
        <v>29</v>
      </c>
      <c r="C16" s="171">
        <v>1.1867399999999999E-3</v>
      </c>
      <c r="D16" s="171" t="s">
        <v>33</v>
      </c>
      <c r="E16" s="180" t="str">
        <f ca="1"/>
        <v/>
      </c>
      <c r="F16" s="172">
        <v>0</v>
      </c>
      <c r="G16" s="173">
        <v>1.1867399999999999E-3</v>
      </c>
      <c r="H16" s="173" t="s">
        <v>33</v>
      </c>
      <c r="I16" s="174">
        <v>0</v>
      </c>
      <c r="M16" s="177">
        <v>0</v>
      </c>
    </row>
    <row r="17" spans="1:14" x14ac:dyDescent="0.2">
      <c r="A17" s="169">
        <v>45234.106111111112</v>
      </c>
      <c r="B17" s="170" t="s">
        <v>29</v>
      </c>
      <c r="C17" s="171">
        <v>0.19414200000000001</v>
      </c>
      <c r="D17" s="171" t="s">
        <v>34</v>
      </c>
      <c r="E17" s="180" t="str">
        <f ca="1"/>
        <v/>
      </c>
      <c r="F17" s="172">
        <v>0</v>
      </c>
      <c r="G17" s="173">
        <v>0.19414200000000001</v>
      </c>
      <c r="H17" s="173" t="s">
        <v>34</v>
      </c>
      <c r="I17" s="174">
        <v>0</v>
      </c>
      <c r="M17" s="177">
        <v>0</v>
      </c>
    </row>
    <row r="18" spans="1:14" x14ac:dyDescent="0.2">
      <c r="A18" s="169">
        <v>45230.472326388888</v>
      </c>
      <c r="B18" s="170" t="s">
        <v>35</v>
      </c>
      <c r="C18" s="171">
        <v>0.15995400000000001</v>
      </c>
      <c r="D18" s="171" t="s">
        <v>36</v>
      </c>
      <c r="E18" s="180">
        <f ca="1"/>
        <v>1.0002875826800204</v>
      </c>
      <c r="F18" s="172">
        <v>0.16</v>
      </c>
      <c r="G18" s="173">
        <v>2.3085714300000002</v>
      </c>
      <c r="H18" s="173" t="s">
        <v>37</v>
      </c>
      <c r="I18" s="174">
        <v>0.16</v>
      </c>
      <c r="M18" s="177">
        <v>0</v>
      </c>
    </row>
    <row r="19" spans="1:14" x14ac:dyDescent="0.2">
      <c r="A19" s="169">
        <v>45224.691180555557</v>
      </c>
      <c r="B19" s="170" t="s">
        <v>30</v>
      </c>
      <c r="C19" s="171">
        <v>15.683454920000001</v>
      </c>
      <c r="D19" s="171" t="s">
        <v>15</v>
      </c>
      <c r="E19" s="180">
        <f ca="1"/>
        <v>5.1646783449931323E-2</v>
      </c>
      <c r="F19" s="172">
        <v>0.81</v>
      </c>
      <c r="J19" s="175">
        <v>1.9652900000000002E-3</v>
      </c>
      <c r="K19" s="175" t="s">
        <v>15</v>
      </c>
      <c r="L19" s="176">
        <v>0</v>
      </c>
      <c r="N19" s="177">
        <v>0</v>
      </c>
    </row>
    <row r="20" spans="1:14" x14ac:dyDescent="0.2">
      <c r="A20" s="169">
        <v>45219.758831018517</v>
      </c>
      <c r="B20" s="170" t="s">
        <v>30</v>
      </c>
      <c r="C20" s="171">
        <v>297.4689965</v>
      </c>
      <c r="D20" s="171" t="s">
        <v>15</v>
      </c>
      <c r="E20" s="180">
        <f ca="1"/>
        <v>4.5819901100180707E-2</v>
      </c>
      <c r="F20" s="172">
        <v>13.63</v>
      </c>
      <c r="J20" s="175">
        <v>2.1617400000000001E-3</v>
      </c>
      <c r="K20" s="175" t="s">
        <v>15</v>
      </c>
      <c r="L20" s="176">
        <v>0</v>
      </c>
      <c r="N20" s="177">
        <v>0</v>
      </c>
    </row>
    <row r="21" spans="1:14" x14ac:dyDescent="0.2">
      <c r="A21" s="169">
        <v>45146.037858796299</v>
      </c>
      <c r="B21" s="170" t="s">
        <v>29</v>
      </c>
      <c r="C21" s="171">
        <v>43801.362979999998</v>
      </c>
      <c r="D21" s="171" t="s">
        <v>15</v>
      </c>
      <c r="E21" s="180" t="str">
        <f ca="1"/>
        <v/>
      </c>
      <c r="F21" s="172">
        <v>0</v>
      </c>
      <c r="G21" s="173">
        <v>43801.36297917</v>
      </c>
      <c r="H21" s="173" t="s">
        <v>15</v>
      </c>
      <c r="I21" s="174">
        <v>0</v>
      </c>
      <c r="J21" s="175">
        <v>1.80624E-3</v>
      </c>
      <c r="K21" s="175" t="s">
        <v>15</v>
      </c>
      <c r="L21" s="176">
        <v>0</v>
      </c>
      <c r="M21" s="177">
        <v>0</v>
      </c>
      <c r="N21" s="177">
        <v>0</v>
      </c>
    </row>
    <row r="22" spans="1:14" x14ac:dyDescent="0.2">
      <c r="A22" s="169">
        <v>45146.037858796299</v>
      </c>
      <c r="B22" s="170" t="s">
        <v>29</v>
      </c>
      <c r="E22" s="180" t="str">
        <f ca="1"/>
        <v/>
      </c>
      <c r="J22" s="175">
        <v>1</v>
      </c>
      <c r="K22" s="175" t="s">
        <v>15</v>
      </c>
      <c r="L22" s="176">
        <v>0.06</v>
      </c>
      <c r="N22" s="177">
        <v>0</v>
      </c>
    </row>
    <row r="23" spans="1:14" x14ac:dyDescent="0.2">
      <c r="A23" s="169">
        <v>45146.036030092589</v>
      </c>
      <c r="B23" s="170" t="s">
        <v>30</v>
      </c>
      <c r="C23" s="171">
        <v>470.261323</v>
      </c>
      <c r="D23" s="171" t="s">
        <v>15</v>
      </c>
      <c r="E23" s="180">
        <f ca="1"/>
        <v>5.6457970710042854E-2</v>
      </c>
      <c r="F23" s="172">
        <v>26.55</v>
      </c>
      <c r="J23" s="175">
        <v>1.80624E-3</v>
      </c>
      <c r="K23" s="175" t="s">
        <v>15</v>
      </c>
      <c r="L23" s="176">
        <v>0</v>
      </c>
      <c r="N23" s="177">
        <v>0</v>
      </c>
    </row>
    <row r="24" spans="1:14" x14ac:dyDescent="0.2">
      <c r="A24" s="169">
        <v>45146.03597222222</v>
      </c>
      <c r="B24" s="170" t="s">
        <v>38</v>
      </c>
      <c r="D24" s="171" t="s">
        <v>31</v>
      </c>
      <c r="E24" s="180" t="str">
        <f ca="1"/>
        <v/>
      </c>
      <c r="G24" s="173">
        <v>84.666836000000004</v>
      </c>
      <c r="H24" s="173" t="s">
        <v>15</v>
      </c>
      <c r="I24" s="174">
        <v>4.9800000000000004</v>
      </c>
      <c r="J24" s="175">
        <v>1</v>
      </c>
      <c r="K24" s="175" t="s">
        <v>15</v>
      </c>
      <c r="L24" s="176">
        <v>0.06</v>
      </c>
      <c r="M24" s="177">
        <v>0.01</v>
      </c>
      <c r="N24" s="177">
        <v>0</v>
      </c>
    </row>
    <row r="25" spans="1:14" x14ac:dyDescent="0.2">
      <c r="A25" s="169">
        <v>45146.032858796287</v>
      </c>
      <c r="B25" s="170" t="s">
        <v>35</v>
      </c>
      <c r="C25" s="171">
        <v>43834.383661319996</v>
      </c>
      <c r="D25" s="171" t="s">
        <v>15</v>
      </c>
      <c r="E25" s="180">
        <f ca="1"/>
        <v>5.8489929271262703E-2</v>
      </c>
      <c r="F25" s="172">
        <v>2563.87</v>
      </c>
      <c r="G25" s="173">
        <v>1.44312946</v>
      </c>
      <c r="H25" s="173" t="s">
        <v>39</v>
      </c>
      <c r="I25" s="174">
        <v>2055.84</v>
      </c>
      <c r="M25" s="177">
        <v>508.03</v>
      </c>
    </row>
    <row r="26" spans="1:14" x14ac:dyDescent="0.2">
      <c r="A26" s="169">
        <v>45146.030590277784</v>
      </c>
      <c r="B26" s="170" t="s">
        <v>30</v>
      </c>
      <c r="C26" s="171">
        <v>53.646153849999997</v>
      </c>
      <c r="D26" s="171" t="s">
        <v>15</v>
      </c>
      <c r="E26" s="180">
        <f ca="1"/>
        <v>5.9090909086672576E-2</v>
      </c>
      <c r="F26" s="172">
        <v>3.17</v>
      </c>
      <c r="G26" s="173">
        <v>3.17</v>
      </c>
      <c r="H26" s="173" t="s">
        <v>31</v>
      </c>
    </row>
    <row r="27" spans="1:14" x14ac:dyDescent="0.2">
      <c r="A27" s="169">
        <v>45146.027060185188</v>
      </c>
      <c r="B27" s="170" t="s">
        <v>29</v>
      </c>
      <c r="C27" s="171">
        <v>1.44312946</v>
      </c>
      <c r="D27" s="171" t="s">
        <v>39</v>
      </c>
      <c r="E27" s="180" t="str">
        <f ca="1"/>
        <v/>
      </c>
      <c r="F27" s="172">
        <v>0</v>
      </c>
      <c r="G27" s="173">
        <v>1.44312946</v>
      </c>
      <c r="H27" s="173" t="s">
        <v>39</v>
      </c>
      <c r="I27" s="174">
        <v>0</v>
      </c>
      <c r="J27" s="175">
        <v>3.0227999999999999E-4</v>
      </c>
      <c r="K27" s="175" t="s">
        <v>39</v>
      </c>
      <c r="L27" s="176">
        <v>0.36</v>
      </c>
      <c r="M27" s="177">
        <v>0</v>
      </c>
      <c r="N27" s="177">
        <v>0.2</v>
      </c>
    </row>
    <row r="28" spans="1:14" x14ac:dyDescent="0.2">
      <c r="A28" s="169">
        <v>45141.109305555547</v>
      </c>
      <c r="B28" s="170" t="s">
        <v>38</v>
      </c>
      <c r="C28" s="171">
        <v>3.17</v>
      </c>
      <c r="D28" s="171" t="s">
        <v>31</v>
      </c>
      <c r="E28" s="180" t="str">
        <f ca="1"/>
        <v/>
      </c>
      <c r="G28" s="173">
        <v>1.1001E-4</v>
      </c>
      <c r="H28" s="173" t="s">
        <v>40</v>
      </c>
      <c r="I28" s="174">
        <v>3.24</v>
      </c>
      <c r="M28" s="177">
        <v>-7.0000000000000007E-2</v>
      </c>
    </row>
    <row r="29" spans="1:14" x14ac:dyDescent="0.2">
      <c r="A29" s="169">
        <v>45140.752222222232</v>
      </c>
      <c r="B29" s="170" t="s">
        <v>38</v>
      </c>
      <c r="D29" s="171" t="s">
        <v>31</v>
      </c>
      <c r="E29" s="180" t="str">
        <f ca="1"/>
        <v/>
      </c>
      <c r="G29" s="173">
        <v>3.2610999999999998E-3</v>
      </c>
      <c r="H29" s="173" t="s">
        <v>40</v>
      </c>
      <c r="I29" s="174">
        <v>95.98</v>
      </c>
      <c r="J29" s="175">
        <v>2.669E-5</v>
      </c>
      <c r="K29" s="175" t="s">
        <v>40</v>
      </c>
      <c r="L29" s="176">
        <v>0.79</v>
      </c>
      <c r="M29" s="177">
        <v>-1.02</v>
      </c>
      <c r="N29" s="177">
        <v>0</v>
      </c>
    </row>
    <row r="30" spans="1:14" x14ac:dyDescent="0.2">
      <c r="A30" s="169">
        <v>45140.749502314808</v>
      </c>
      <c r="B30" s="170" t="s">
        <v>30</v>
      </c>
      <c r="C30" s="171">
        <v>3.3977999999999999E-3</v>
      </c>
      <c r="D30" s="171" t="s">
        <v>40</v>
      </c>
      <c r="E30" s="180">
        <f ca="1"/>
        <v>29430.80816999235</v>
      </c>
      <c r="F30" s="172">
        <v>100</v>
      </c>
      <c r="G30" s="173">
        <v>100</v>
      </c>
      <c r="H30" s="173" t="s">
        <v>31</v>
      </c>
    </row>
    <row r="31" spans="1:14" x14ac:dyDescent="0.2">
      <c r="A31" s="169">
        <v>45131.465405092589</v>
      </c>
      <c r="B31" s="170" t="s">
        <v>29</v>
      </c>
      <c r="C31" s="171">
        <v>1418.7446259999999</v>
      </c>
      <c r="D31" s="171" t="s">
        <v>14</v>
      </c>
      <c r="E31" s="180" t="str">
        <f ca="1"/>
        <v/>
      </c>
      <c r="F31" s="172">
        <v>0</v>
      </c>
      <c r="G31" s="173">
        <v>1418.7446259999999</v>
      </c>
      <c r="H31" s="173" t="s">
        <v>14</v>
      </c>
      <c r="I31" s="174">
        <v>0</v>
      </c>
      <c r="M31" s="177">
        <v>0</v>
      </c>
    </row>
    <row r="32" spans="1:14" x14ac:dyDescent="0.2">
      <c r="A32" s="169">
        <v>45131.44159722222</v>
      </c>
      <c r="B32" s="170" t="s">
        <v>30</v>
      </c>
      <c r="C32" s="171">
        <v>1418.7446259999999</v>
      </c>
      <c r="D32" s="171" t="s">
        <v>14</v>
      </c>
      <c r="E32" s="180">
        <f ca="1"/>
        <v>0.70484848483225204</v>
      </c>
      <c r="F32" s="172">
        <v>1000</v>
      </c>
      <c r="G32" s="173">
        <v>1000</v>
      </c>
      <c r="H32" s="173" t="s">
        <v>31</v>
      </c>
    </row>
    <row r="33" spans="1:14" x14ac:dyDescent="0.2">
      <c r="A33" s="169">
        <v>45124.809259259258</v>
      </c>
      <c r="B33" s="170" t="s">
        <v>29</v>
      </c>
      <c r="C33" s="171">
        <v>922.76831300000003</v>
      </c>
      <c r="D33" s="171" t="s">
        <v>14</v>
      </c>
      <c r="E33" s="180" t="str">
        <f ca="1"/>
        <v/>
      </c>
      <c r="F33" s="172">
        <v>0</v>
      </c>
      <c r="G33" s="173">
        <v>922.76831300000003</v>
      </c>
      <c r="H33" s="173" t="s">
        <v>14</v>
      </c>
      <c r="I33" s="174">
        <v>0</v>
      </c>
      <c r="M33" s="177">
        <v>0</v>
      </c>
    </row>
    <row r="34" spans="1:14" x14ac:dyDescent="0.2">
      <c r="A34" s="169">
        <v>45124.807025462957</v>
      </c>
      <c r="B34" s="170" t="s">
        <v>35</v>
      </c>
      <c r="C34" s="171">
        <v>922.76831300000003</v>
      </c>
      <c r="D34" s="171" t="s">
        <v>14</v>
      </c>
      <c r="E34" s="180">
        <f ca="1"/>
        <v>0.73129949359238566</v>
      </c>
      <c r="F34" s="172">
        <v>674.82</v>
      </c>
      <c r="G34" s="173">
        <v>2236.4582850000002</v>
      </c>
      <c r="H34" s="173" t="s">
        <v>34</v>
      </c>
      <c r="I34" s="174">
        <v>784.86</v>
      </c>
      <c r="M34" s="177">
        <v>-110.04</v>
      </c>
    </row>
    <row r="35" spans="1:14" x14ac:dyDescent="0.2">
      <c r="A35" s="169">
        <v>45124.787141203713</v>
      </c>
      <c r="B35" s="170" t="s">
        <v>30</v>
      </c>
      <c r="C35" s="171">
        <v>32.43394</v>
      </c>
      <c r="D35" s="171" t="s">
        <v>34</v>
      </c>
      <c r="E35" s="180">
        <f ca="1"/>
        <v>0.3070857256318536</v>
      </c>
      <c r="F35" s="172">
        <v>9.9600000000000009</v>
      </c>
    </row>
    <row r="36" spans="1:14" x14ac:dyDescent="0.2">
      <c r="A36" s="169">
        <v>45124.787048611113</v>
      </c>
      <c r="B36" s="170" t="s">
        <v>29</v>
      </c>
      <c r="C36" s="171">
        <v>2204.0243150000001</v>
      </c>
      <c r="D36" s="171" t="s">
        <v>34</v>
      </c>
      <c r="E36" s="180" t="str">
        <f ca="1"/>
        <v/>
      </c>
      <c r="F36" s="172">
        <v>0</v>
      </c>
      <c r="G36" s="173">
        <v>2236.622304</v>
      </c>
      <c r="H36" s="173" t="s">
        <v>34</v>
      </c>
      <c r="I36" s="174">
        <v>0</v>
      </c>
      <c r="J36" s="175">
        <v>0.166909</v>
      </c>
      <c r="K36" s="175" t="s">
        <v>34</v>
      </c>
      <c r="L36" s="176">
        <v>0.06</v>
      </c>
      <c r="M36" s="177">
        <v>0</v>
      </c>
      <c r="N36" s="177">
        <v>0</v>
      </c>
    </row>
    <row r="37" spans="1:14" x14ac:dyDescent="0.2">
      <c r="A37" s="169">
        <v>45124.783113425918</v>
      </c>
      <c r="B37" s="170" t="s">
        <v>29</v>
      </c>
      <c r="C37" s="171">
        <v>919.04330900000002</v>
      </c>
      <c r="D37" s="171" t="s">
        <v>14</v>
      </c>
      <c r="E37" s="180" t="str">
        <f ca="1"/>
        <v/>
      </c>
      <c r="F37" s="172">
        <v>0</v>
      </c>
      <c r="G37" s="173">
        <v>919.04330900000002</v>
      </c>
      <c r="H37" s="173" t="s">
        <v>14</v>
      </c>
      <c r="I37" s="174">
        <v>0</v>
      </c>
      <c r="M37" s="177">
        <v>0</v>
      </c>
    </row>
    <row r="38" spans="1:14" x14ac:dyDescent="0.2">
      <c r="A38" s="169">
        <v>45124.777662037042</v>
      </c>
      <c r="B38" s="170" t="s">
        <v>29</v>
      </c>
      <c r="C38" s="171">
        <v>22</v>
      </c>
      <c r="D38" s="171" t="s">
        <v>14</v>
      </c>
      <c r="E38" s="180" t="str">
        <f ca="1"/>
        <v/>
      </c>
      <c r="F38" s="172">
        <v>0</v>
      </c>
      <c r="G38" s="173">
        <v>22</v>
      </c>
      <c r="H38" s="173" t="s">
        <v>14</v>
      </c>
      <c r="I38" s="174">
        <v>0</v>
      </c>
      <c r="M38" s="177">
        <v>0</v>
      </c>
    </row>
    <row r="39" spans="1:14" x14ac:dyDescent="0.2">
      <c r="A39" s="169">
        <v>45124.775393518517</v>
      </c>
      <c r="B39" s="170" t="s">
        <v>35</v>
      </c>
      <c r="C39" s="171">
        <v>941.04330900000002</v>
      </c>
      <c r="D39" s="171" t="s">
        <v>14</v>
      </c>
      <c r="E39" s="180">
        <f ca="1"/>
        <v>0.7241962123126896</v>
      </c>
      <c r="F39" s="172">
        <v>681.5</v>
      </c>
      <c r="G39" s="173">
        <v>75.606707</v>
      </c>
      <c r="H39" s="173" t="s">
        <v>32</v>
      </c>
      <c r="I39" s="174">
        <v>746.63</v>
      </c>
      <c r="M39" s="177">
        <v>-65.13</v>
      </c>
    </row>
    <row r="40" spans="1:14" x14ac:dyDescent="0.2">
      <c r="A40" s="169">
        <v>45124.773773148147</v>
      </c>
      <c r="B40" s="170" t="s">
        <v>29</v>
      </c>
      <c r="C40" s="171">
        <v>74.602784999999997</v>
      </c>
      <c r="D40" s="171" t="s">
        <v>32</v>
      </c>
      <c r="E40" s="180" t="str">
        <f ca="1"/>
        <v/>
      </c>
      <c r="F40" s="172">
        <v>0</v>
      </c>
      <c r="G40" s="173">
        <v>74.604799999999997</v>
      </c>
      <c r="H40" s="173" t="s">
        <v>32</v>
      </c>
      <c r="I40" s="174">
        <v>0</v>
      </c>
      <c r="J40" s="175">
        <v>2.065E-3</v>
      </c>
      <c r="K40" s="175" t="s">
        <v>32</v>
      </c>
      <c r="L40" s="176">
        <v>0</v>
      </c>
      <c r="M40" s="177">
        <v>0</v>
      </c>
      <c r="N40" s="177">
        <v>0</v>
      </c>
    </row>
    <row r="41" spans="1:14" x14ac:dyDescent="0.2">
      <c r="A41" s="169">
        <v>45124.773773148147</v>
      </c>
      <c r="B41" s="170" t="s">
        <v>29</v>
      </c>
      <c r="E41" s="180" t="str">
        <f ca="1"/>
        <v/>
      </c>
      <c r="J41" s="175">
        <v>2.065E-3</v>
      </c>
      <c r="K41" s="175" t="s">
        <v>32</v>
      </c>
      <c r="L41" s="176">
        <v>0.02</v>
      </c>
      <c r="N41" s="177">
        <v>0</v>
      </c>
    </row>
    <row r="42" spans="1:14" x14ac:dyDescent="0.2">
      <c r="A42" s="169">
        <v>45124.772534722222</v>
      </c>
      <c r="B42" s="170" t="s">
        <v>29</v>
      </c>
      <c r="C42" s="171">
        <v>1</v>
      </c>
      <c r="D42" s="171" t="s">
        <v>32</v>
      </c>
      <c r="E42" s="180" t="str">
        <f ca="1"/>
        <v/>
      </c>
      <c r="F42" s="172">
        <v>0</v>
      </c>
      <c r="G42" s="173">
        <v>1.0025999999999999</v>
      </c>
      <c r="H42" s="173" t="s">
        <v>32</v>
      </c>
      <c r="I42" s="174">
        <v>0</v>
      </c>
      <c r="J42" s="175">
        <v>2.6050000000000001E-3</v>
      </c>
      <c r="K42" s="175" t="s">
        <v>32</v>
      </c>
      <c r="L42" s="176">
        <v>0</v>
      </c>
      <c r="M42" s="177">
        <v>0</v>
      </c>
      <c r="N42" s="177">
        <v>0</v>
      </c>
    </row>
    <row r="43" spans="1:14" x14ac:dyDescent="0.2">
      <c r="A43" s="169">
        <v>45124.772534722222</v>
      </c>
      <c r="B43" s="170" t="s">
        <v>29</v>
      </c>
      <c r="E43" s="180" t="str">
        <f ca="1"/>
        <v/>
      </c>
      <c r="J43" s="175">
        <v>2.6050000000000001E-3</v>
      </c>
      <c r="K43" s="175" t="s">
        <v>32</v>
      </c>
      <c r="L43" s="176">
        <v>0.03</v>
      </c>
      <c r="N43" s="177">
        <v>0</v>
      </c>
    </row>
    <row r="44" spans="1:14" x14ac:dyDescent="0.2">
      <c r="A44" s="169">
        <v>45124.756597222222</v>
      </c>
      <c r="B44" s="170" t="s">
        <v>30</v>
      </c>
      <c r="C44" s="171">
        <v>971.85601499999996</v>
      </c>
      <c r="D44" s="171" t="s">
        <v>14</v>
      </c>
      <c r="E44" s="180">
        <f ca="1"/>
        <v>0.74696250143597664</v>
      </c>
      <c r="F44" s="172">
        <v>725.94</v>
      </c>
    </row>
    <row r="45" spans="1:14" x14ac:dyDescent="0.2">
      <c r="A45" s="169">
        <v>45124.755266203712</v>
      </c>
      <c r="B45" s="170" t="s">
        <v>38</v>
      </c>
      <c r="C45" s="171">
        <v>941.2</v>
      </c>
      <c r="D45" s="171" t="s">
        <v>31</v>
      </c>
      <c r="E45" s="180" t="str">
        <f ca="1"/>
        <v/>
      </c>
      <c r="G45" s="173">
        <v>105.2927045</v>
      </c>
      <c r="H45" s="173" t="s">
        <v>41</v>
      </c>
      <c r="I45" s="174">
        <v>941.2</v>
      </c>
      <c r="J45" s="175">
        <v>1.3099100000000001E-3</v>
      </c>
      <c r="K45" s="175" t="s">
        <v>39</v>
      </c>
      <c r="L45" s="176">
        <v>3.53</v>
      </c>
      <c r="M45" s="177">
        <v>-247.1</v>
      </c>
      <c r="N45" s="177">
        <v>-1.01</v>
      </c>
    </row>
    <row r="46" spans="1:14" x14ac:dyDescent="0.2">
      <c r="A46" s="169">
        <v>45120.656944444447</v>
      </c>
      <c r="B46" s="170" t="s">
        <v>29</v>
      </c>
      <c r="C46" s="171">
        <v>41.127263999999997</v>
      </c>
      <c r="D46" s="171" t="s">
        <v>32</v>
      </c>
      <c r="E46" s="180" t="str">
        <f ca="1"/>
        <v/>
      </c>
      <c r="F46" s="172">
        <v>0</v>
      </c>
      <c r="G46" s="173">
        <v>41.127263999999997</v>
      </c>
      <c r="H46" s="173" t="s">
        <v>32</v>
      </c>
      <c r="I46" s="174">
        <v>0</v>
      </c>
      <c r="M46" s="177">
        <v>0</v>
      </c>
    </row>
    <row r="47" spans="1:14" x14ac:dyDescent="0.2">
      <c r="A47" s="169">
        <v>45120.615624999999</v>
      </c>
      <c r="B47" s="170" t="s">
        <v>35</v>
      </c>
      <c r="C47" s="171">
        <f>41.127264-0.000259999999997262</f>
        <v>41.127003999999999</v>
      </c>
      <c r="D47" s="171" t="s">
        <v>32</v>
      </c>
      <c r="E47" s="180">
        <f ca="1"/>
        <v>9.0395595069361239</v>
      </c>
      <c r="F47" s="172">
        <f>373.09-1.31999999999999</f>
        <v>371.77</v>
      </c>
      <c r="G47" s="173">
        <v>10480.330599770001</v>
      </c>
      <c r="H47" s="173" t="s">
        <v>42</v>
      </c>
      <c r="I47" s="174">
        <v>496.16</v>
      </c>
      <c r="J47" s="175">
        <v>28.193308819999999</v>
      </c>
      <c r="K47" s="175" t="s">
        <v>42</v>
      </c>
      <c r="L47" s="176">
        <v>1.33</v>
      </c>
      <c r="M47" s="177">
        <v>-124.07</v>
      </c>
      <c r="N47" s="177">
        <v>-0.33</v>
      </c>
    </row>
    <row r="48" spans="1:14" x14ac:dyDescent="0.2">
      <c r="A48" s="169">
        <v>45116.625775462962</v>
      </c>
      <c r="B48" s="170" t="s">
        <v>38</v>
      </c>
      <c r="D48" s="171" t="s">
        <v>31</v>
      </c>
      <c r="E48" s="180" t="str">
        <f ca="1"/>
        <v/>
      </c>
      <c r="G48" s="173">
        <v>22.76346173</v>
      </c>
      <c r="H48" s="173" t="s">
        <v>42</v>
      </c>
      <c r="I48" s="174">
        <v>1.36</v>
      </c>
      <c r="J48" s="175">
        <v>30.233383910000001</v>
      </c>
      <c r="K48" s="175" t="s">
        <v>42</v>
      </c>
      <c r="L48" s="176">
        <v>1.43</v>
      </c>
      <c r="M48" s="177">
        <v>-1.36</v>
      </c>
      <c r="N48" s="177">
        <v>-0.28000000000000003</v>
      </c>
    </row>
    <row r="49" spans="1:14" x14ac:dyDescent="0.2">
      <c r="A49" s="169">
        <v>45116.610625000001</v>
      </c>
      <c r="B49" s="170" t="s">
        <v>29</v>
      </c>
      <c r="C49" s="171">
        <v>0.16642000000000001</v>
      </c>
      <c r="D49" s="171" t="s">
        <v>32</v>
      </c>
      <c r="E49" s="180" t="str">
        <f ca="1"/>
        <v/>
      </c>
      <c r="F49" s="172">
        <v>0</v>
      </c>
      <c r="G49" s="173">
        <v>0.16642000000000001</v>
      </c>
      <c r="H49" s="173" t="s">
        <v>32</v>
      </c>
      <c r="I49" s="174">
        <v>0</v>
      </c>
      <c r="J49" s="175">
        <v>5.0000000000000001E-3</v>
      </c>
      <c r="K49" s="175" t="s">
        <v>32</v>
      </c>
      <c r="L49" s="176">
        <v>0.05</v>
      </c>
      <c r="M49" s="177">
        <v>0</v>
      </c>
      <c r="N49" s="177">
        <v>-0.01</v>
      </c>
    </row>
    <row r="50" spans="1:14" x14ac:dyDescent="0.2">
      <c r="A50" s="169">
        <v>45116.609988425917</v>
      </c>
      <c r="B50" s="170" t="s">
        <v>29</v>
      </c>
      <c r="C50" s="171">
        <v>34.313771000000003</v>
      </c>
      <c r="D50" s="171" t="s">
        <v>32</v>
      </c>
      <c r="E50" s="180" t="str">
        <f ca="1"/>
        <v/>
      </c>
      <c r="F50" s="172">
        <v>0</v>
      </c>
      <c r="G50" s="173">
        <v>34.313771000000003</v>
      </c>
      <c r="H50" s="173" t="s">
        <v>32</v>
      </c>
      <c r="I50" s="174">
        <v>0</v>
      </c>
      <c r="J50" s="175">
        <v>5.0000000000000001E-3</v>
      </c>
      <c r="K50" s="175" t="s">
        <v>32</v>
      </c>
      <c r="L50" s="176">
        <v>0.05</v>
      </c>
      <c r="M50" s="177">
        <v>0</v>
      </c>
      <c r="N50" s="177">
        <v>-0.01</v>
      </c>
    </row>
    <row r="51" spans="1:14" x14ac:dyDescent="0.2">
      <c r="A51" s="169">
        <v>45097.803483796299</v>
      </c>
      <c r="B51" s="170" t="s">
        <v>29</v>
      </c>
      <c r="C51" s="171">
        <v>44.590986000000001</v>
      </c>
      <c r="D51" s="171" t="s">
        <v>14</v>
      </c>
      <c r="E51" s="180" t="str">
        <f ca="1"/>
        <v/>
      </c>
      <c r="F51" s="172">
        <v>0</v>
      </c>
      <c r="G51" s="173">
        <v>44.590986000000001</v>
      </c>
      <c r="H51" s="173" t="s">
        <v>14</v>
      </c>
      <c r="I51" s="174">
        <v>0</v>
      </c>
      <c r="J51" s="175">
        <v>2.0316010000000002</v>
      </c>
      <c r="K51" s="175" t="s">
        <v>14</v>
      </c>
      <c r="L51" s="176">
        <v>0.87</v>
      </c>
      <c r="M51" s="177">
        <v>0</v>
      </c>
      <c r="N51" s="177">
        <v>0.13</v>
      </c>
    </row>
    <row r="52" spans="1:14" x14ac:dyDescent="0.2">
      <c r="A52" s="169">
        <v>45096.837106481478</v>
      </c>
      <c r="B52" s="170" t="s">
        <v>38</v>
      </c>
      <c r="D52" s="171" t="s">
        <v>31</v>
      </c>
      <c r="E52" s="180" t="str">
        <f ca="1"/>
        <v/>
      </c>
      <c r="G52" s="173">
        <v>11.674170999999999</v>
      </c>
      <c r="H52" s="173" t="s">
        <v>32</v>
      </c>
      <c r="I52" s="174">
        <v>126.43</v>
      </c>
      <c r="J52" s="175">
        <v>5.0000000000000001E-3</v>
      </c>
      <c r="K52" s="175" t="s">
        <v>32</v>
      </c>
      <c r="L52" s="176">
        <v>0.05</v>
      </c>
      <c r="M52" s="177">
        <v>-26.54</v>
      </c>
      <c r="N52" s="177">
        <v>-0.01</v>
      </c>
    </row>
    <row r="53" spans="1:14" x14ac:dyDescent="0.2">
      <c r="A53" s="169">
        <v>45087.117835648147</v>
      </c>
      <c r="B53" s="170" t="s">
        <v>30</v>
      </c>
      <c r="C53" s="171">
        <v>130.24433859999999</v>
      </c>
      <c r="D53" s="171" t="s">
        <v>15</v>
      </c>
      <c r="E53" s="180">
        <f ca="1"/>
        <v>4.8447403302334401E-2</v>
      </c>
      <c r="F53" s="172">
        <v>6.31</v>
      </c>
      <c r="J53" s="175">
        <v>2.1522300000000002E-3</v>
      </c>
      <c r="K53" s="175" t="s">
        <v>15</v>
      </c>
      <c r="L53" s="176">
        <v>0</v>
      </c>
      <c r="N53" s="177">
        <v>0</v>
      </c>
    </row>
    <row r="54" spans="1:14" x14ac:dyDescent="0.2">
      <c r="A54" s="169">
        <v>45080.62127314815</v>
      </c>
      <c r="B54" s="170" t="s">
        <v>30</v>
      </c>
      <c r="C54" s="171">
        <v>46.169621999999997</v>
      </c>
      <c r="D54" s="171" t="s">
        <v>32</v>
      </c>
      <c r="E54" s="180">
        <f ca="1"/>
        <v>10.829631656936677</v>
      </c>
      <c r="F54" s="172">
        <v>500</v>
      </c>
      <c r="G54" s="173">
        <v>500</v>
      </c>
      <c r="H54" s="173" t="s">
        <v>31</v>
      </c>
    </row>
    <row r="55" spans="1:14" x14ac:dyDescent="0.2">
      <c r="A55" s="169">
        <v>45080.620810185188</v>
      </c>
      <c r="B55" s="170" t="s">
        <v>30</v>
      </c>
      <c r="C55" s="171">
        <v>10561.52075424</v>
      </c>
      <c r="D55" s="171" t="s">
        <v>42</v>
      </c>
      <c r="E55" s="180">
        <f ca="1"/>
        <v>4.734166713626646E-2</v>
      </c>
      <c r="F55" s="172">
        <v>500</v>
      </c>
      <c r="G55" s="173">
        <v>500</v>
      </c>
      <c r="H55" s="173" t="s">
        <v>31</v>
      </c>
    </row>
    <row r="56" spans="1:14" x14ac:dyDescent="0.2">
      <c r="A56" s="169">
        <v>45067.315312500003</v>
      </c>
      <c r="B56" s="170" t="s">
        <v>30</v>
      </c>
      <c r="C56" s="171">
        <v>58.46972882</v>
      </c>
      <c r="D56" s="171" t="s">
        <v>15</v>
      </c>
      <c r="E56" s="180">
        <f ca="1"/>
        <v>5.3018887936754418E-2</v>
      </c>
      <c r="F56" s="172">
        <v>3.1</v>
      </c>
      <c r="J56" s="175">
        <v>1.92783E-3</v>
      </c>
      <c r="K56" s="175" t="s">
        <v>15</v>
      </c>
      <c r="L56" s="176">
        <v>0</v>
      </c>
      <c r="N56" s="177">
        <v>0</v>
      </c>
    </row>
    <row r="57" spans="1:14" x14ac:dyDescent="0.2">
      <c r="A57" s="169">
        <v>45062.631377314807</v>
      </c>
      <c r="B57" s="170" t="s">
        <v>30</v>
      </c>
      <c r="C57" s="171">
        <v>2.36</v>
      </c>
      <c r="D57" s="171" t="s">
        <v>37</v>
      </c>
      <c r="E57" s="180">
        <f ca="1"/>
        <v>6.7796610169491525E-2</v>
      </c>
      <c r="F57" s="172">
        <v>0.16</v>
      </c>
    </row>
    <row r="58" spans="1:14" x14ac:dyDescent="0.2">
      <c r="A58" s="169">
        <v>45058.339050925933</v>
      </c>
      <c r="B58" s="170" t="s">
        <v>30</v>
      </c>
      <c r="C58" s="171">
        <v>283.87965309999998</v>
      </c>
      <c r="D58" s="171" t="s">
        <v>15</v>
      </c>
      <c r="E58" s="180">
        <f ca="1"/>
        <v>5.1395018419514903E-2</v>
      </c>
      <c r="F58" s="172">
        <v>14.59</v>
      </c>
      <c r="J58" s="175">
        <v>2.0073999999999999E-3</v>
      </c>
      <c r="K58" s="175" t="s">
        <v>15</v>
      </c>
      <c r="L58" s="176">
        <v>0</v>
      </c>
      <c r="N58" s="177">
        <v>0</v>
      </c>
    </row>
    <row r="59" spans="1:14" x14ac:dyDescent="0.2">
      <c r="A59" s="169">
        <v>45058.196527777778</v>
      </c>
      <c r="B59" s="170" t="s">
        <v>30</v>
      </c>
      <c r="C59" s="171">
        <v>46.622587000000003</v>
      </c>
      <c r="D59" s="171" t="s">
        <v>14</v>
      </c>
      <c r="E59" s="180">
        <f ca="1"/>
        <v>0.42897662457040403</v>
      </c>
      <c r="F59" s="172">
        <v>20</v>
      </c>
      <c r="G59" s="173">
        <v>20</v>
      </c>
      <c r="H59" s="173" t="s">
        <v>31</v>
      </c>
    </row>
    <row r="60" spans="1:14" x14ac:dyDescent="0.2">
      <c r="A60" s="169">
        <v>45054.774907407409</v>
      </c>
      <c r="B60" s="170" t="s">
        <v>30</v>
      </c>
      <c r="C60" s="171">
        <v>113.28700000000001</v>
      </c>
      <c r="D60" s="171" t="s">
        <v>14</v>
      </c>
      <c r="E60" s="180">
        <f ca="1"/>
        <v>0.45036058859357209</v>
      </c>
      <c r="F60" s="172">
        <v>51.02</v>
      </c>
    </row>
    <row r="61" spans="1:14" x14ac:dyDescent="0.2">
      <c r="A61" s="169">
        <v>45034.605578703697</v>
      </c>
      <c r="B61" s="170" t="s">
        <v>29</v>
      </c>
      <c r="C61" s="171">
        <v>105.2927045</v>
      </c>
      <c r="D61" s="171" t="s">
        <v>41</v>
      </c>
      <c r="E61" s="180" t="str">
        <f ca="1"/>
        <v/>
      </c>
      <c r="F61" s="172">
        <v>0</v>
      </c>
      <c r="G61" s="173">
        <v>105.2927045</v>
      </c>
      <c r="H61" s="173" t="s">
        <v>41</v>
      </c>
      <c r="I61" s="174">
        <v>0</v>
      </c>
      <c r="J61" s="175">
        <v>0.60699495999999997</v>
      </c>
      <c r="K61" s="175" t="s">
        <v>41</v>
      </c>
      <c r="L61" s="176">
        <v>5.4</v>
      </c>
      <c r="M61" s="177">
        <v>0</v>
      </c>
      <c r="N61" s="177">
        <v>-0.14000000000000001</v>
      </c>
    </row>
    <row r="62" spans="1:14" x14ac:dyDescent="0.2">
      <c r="A62" s="169">
        <v>45034.600636574083</v>
      </c>
      <c r="B62" s="170" t="s">
        <v>35</v>
      </c>
      <c r="C62" s="171">
        <v>105.89969945999999</v>
      </c>
      <c r="D62" s="171" t="s">
        <v>41</v>
      </c>
      <c r="E62" s="180">
        <f ca="1"/>
        <v>8.8889770679241558</v>
      </c>
      <c r="F62" s="172">
        <v>941.34</v>
      </c>
      <c r="G62" s="173">
        <v>4215.5891810000003</v>
      </c>
      <c r="H62" s="173" t="s">
        <v>43</v>
      </c>
      <c r="I62" s="174">
        <v>941.58</v>
      </c>
      <c r="M62" s="177">
        <v>-0.24</v>
      </c>
    </row>
    <row r="63" spans="1:14" x14ac:dyDescent="0.2">
      <c r="A63" s="169">
        <v>45034.597361111111</v>
      </c>
      <c r="B63" s="170" t="s">
        <v>30</v>
      </c>
      <c r="C63" s="171">
        <v>4205.5225110000001</v>
      </c>
      <c r="D63" s="171" t="s">
        <v>43</v>
      </c>
      <c r="E63" s="180">
        <f ca="1"/>
        <v>0.22334917897672857</v>
      </c>
      <c r="F63" s="172">
        <v>939.3</v>
      </c>
    </row>
    <row r="64" spans="1:14" x14ac:dyDescent="0.2">
      <c r="A64" s="169">
        <v>45021.817060185182</v>
      </c>
      <c r="B64" s="170" t="s">
        <v>38</v>
      </c>
      <c r="D64" s="171" t="s">
        <v>31</v>
      </c>
      <c r="E64" s="180" t="str">
        <f ca="1"/>
        <v/>
      </c>
      <c r="G64" s="173">
        <v>452.25930699999998</v>
      </c>
      <c r="H64" s="173" t="s">
        <v>43</v>
      </c>
      <c r="I64" s="174">
        <v>100</v>
      </c>
      <c r="J64" s="175">
        <v>2E-3</v>
      </c>
      <c r="K64" s="175" t="s">
        <v>43</v>
      </c>
      <c r="L64" s="176">
        <v>0</v>
      </c>
      <c r="M64" s="177">
        <v>-1</v>
      </c>
      <c r="N64" s="177">
        <v>0</v>
      </c>
    </row>
    <row r="65" spans="1:14" x14ac:dyDescent="0.2">
      <c r="A65" s="169">
        <v>45021.816307870373</v>
      </c>
      <c r="B65" s="170" t="s">
        <v>30</v>
      </c>
      <c r="C65" s="171">
        <v>452.26130699999999</v>
      </c>
      <c r="D65" s="171" t="s">
        <v>43</v>
      </c>
      <c r="E65" s="180">
        <f ca="1"/>
        <v>0.22111111088262964</v>
      </c>
      <c r="F65" s="172">
        <v>100</v>
      </c>
      <c r="G65" s="173">
        <v>100</v>
      </c>
      <c r="H65" s="173" t="s">
        <v>31</v>
      </c>
    </row>
    <row r="66" spans="1:14" x14ac:dyDescent="0.2">
      <c r="A66" s="169">
        <v>45021.780960648153</v>
      </c>
      <c r="B66" s="170" t="s">
        <v>38</v>
      </c>
      <c r="C66" s="171">
        <v>108.45</v>
      </c>
      <c r="D66" s="171" t="s">
        <v>31</v>
      </c>
      <c r="E66" s="180" t="str">
        <f ca="1"/>
        <v/>
      </c>
      <c r="G66" s="173">
        <v>218.05908600000001</v>
      </c>
      <c r="H66" s="173" t="s">
        <v>14</v>
      </c>
      <c r="I66" s="174">
        <v>95.33</v>
      </c>
      <c r="J66" s="175">
        <v>1.949411</v>
      </c>
      <c r="K66" s="175" t="s">
        <v>14</v>
      </c>
      <c r="L66" s="176">
        <v>0.85</v>
      </c>
      <c r="M66" s="177">
        <v>12.15</v>
      </c>
      <c r="N66" s="177">
        <v>0.12</v>
      </c>
    </row>
    <row r="67" spans="1:14" x14ac:dyDescent="0.2">
      <c r="A67" s="169">
        <v>45016.125775462962</v>
      </c>
      <c r="B67" s="170" t="s">
        <v>38</v>
      </c>
      <c r="D67" s="171" t="s">
        <v>31</v>
      </c>
      <c r="E67" s="180" t="str">
        <f ca="1"/>
        <v/>
      </c>
      <c r="G67" s="173">
        <v>232</v>
      </c>
      <c r="H67" s="173" t="s">
        <v>31</v>
      </c>
    </row>
    <row r="68" spans="1:14" x14ac:dyDescent="0.2">
      <c r="A68" s="169">
        <v>45014.83798611111</v>
      </c>
      <c r="B68" s="170" t="s">
        <v>38</v>
      </c>
      <c r="D68" s="171" t="s">
        <v>31</v>
      </c>
      <c r="E68" s="180" t="str">
        <f ca="1"/>
        <v/>
      </c>
      <c r="G68" s="173">
        <v>35.840000000000003</v>
      </c>
      <c r="H68" s="173" t="s">
        <v>31</v>
      </c>
    </row>
    <row r="69" spans="1:14" x14ac:dyDescent="0.2">
      <c r="A69" s="169">
        <v>45014.812800925924</v>
      </c>
      <c r="B69" s="170" t="s">
        <v>30</v>
      </c>
      <c r="C69" s="171">
        <v>6.4506019400000003</v>
      </c>
      <c r="D69" s="171" t="s">
        <v>15</v>
      </c>
      <c r="E69" s="180">
        <f ca="1"/>
        <v>5.8909231035266761E-2</v>
      </c>
      <c r="F69" s="172">
        <v>0.38</v>
      </c>
      <c r="J69" s="175">
        <v>1.6043400000000001E-3</v>
      </c>
      <c r="K69" s="175" t="s">
        <v>15</v>
      </c>
      <c r="L69" s="176">
        <v>0</v>
      </c>
      <c r="N69" s="177">
        <v>0</v>
      </c>
    </row>
    <row r="70" spans="1:14" x14ac:dyDescent="0.2">
      <c r="A70" s="169">
        <v>45014.775520833333</v>
      </c>
      <c r="B70" s="170" t="s">
        <v>38</v>
      </c>
      <c r="C70" s="171">
        <v>267.83999999999997</v>
      </c>
      <c r="D70" s="171" t="s">
        <v>31</v>
      </c>
      <c r="E70" s="180" t="str">
        <f ca="1"/>
        <v/>
      </c>
      <c r="G70" s="173">
        <v>267.84058800000003</v>
      </c>
      <c r="H70" s="173" t="s">
        <v>36</v>
      </c>
      <c r="I70" s="174">
        <v>270.66000000000003</v>
      </c>
      <c r="M70" s="177">
        <v>-2.82</v>
      </c>
    </row>
    <row r="71" spans="1:14" x14ac:dyDescent="0.2">
      <c r="A71" s="169">
        <v>45014.774351851847</v>
      </c>
      <c r="B71" s="170" t="s">
        <v>35</v>
      </c>
      <c r="C71" s="171">
        <v>267.84058800000003</v>
      </c>
      <c r="D71" s="171" t="s">
        <v>36</v>
      </c>
      <c r="E71" s="180">
        <f ca="1"/>
        <v>1.0105264553854698</v>
      </c>
      <c r="F71" s="172">
        <v>270.66000000000003</v>
      </c>
      <c r="G71" s="173">
        <v>1151.259779</v>
      </c>
      <c r="H71" s="173" t="s">
        <v>43</v>
      </c>
      <c r="I71" s="174">
        <v>229.5</v>
      </c>
      <c r="M71" s="177">
        <v>41.16</v>
      </c>
    </row>
    <row r="72" spans="1:14" x14ac:dyDescent="0.2">
      <c r="A72" s="169">
        <v>45014.769108796303</v>
      </c>
      <c r="B72" s="170" t="s">
        <v>29</v>
      </c>
      <c r="C72" s="171">
        <v>2178.4989999999998</v>
      </c>
      <c r="D72" s="171" t="s">
        <v>14</v>
      </c>
      <c r="E72" s="180" t="str">
        <f ca="1"/>
        <v/>
      </c>
      <c r="F72" s="172">
        <v>0</v>
      </c>
      <c r="G72" s="173">
        <v>2178.4989999999998</v>
      </c>
      <c r="H72" s="173" t="s">
        <v>14</v>
      </c>
      <c r="I72" s="174">
        <v>0</v>
      </c>
      <c r="J72" s="175">
        <v>1E-3</v>
      </c>
      <c r="K72" s="175" t="s">
        <v>14</v>
      </c>
      <c r="L72" s="176">
        <v>0</v>
      </c>
      <c r="M72" s="177">
        <v>0</v>
      </c>
      <c r="N72" s="177">
        <v>0</v>
      </c>
    </row>
    <row r="73" spans="1:14" x14ac:dyDescent="0.2">
      <c r="A73" s="169">
        <v>45013.163495370369</v>
      </c>
      <c r="B73" s="170" t="s">
        <v>35</v>
      </c>
      <c r="C73" s="171">
        <v>1151.259779</v>
      </c>
      <c r="D73" s="171" t="s">
        <v>43</v>
      </c>
      <c r="E73" s="180">
        <f ca="1"/>
        <v>0.19934684090097096</v>
      </c>
      <c r="F73" s="172">
        <v>229.5</v>
      </c>
      <c r="G73" s="173">
        <v>231.88</v>
      </c>
      <c r="H73" s="173" t="s">
        <v>36</v>
      </c>
      <c r="I73" s="174">
        <v>231.88</v>
      </c>
      <c r="M73" s="177">
        <v>-2.38</v>
      </c>
    </row>
    <row r="74" spans="1:14" x14ac:dyDescent="0.2">
      <c r="A74" s="169">
        <v>45013.15766203704</v>
      </c>
      <c r="B74" s="170" t="s">
        <v>29</v>
      </c>
      <c r="C74" s="171">
        <v>2065.9989999999998</v>
      </c>
      <c r="D74" s="171" t="s">
        <v>14</v>
      </c>
      <c r="E74" s="180" t="str">
        <f ca="1"/>
        <v/>
      </c>
      <c r="F74" s="172">
        <v>0</v>
      </c>
      <c r="G74" s="173">
        <v>2065.9989999999998</v>
      </c>
      <c r="H74" s="173" t="s">
        <v>14</v>
      </c>
      <c r="I74" s="174">
        <v>0</v>
      </c>
      <c r="J74" s="175">
        <v>1E-3</v>
      </c>
      <c r="K74" s="175" t="s">
        <v>14</v>
      </c>
      <c r="L74" s="176">
        <v>0</v>
      </c>
      <c r="M74" s="177">
        <v>0</v>
      </c>
      <c r="N74" s="177">
        <v>0</v>
      </c>
    </row>
    <row r="75" spans="1:14" x14ac:dyDescent="0.2">
      <c r="A75" s="169">
        <v>45013.153425925928</v>
      </c>
      <c r="B75" s="170" t="s">
        <v>35</v>
      </c>
      <c r="C75" s="171">
        <v>2066.6995160000001</v>
      </c>
      <c r="D75" s="171" t="s">
        <v>14</v>
      </c>
      <c r="E75" s="180">
        <f ca="1"/>
        <v>0.48013752958173134</v>
      </c>
      <c r="F75" s="172">
        <v>992.3</v>
      </c>
      <c r="G75" s="173">
        <v>1000.12</v>
      </c>
      <c r="H75" s="173" t="s">
        <v>36</v>
      </c>
      <c r="I75" s="174">
        <v>1000.12</v>
      </c>
      <c r="M75" s="177">
        <v>-7.95</v>
      </c>
    </row>
    <row r="76" spans="1:14" x14ac:dyDescent="0.2">
      <c r="A76" s="169">
        <v>45013.012407407397</v>
      </c>
      <c r="B76" s="170" t="s">
        <v>29</v>
      </c>
      <c r="C76" s="171">
        <v>1000.12</v>
      </c>
      <c r="D76" s="171" t="s">
        <v>36</v>
      </c>
      <c r="E76" s="180" t="str">
        <f ca="1"/>
        <v/>
      </c>
      <c r="F76" s="172">
        <v>0</v>
      </c>
      <c r="G76" s="173">
        <v>1000.12</v>
      </c>
      <c r="H76" s="173" t="s">
        <v>36</v>
      </c>
      <c r="I76" s="174">
        <v>0</v>
      </c>
      <c r="M76" s="177">
        <v>0</v>
      </c>
    </row>
    <row r="77" spans="1:14" x14ac:dyDescent="0.2">
      <c r="A77" s="169">
        <v>45013.009166666663</v>
      </c>
      <c r="B77" s="170" t="s">
        <v>30</v>
      </c>
      <c r="C77" s="171">
        <v>1232</v>
      </c>
      <c r="D77" s="171" t="s">
        <v>36</v>
      </c>
      <c r="E77" s="180">
        <f ca="1"/>
        <v>1</v>
      </c>
      <c r="F77" s="172">
        <v>1232</v>
      </c>
      <c r="G77" s="173">
        <v>1232</v>
      </c>
      <c r="H77" s="173" t="s">
        <v>31</v>
      </c>
    </row>
    <row r="78" spans="1:14" x14ac:dyDescent="0.2">
      <c r="A78" s="169">
        <v>45012.985312500001</v>
      </c>
      <c r="B78" s="170" t="s">
        <v>38</v>
      </c>
      <c r="D78" s="171" t="s">
        <v>31</v>
      </c>
      <c r="E78" s="180" t="str">
        <f ca="1"/>
        <v/>
      </c>
      <c r="G78" s="173">
        <v>3510.7833270000001</v>
      </c>
      <c r="H78" s="173" t="s">
        <v>43</v>
      </c>
      <c r="I78" s="174">
        <v>795.03</v>
      </c>
      <c r="J78" s="175">
        <v>2E-3</v>
      </c>
      <c r="K78" s="175" t="s">
        <v>43</v>
      </c>
      <c r="L78" s="176">
        <v>0</v>
      </c>
      <c r="M78" s="177">
        <v>-90.77</v>
      </c>
      <c r="N78" s="177">
        <v>0</v>
      </c>
    </row>
    <row r="79" spans="1:14" x14ac:dyDescent="0.2">
      <c r="A79" s="169">
        <v>45012.983819444453</v>
      </c>
      <c r="B79" s="170" t="s">
        <v>38</v>
      </c>
      <c r="D79" s="171" t="s">
        <v>31</v>
      </c>
      <c r="E79" s="180" t="str">
        <f ca="1"/>
        <v/>
      </c>
      <c r="G79" s="173">
        <v>49.862876999999997</v>
      </c>
      <c r="H79" s="173" t="s">
        <v>43</v>
      </c>
      <c r="I79" s="174">
        <v>12.49</v>
      </c>
      <c r="J79" s="175">
        <v>2E-3</v>
      </c>
      <c r="K79" s="175" t="s">
        <v>43</v>
      </c>
      <c r="L79" s="176">
        <v>0</v>
      </c>
      <c r="M79" s="177">
        <v>-2.4900000000000002</v>
      </c>
      <c r="N79" s="177">
        <v>0</v>
      </c>
    </row>
    <row r="80" spans="1:14" x14ac:dyDescent="0.2">
      <c r="A80" s="169">
        <v>45012.979745370372</v>
      </c>
      <c r="B80" s="170" t="s">
        <v>29</v>
      </c>
      <c r="C80" s="171">
        <v>2236.789213</v>
      </c>
      <c r="D80" s="171" t="s">
        <v>34</v>
      </c>
      <c r="E80" s="180" t="str">
        <f ca="1"/>
        <v/>
      </c>
      <c r="F80" s="172">
        <v>0</v>
      </c>
      <c r="G80" s="173">
        <v>2236.789213</v>
      </c>
      <c r="H80" s="173" t="s">
        <v>34</v>
      </c>
      <c r="I80" s="174">
        <v>0</v>
      </c>
      <c r="J80" s="175">
        <v>0.18002099999999999</v>
      </c>
      <c r="K80" s="175" t="s">
        <v>34</v>
      </c>
      <c r="L80" s="176">
        <v>0.06</v>
      </c>
      <c r="M80" s="177">
        <v>0</v>
      </c>
      <c r="N80" s="177">
        <v>0</v>
      </c>
    </row>
    <row r="81" spans="1:14" x14ac:dyDescent="0.2">
      <c r="A81" s="169">
        <v>45012.976747685178</v>
      </c>
      <c r="B81" s="170" t="s">
        <v>35</v>
      </c>
      <c r="C81" s="171">
        <v>559.04847700000005</v>
      </c>
      <c r="D81" s="171" t="s">
        <v>34</v>
      </c>
      <c r="E81" s="180">
        <f ca="1"/>
        <v>0.34508635286023681</v>
      </c>
      <c r="F81" s="172">
        <v>192.92</v>
      </c>
      <c r="G81" s="173">
        <v>2140.2126904000002</v>
      </c>
      <c r="H81" s="173" t="s">
        <v>44</v>
      </c>
      <c r="I81" s="174">
        <v>200</v>
      </c>
      <c r="M81" s="177">
        <v>-7.08</v>
      </c>
    </row>
    <row r="82" spans="1:14" x14ac:dyDescent="0.2">
      <c r="A82" s="169">
        <v>45012.975914351853</v>
      </c>
      <c r="B82" s="170" t="s">
        <v>35</v>
      </c>
      <c r="C82" s="171">
        <v>1770.1630250000001</v>
      </c>
      <c r="D82" s="171" t="s">
        <v>43</v>
      </c>
      <c r="E82" s="180">
        <f ca="1"/>
        <v>0.20519578980585701</v>
      </c>
      <c r="F82" s="172">
        <v>363.23</v>
      </c>
      <c r="G82" s="173">
        <v>314.03690116000001</v>
      </c>
      <c r="H82" s="173" t="s">
        <v>45</v>
      </c>
      <c r="I82" s="174">
        <v>389.68</v>
      </c>
      <c r="M82" s="177">
        <v>-26.45</v>
      </c>
    </row>
    <row r="83" spans="1:14" x14ac:dyDescent="0.2">
      <c r="A83" s="169">
        <v>45012.975208333337</v>
      </c>
      <c r="B83" s="170" t="s">
        <v>35</v>
      </c>
      <c r="C83" s="171">
        <f>1677.920757-32.6</f>
        <v>1645.3207570000002</v>
      </c>
      <c r="D83" s="171" t="s">
        <v>34</v>
      </c>
      <c r="E83" s="180">
        <f ca="1"/>
        <v>0.35379119695868516</v>
      </c>
      <c r="F83" s="172">
        <f>593.23-11.13</f>
        <v>582.1</v>
      </c>
      <c r="G83" s="173">
        <v>288.75017883999999</v>
      </c>
      <c r="H83" s="173" t="s">
        <v>46</v>
      </c>
      <c r="I83" s="174">
        <v>765.76</v>
      </c>
      <c r="M83" s="177">
        <v>-172.53</v>
      </c>
    </row>
    <row r="84" spans="1:14" x14ac:dyDescent="0.2">
      <c r="A84" s="169">
        <v>45012.952685185177</v>
      </c>
      <c r="B84" s="170" t="s">
        <v>29</v>
      </c>
      <c r="C84" s="171">
        <v>36189.670160000001</v>
      </c>
      <c r="D84" s="171" t="s">
        <v>15</v>
      </c>
      <c r="E84" s="180" t="str">
        <f ca="1"/>
        <v/>
      </c>
      <c r="F84" s="172">
        <v>0</v>
      </c>
      <c r="G84" s="173">
        <v>36189.670155619999</v>
      </c>
      <c r="H84" s="173" t="s">
        <v>15</v>
      </c>
      <c r="I84" s="174">
        <v>0</v>
      </c>
      <c r="J84" s="175">
        <v>1.7383399999999999E-3</v>
      </c>
      <c r="K84" s="175" t="s">
        <v>15</v>
      </c>
      <c r="L84" s="176">
        <v>0</v>
      </c>
      <c r="M84" s="177">
        <v>0</v>
      </c>
      <c r="N84" s="177">
        <v>0</v>
      </c>
    </row>
    <row r="85" spans="1:14" x14ac:dyDescent="0.2">
      <c r="A85" s="169">
        <v>45012.952685185177</v>
      </c>
      <c r="B85" s="170" t="s">
        <v>29</v>
      </c>
      <c r="E85" s="180" t="str">
        <f ca="1"/>
        <v/>
      </c>
      <c r="J85" s="175">
        <v>1</v>
      </c>
      <c r="K85" s="175" t="s">
        <v>15</v>
      </c>
      <c r="L85" s="176">
        <v>0.04</v>
      </c>
      <c r="N85" s="177">
        <v>0.01</v>
      </c>
    </row>
    <row r="86" spans="1:14" x14ac:dyDescent="0.2">
      <c r="A86" s="169">
        <v>45012.951249999998</v>
      </c>
      <c r="B86" s="170" t="s">
        <v>29</v>
      </c>
      <c r="C86" s="171">
        <v>33.938571189999998</v>
      </c>
      <c r="D86" s="171" t="s">
        <v>15</v>
      </c>
      <c r="E86" s="180" t="str">
        <f ca="1"/>
        <v/>
      </c>
      <c r="F86" s="172">
        <v>0</v>
      </c>
      <c r="G86" s="173">
        <v>33.938571189999998</v>
      </c>
      <c r="H86" s="173" t="s">
        <v>15</v>
      </c>
      <c r="I86" s="174">
        <v>0</v>
      </c>
      <c r="J86" s="175">
        <v>1.7383399999999999E-3</v>
      </c>
      <c r="K86" s="175" t="s">
        <v>15</v>
      </c>
      <c r="L86" s="176">
        <v>0</v>
      </c>
      <c r="M86" s="177">
        <v>0</v>
      </c>
      <c r="N86" s="177">
        <v>0</v>
      </c>
    </row>
    <row r="87" spans="1:14" x14ac:dyDescent="0.2">
      <c r="A87" s="169">
        <v>45012.951249999998</v>
      </c>
      <c r="B87" s="170" t="s">
        <v>29</v>
      </c>
      <c r="E87" s="180" t="str">
        <f ca="1"/>
        <v/>
      </c>
      <c r="J87" s="175">
        <v>1</v>
      </c>
      <c r="K87" s="175" t="s">
        <v>15</v>
      </c>
      <c r="L87" s="176">
        <v>0.08</v>
      </c>
      <c r="N87" s="177">
        <v>-0.02</v>
      </c>
    </row>
    <row r="88" spans="1:14" x14ac:dyDescent="0.2">
      <c r="A88" s="169">
        <v>45012.942002314812</v>
      </c>
      <c r="B88" s="170" t="s">
        <v>29</v>
      </c>
      <c r="C88" s="171">
        <v>1.44405183</v>
      </c>
      <c r="D88" s="171" t="s">
        <v>39</v>
      </c>
      <c r="E88" s="180" t="str">
        <f ca="1"/>
        <v/>
      </c>
      <c r="F88" s="172">
        <v>0</v>
      </c>
      <c r="G88" s="173">
        <v>1.44405183</v>
      </c>
      <c r="H88" s="173" t="s">
        <v>39</v>
      </c>
      <c r="I88" s="174">
        <v>0</v>
      </c>
      <c r="J88" s="175">
        <v>5.2499999999999997E-4</v>
      </c>
      <c r="K88" s="175" t="s">
        <v>39</v>
      </c>
      <c r="L88" s="176">
        <v>0.62</v>
      </c>
      <c r="M88" s="177">
        <v>0</v>
      </c>
      <c r="N88" s="177">
        <v>0.28000000000000003</v>
      </c>
    </row>
    <row r="89" spans="1:14" x14ac:dyDescent="0.2">
      <c r="A89" s="169">
        <v>45012.936249999999</v>
      </c>
      <c r="B89" s="170" t="s">
        <v>29</v>
      </c>
      <c r="C89" s="171">
        <v>1.0055999999999999E-3</v>
      </c>
      <c r="D89" s="171" t="s">
        <v>39</v>
      </c>
      <c r="E89" s="180" t="str">
        <f ca="1"/>
        <v/>
      </c>
      <c r="F89" s="172">
        <v>0</v>
      </c>
      <c r="G89" s="173">
        <v>1.0055999999999999E-3</v>
      </c>
      <c r="H89" s="173" t="s">
        <v>39</v>
      </c>
      <c r="I89" s="174">
        <v>0</v>
      </c>
      <c r="J89" s="175">
        <v>5.04E-4</v>
      </c>
      <c r="K89" s="175" t="s">
        <v>39</v>
      </c>
      <c r="L89" s="176">
        <v>0.86</v>
      </c>
      <c r="M89" s="177">
        <v>0</v>
      </c>
      <c r="N89" s="177">
        <v>0.43</v>
      </c>
    </row>
    <row r="90" spans="1:14" x14ac:dyDescent="0.2">
      <c r="A90" s="169">
        <v>45012.126516203702</v>
      </c>
      <c r="B90" s="170" t="s">
        <v>35</v>
      </c>
      <c r="C90" s="171">
        <v>805.48410699999999</v>
      </c>
      <c r="D90" s="171" t="s">
        <v>14</v>
      </c>
      <c r="E90" s="180">
        <f ca="1"/>
        <v>0.44883567144050424</v>
      </c>
      <c r="F90" s="172">
        <v>361.53</v>
      </c>
      <c r="G90" s="173">
        <v>10581.61742294</v>
      </c>
      <c r="H90" s="173" t="s">
        <v>42</v>
      </c>
      <c r="I90" s="174">
        <v>400</v>
      </c>
      <c r="M90" s="177">
        <v>-38.47</v>
      </c>
    </row>
    <row r="91" spans="1:14" x14ac:dyDescent="0.2">
      <c r="A91" s="169">
        <v>45010.526365740741</v>
      </c>
      <c r="B91" s="170" t="s">
        <v>35</v>
      </c>
      <c r="C91" s="171">
        <v>314.03690116000001</v>
      </c>
      <c r="D91" s="171" t="s">
        <v>45</v>
      </c>
      <c r="E91" s="180">
        <f ca="1"/>
        <v>1.2408732813264522</v>
      </c>
      <c r="F91" s="172">
        <v>389.68</v>
      </c>
      <c r="G91" s="173">
        <v>0.22934595999999999</v>
      </c>
      <c r="H91" s="173" t="s">
        <v>39</v>
      </c>
      <c r="I91" s="174">
        <v>401.05</v>
      </c>
      <c r="M91" s="177">
        <v>-11.37</v>
      </c>
    </row>
    <row r="92" spans="1:14" x14ac:dyDescent="0.2">
      <c r="A92" s="169">
        <v>45010.509675925918</v>
      </c>
      <c r="B92" s="170" t="s">
        <v>30</v>
      </c>
      <c r="C92" s="171">
        <v>219.93842599999999</v>
      </c>
      <c r="D92" s="171" t="s">
        <v>14</v>
      </c>
      <c r="E92" s="180">
        <f ca="1"/>
        <v>0.45467270916997471</v>
      </c>
      <c r="F92" s="172">
        <v>100</v>
      </c>
      <c r="G92" s="173">
        <v>100</v>
      </c>
      <c r="H92" s="173" t="s">
        <v>31</v>
      </c>
    </row>
    <row r="93" spans="1:14" x14ac:dyDescent="0.2">
      <c r="A93" s="169">
        <v>45010.299270833333</v>
      </c>
      <c r="B93" s="170" t="s">
        <v>30</v>
      </c>
      <c r="C93" s="171">
        <v>5.6839099999999997E-2</v>
      </c>
      <c r="D93" s="171" t="s">
        <v>39</v>
      </c>
      <c r="E93" s="180">
        <f ca="1"/>
        <v>1759.3522768657492</v>
      </c>
      <c r="F93" s="172">
        <v>100</v>
      </c>
      <c r="G93" s="173">
        <v>100</v>
      </c>
      <c r="H93" s="173" t="s">
        <v>31</v>
      </c>
    </row>
    <row r="94" spans="1:14" x14ac:dyDescent="0.2">
      <c r="A94" s="169">
        <v>45010.036354166667</v>
      </c>
      <c r="B94" s="170" t="s">
        <v>29</v>
      </c>
      <c r="C94" s="171">
        <v>3.613E-4</v>
      </c>
      <c r="D94" s="171" t="s">
        <v>33</v>
      </c>
      <c r="E94" s="180" t="str">
        <f ca="1"/>
        <v/>
      </c>
      <c r="F94" s="172">
        <v>0</v>
      </c>
      <c r="G94" s="173">
        <v>3.613E-4</v>
      </c>
      <c r="H94" s="173" t="s">
        <v>33</v>
      </c>
      <c r="I94" s="174">
        <v>0</v>
      </c>
      <c r="M94" s="177">
        <v>0</v>
      </c>
    </row>
    <row r="95" spans="1:14" x14ac:dyDescent="0.2">
      <c r="A95" s="169">
        <v>45010.036319444444</v>
      </c>
      <c r="B95" s="170" t="s">
        <v>29</v>
      </c>
      <c r="C95" s="171">
        <v>0.19140599999999999</v>
      </c>
      <c r="D95" s="171" t="s">
        <v>34</v>
      </c>
      <c r="E95" s="180" t="str">
        <f ca="1"/>
        <v/>
      </c>
      <c r="F95" s="172">
        <v>0</v>
      </c>
      <c r="G95" s="173">
        <v>0.19140599999999999</v>
      </c>
      <c r="H95" s="173" t="s">
        <v>34</v>
      </c>
      <c r="I95" s="174">
        <v>0</v>
      </c>
      <c r="M95" s="177">
        <v>0</v>
      </c>
    </row>
    <row r="96" spans="1:14" x14ac:dyDescent="0.2">
      <c r="A96" s="169">
        <v>45009.832152777781</v>
      </c>
      <c r="B96" s="170" t="s">
        <v>29</v>
      </c>
      <c r="C96" s="171">
        <v>4.1019999999999997E-3</v>
      </c>
      <c r="D96" s="171" t="s">
        <v>32</v>
      </c>
      <c r="E96" s="180" t="str">
        <f ca="1"/>
        <v/>
      </c>
      <c r="F96" s="172">
        <v>0</v>
      </c>
      <c r="G96" s="173">
        <v>4.1019999999999997E-3</v>
      </c>
      <c r="H96" s="173" t="s">
        <v>32</v>
      </c>
      <c r="I96" s="174">
        <v>0</v>
      </c>
      <c r="M96" s="177">
        <v>0</v>
      </c>
    </row>
    <row r="97" spans="1:13" x14ac:dyDescent="0.2">
      <c r="A97" s="169">
        <v>45006.881168981483</v>
      </c>
      <c r="B97" s="170" t="s">
        <v>35</v>
      </c>
      <c r="C97" s="171">
        <v>215.65512081</v>
      </c>
      <c r="D97" s="171" t="s">
        <v>46</v>
      </c>
      <c r="E97" s="180">
        <f ca="1"/>
        <v>2.6494617788529018</v>
      </c>
      <c r="F97" s="172">
        <v>571.37</v>
      </c>
      <c r="G97" s="173">
        <v>79.47655039</v>
      </c>
      <c r="H97" s="173" t="s">
        <v>41</v>
      </c>
      <c r="I97" s="174">
        <v>549.34</v>
      </c>
      <c r="M97" s="177">
        <v>22.03</v>
      </c>
    </row>
    <row r="98" spans="1:13" x14ac:dyDescent="0.2">
      <c r="A98" s="169">
        <v>45006.659201388888</v>
      </c>
      <c r="B98" s="170" t="s">
        <v>30</v>
      </c>
      <c r="C98" s="171">
        <v>10581.617422920001</v>
      </c>
      <c r="D98" s="171" t="s">
        <v>42</v>
      </c>
      <c r="E98" s="180">
        <f ca="1"/>
        <v>3.75670357481422E-2</v>
      </c>
      <c r="F98" s="172">
        <f>400.28-2.76</f>
        <v>397.52</v>
      </c>
      <c r="G98" s="173">
        <v>400</v>
      </c>
      <c r="H98" s="173" t="s">
        <v>31</v>
      </c>
    </row>
    <row r="99" spans="1:13" x14ac:dyDescent="0.2">
      <c r="A99" s="169">
        <v>45006.657962962963</v>
      </c>
      <c r="B99" s="170" t="s">
        <v>35</v>
      </c>
      <c r="C99" s="171">
        <v>73.095058030000004</v>
      </c>
      <c r="D99" s="171" t="s">
        <v>46</v>
      </c>
      <c r="E99" s="180">
        <f ca="1"/>
        <v>2.6594137174118879</v>
      </c>
      <c r="F99" s="172">
        <v>194.39</v>
      </c>
      <c r="G99" s="173">
        <v>33.367037410000002</v>
      </c>
      <c r="H99" s="173" t="s">
        <v>47</v>
      </c>
      <c r="I99" s="174">
        <v>200</v>
      </c>
      <c r="M99" s="177">
        <v>-5.61</v>
      </c>
    </row>
    <row r="100" spans="1:13" x14ac:dyDescent="0.2">
      <c r="A100" s="169">
        <v>45006.656597222223</v>
      </c>
      <c r="B100" s="170" t="s">
        <v>30</v>
      </c>
      <c r="C100" s="171">
        <v>1372.386448</v>
      </c>
      <c r="D100" s="171" t="s">
        <v>14</v>
      </c>
      <c r="E100" s="180">
        <f ca="1"/>
        <v>0.43719464067456315</v>
      </c>
      <c r="F100" s="172">
        <v>600</v>
      </c>
      <c r="G100" s="173">
        <v>600</v>
      </c>
      <c r="H100" s="173" t="s">
        <v>31</v>
      </c>
    </row>
    <row r="101" spans="1:13" x14ac:dyDescent="0.2">
      <c r="A101" s="169">
        <v>45006.644641203697</v>
      </c>
      <c r="B101" s="170" t="s">
        <v>30</v>
      </c>
      <c r="C101" s="171">
        <v>33.367037410000002</v>
      </c>
      <c r="D101" s="171" t="s">
        <v>47</v>
      </c>
      <c r="E101" s="180">
        <f ca="1"/>
        <v>5.9939393942136618</v>
      </c>
      <c r="F101" s="172">
        <v>200</v>
      </c>
      <c r="G101" s="173">
        <v>200</v>
      </c>
      <c r="H101" s="173" t="s">
        <v>31</v>
      </c>
    </row>
    <row r="102" spans="1:13" x14ac:dyDescent="0.2">
      <c r="A102" s="169">
        <v>45006.643321759257</v>
      </c>
      <c r="B102" s="170" t="s">
        <v>30</v>
      </c>
      <c r="C102" s="171">
        <v>2140.2126904000002</v>
      </c>
      <c r="D102" s="171" t="s">
        <v>44</v>
      </c>
      <c r="E102" s="180">
        <f ca="1"/>
        <v>9.3448656246693185E-2</v>
      </c>
      <c r="F102" s="172">
        <v>200</v>
      </c>
      <c r="G102" s="173">
        <v>200</v>
      </c>
      <c r="H102" s="173" t="s">
        <v>31</v>
      </c>
    </row>
    <row r="103" spans="1:13" x14ac:dyDescent="0.2">
      <c r="A103" s="169">
        <v>45005.719236111108</v>
      </c>
      <c r="B103" s="170" t="s">
        <v>30</v>
      </c>
      <c r="C103" s="171">
        <v>317.43499760999998</v>
      </c>
      <c r="D103" s="171" t="s">
        <v>15</v>
      </c>
      <c r="E103" s="180">
        <f ca="1"/>
        <v>6.3005025125087058E-2</v>
      </c>
      <c r="F103" s="172">
        <v>20</v>
      </c>
      <c r="G103" s="173">
        <v>20</v>
      </c>
      <c r="H103" s="173" t="s">
        <v>31</v>
      </c>
    </row>
    <row r="104" spans="1:13" x14ac:dyDescent="0.2">
      <c r="A104" s="169">
        <v>45003.275046296287</v>
      </c>
      <c r="B104" s="170" t="s">
        <v>30</v>
      </c>
      <c r="C104" s="171">
        <v>5.483242E-2</v>
      </c>
      <c r="D104" s="171" t="s">
        <v>39</v>
      </c>
      <c r="E104" s="180">
        <f ca="1"/>
        <v>1823.7385838523996</v>
      </c>
      <c r="F104" s="172">
        <v>100</v>
      </c>
      <c r="G104" s="173">
        <v>100</v>
      </c>
      <c r="H104" s="173" t="s">
        <v>31</v>
      </c>
    </row>
    <row r="105" spans="1:13" x14ac:dyDescent="0.2">
      <c r="A105" s="169">
        <v>44998.836458333331</v>
      </c>
      <c r="B105" s="170" t="s">
        <v>30</v>
      </c>
      <c r="C105" s="171">
        <v>309.67942733000001</v>
      </c>
      <c r="D105" s="171" t="s">
        <v>15</v>
      </c>
      <c r="E105" s="180">
        <f ca="1"/>
        <v>6.4582914572131514E-2</v>
      </c>
      <c r="F105" s="172">
        <v>20</v>
      </c>
      <c r="G105" s="173">
        <v>20</v>
      </c>
      <c r="H105" s="173" t="s">
        <v>31</v>
      </c>
    </row>
    <row r="106" spans="1:13" x14ac:dyDescent="0.2">
      <c r="A106" s="169">
        <v>44996.272118055553</v>
      </c>
      <c r="B106" s="170" t="s">
        <v>30</v>
      </c>
      <c r="C106" s="171">
        <v>6.8026279999999995E-2</v>
      </c>
      <c r="D106" s="171" t="s">
        <v>39</v>
      </c>
      <c r="E106" s="180">
        <f ca="1"/>
        <v>1470.0201157552642</v>
      </c>
      <c r="F106" s="172">
        <v>100</v>
      </c>
      <c r="G106" s="173">
        <v>100</v>
      </c>
      <c r="H106" s="173" t="s">
        <v>31</v>
      </c>
    </row>
    <row r="107" spans="1:13" x14ac:dyDescent="0.2">
      <c r="A107" s="169">
        <v>44995.768275462957</v>
      </c>
      <c r="B107" s="170" t="s">
        <v>30</v>
      </c>
      <c r="C107" s="171">
        <v>10127.87723785</v>
      </c>
      <c r="D107" s="171" t="s">
        <v>15</v>
      </c>
      <c r="E107" s="180">
        <f ca="1"/>
        <v>5.9242424242433971E-2</v>
      </c>
      <c r="F107" s="172">
        <v>600</v>
      </c>
      <c r="G107" s="173">
        <v>600</v>
      </c>
      <c r="H107" s="173" t="s">
        <v>31</v>
      </c>
    </row>
    <row r="108" spans="1:13" x14ac:dyDescent="0.2">
      <c r="A108" s="169">
        <v>44991.707337962973</v>
      </c>
      <c r="B108" s="170" t="s">
        <v>30</v>
      </c>
      <c r="C108" s="171">
        <v>311.96112242999999</v>
      </c>
      <c r="D108" s="171" t="s">
        <v>15</v>
      </c>
      <c r="E108" s="180">
        <f ca="1"/>
        <v>6.4110552764432172E-2</v>
      </c>
      <c r="F108" s="172">
        <v>20</v>
      </c>
      <c r="G108" s="173">
        <v>20</v>
      </c>
      <c r="H108" s="173" t="s">
        <v>31</v>
      </c>
    </row>
    <row r="109" spans="1:13" x14ac:dyDescent="0.2">
      <c r="A109" s="169">
        <v>44989.183298611111</v>
      </c>
      <c r="B109" s="170" t="s">
        <v>30</v>
      </c>
      <c r="C109" s="171">
        <v>6.3290739999999998E-2</v>
      </c>
      <c r="D109" s="171" t="s">
        <v>39</v>
      </c>
      <c r="E109" s="180">
        <f ca="1"/>
        <v>1580.0099667028701</v>
      </c>
      <c r="F109" s="172">
        <v>100</v>
      </c>
      <c r="G109" s="173">
        <v>100</v>
      </c>
      <c r="H109" s="173" t="s">
        <v>31</v>
      </c>
    </row>
    <row r="110" spans="1:13" x14ac:dyDescent="0.2">
      <c r="A110" s="169">
        <v>44988.631215277783</v>
      </c>
      <c r="B110" s="170" t="s">
        <v>35</v>
      </c>
      <c r="C110" s="171">
        <v>26.008521089999999</v>
      </c>
      <c r="D110" s="171" t="s">
        <v>41</v>
      </c>
      <c r="E110" s="180">
        <f ca="1"/>
        <v>6.9111965027920013</v>
      </c>
      <c r="F110" s="172">
        <v>179.75</v>
      </c>
      <c r="G110" s="173">
        <v>15.414179000000001</v>
      </c>
      <c r="H110" s="173" t="s">
        <v>32</v>
      </c>
      <c r="I110" s="174">
        <v>200.34</v>
      </c>
      <c r="M110" s="177">
        <v>-20.59</v>
      </c>
    </row>
    <row r="111" spans="1:13" x14ac:dyDescent="0.2">
      <c r="A111" s="169">
        <v>44988.630995370368</v>
      </c>
      <c r="B111" s="170" t="s">
        <v>35</v>
      </c>
      <c r="C111" s="171">
        <v>53.468029299999998</v>
      </c>
      <c r="D111" s="171" t="s">
        <v>41</v>
      </c>
      <c r="E111" s="180">
        <f ca="1"/>
        <v>6.9123550061344785</v>
      </c>
      <c r="F111" s="172">
        <v>369.59</v>
      </c>
      <c r="G111" s="173">
        <v>3.07045689</v>
      </c>
      <c r="H111" s="173" t="s">
        <v>48</v>
      </c>
      <c r="I111" s="174">
        <v>400.08</v>
      </c>
      <c r="M111" s="177">
        <v>-30.49</v>
      </c>
    </row>
    <row r="112" spans="1:13" x14ac:dyDescent="0.2">
      <c r="A112" s="169">
        <v>44987.098090277781</v>
      </c>
      <c r="B112" s="170" t="s">
        <v>35</v>
      </c>
      <c r="C112" s="171">
        <v>15.381562000000001</v>
      </c>
      <c r="D112" s="171" t="s">
        <v>32</v>
      </c>
      <c r="E112" s="180">
        <f ca="1"/>
        <v>12.999329977020539</v>
      </c>
      <c r="F112" s="172">
        <v>199.95</v>
      </c>
      <c r="G112" s="173">
        <v>2900.6526468500001</v>
      </c>
      <c r="H112" s="173" t="s">
        <v>15</v>
      </c>
      <c r="I112" s="174">
        <v>226.11</v>
      </c>
      <c r="M112" s="177">
        <v>-26.16</v>
      </c>
    </row>
    <row r="113" spans="1:14" x14ac:dyDescent="0.2">
      <c r="A113" s="169">
        <v>44987.096597222233</v>
      </c>
      <c r="B113" s="170" t="s">
        <v>35</v>
      </c>
      <c r="C113" s="171">
        <v>3.07045689</v>
      </c>
      <c r="D113" s="171" t="s">
        <v>48</v>
      </c>
      <c r="E113" s="180">
        <f ca="1"/>
        <v>130.29982648608365</v>
      </c>
      <c r="F113" s="172">
        <v>400.08</v>
      </c>
      <c r="G113" s="173">
        <v>1628.001628</v>
      </c>
      <c r="H113" s="173" t="s">
        <v>43</v>
      </c>
      <c r="I113" s="174">
        <v>421.22</v>
      </c>
      <c r="M113" s="177">
        <v>-21.14</v>
      </c>
    </row>
    <row r="114" spans="1:14" x14ac:dyDescent="0.2">
      <c r="A114" s="169">
        <v>44987.095312500001</v>
      </c>
      <c r="B114" s="170" t="s">
        <v>35</v>
      </c>
      <c r="C114" s="171">
        <v>12639.46303323</v>
      </c>
      <c r="D114" s="171" t="s">
        <v>15</v>
      </c>
      <c r="E114" s="180">
        <f ca="1"/>
        <v>6.9024293018328603E-2</v>
      </c>
      <c r="F114" s="172">
        <v>872.43</v>
      </c>
      <c r="G114" s="173">
        <v>120.123239</v>
      </c>
      <c r="H114" s="173" t="s">
        <v>41</v>
      </c>
      <c r="I114" s="174">
        <v>863.24</v>
      </c>
      <c r="M114" s="177">
        <v>9.19</v>
      </c>
    </row>
    <row r="115" spans="1:14" x14ac:dyDescent="0.2">
      <c r="A115" s="169">
        <v>44984.694976851853</v>
      </c>
      <c r="B115" s="170" t="s">
        <v>30</v>
      </c>
      <c r="C115" s="171">
        <v>274.33140336000002</v>
      </c>
      <c r="D115" s="171" t="s">
        <v>15</v>
      </c>
      <c r="E115" s="180">
        <f ca="1"/>
        <v>7.2904522614038361E-2</v>
      </c>
      <c r="F115" s="172">
        <v>20</v>
      </c>
      <c r="G115" s="173">
        <v>20</v>
      </c>
      <c r="H115" s="173" t="s">
        <v>31</v>
      </c>
    </row>
    <row r="116" spans="1:14" x14ac:dyDescent="0.2">
      <c r="A116" s="169">
        <v>44983.002835648149</v>
      </c>
      <c r="B116" s="170" t="s">
        <v>35</v>
      </c>
      <c r="C116" s="171">
        <v>9.3259999999999998E-5</v>
      </c>
      <c r="D116" s="171" t="s">
        <v>39</v>
      </c>
      <c r="E116" s="180">
        <f ca="1"/>
        <v>1608.4066051897919</v>
      </c>
      <c r="F116" s="172">
        <v>0.15</v>
      </c>
      <c r="G116" s="173">
        <v>0.42198000000000002</v>
      </c>
      <c r="H116" s="173" t="s">
        <v>34</v>
      </c>
      <c r="I116" s="174">
        <v>0.14000000000000001</v>
      </c>
      <c r="M116" s="177">
        <v>0.01</v>
      </c>
    </row>
    <row r="117" spans="1:14" x14ac:dyDescent="0.2">
      <c r="A117" s="169">
        <v>44983.002500000002</v>
      </c>
      <c r="B117" s="170" t="s">
        <v>35</v>
      </c>
      <c r="C117" s="171">
        <v>985.44249100000002</v>
      </c>
      <c r="D117" s="171" t="s">
        <v>43</v>
      </c>
      <c r="E117" s="180">
        <f ca="1"/>
        <v>0.250395129349055</v>
      </c>
      <c r="F117" s="172">
        <v>246.75</v>
      </c>
      <c r="G117" s="173">
        <v>1.9211087099999999</v>
      </c>
      <c r="H117" s="173" t="s">
        <v>48</v>
      </c>
      <c r="I117" s="174">
        <v>242.27</v>
      </c>
      <c r="M117" s="177">
        <v>4.4800000000000004</v>
      </c>
    </row>
    <row r="118" spans="1:14" x14ac:dyDescent="0.2">
      <c r="A118" s="169">
        <v>44982.996921296297</v>
      </c>
      <c r="B118" s="170" t="s">
        <v>35</v>
      </c>
      <c r="C118" s="171">
        <v>838.19814699999995</v>
      </c>
      <c r="D118" s="171" t="s">
        <v>43</v>
      </c>
      <c r="E118" s="180">
        <f ca="1"/>
        <v>0.25048969715749086</v>
      </c>
      <c r="F118" s="172">
        <v>209.96</v>
      </c>
      <c r="G118" s="173">
        <v>16.782613999999999</v>
      </c>
      <c r="H118" s="173" t="s">
        <v>32</v>
      </c>
      <c r="I118" s="174">
        <v>225.21</v>
      </c>
      <c r="M118" s="177">
        <v>-15.25</v>
      </c>
    </row>
    <row r="119" spans="1:14" x14ac:dyDescent="0.2">
      <c r="A119" s="169">
        <v>44982.6640625</v>
      </c>
      <c r="B119" s="170" t="s">
        <v>30</v>
      </c>
      <c r="C119" s="171">
        <v>1.5312399999999999</v>
      </c>
      <c r="D119" s="171" t="s">
        <v>32</v>
      </c>
      <c r="E119" s="180">
        <f ca="1"/>
        <v>13.061309788145556</v>
      </c>
      <c r="F119" s="172">
        <v>20</v>
      </c>
      <c r="G119" s="173">
        <v>20</v>
      </c>
      <c r="H119" s="173" t="s">
        <v>31</v>
      </c>
    </row>
    <row r="120" spans="1:14" x14ac:dyDescent="0.2">
      <c r="A120" s="169">
        <v>44982.663055555553</v>
      </c>
      <c r="B120" s="170" t="s">
        <v>30</v>
      </c>
      <c r="C120" s="171">
        <v>0.15222214000000001</v>
      </c>
      <c r="D120" s="171" t="s">
        <v>48</v>
      </c>
      <c r="E120" s="180">
        <f ca="1"/>
        <v>131.38693228199261</v>
      </c>
      <c r="F120" s="172">
        <v>20</v>
      </c>
      <c r="G120" s="173">
        <v>20</v>
      </c>
      <c r="H120" s="173" t="s">
        <v>31</v>
      </c>
    </row>
    <row r="121" spans="1:14" x14ac:dyDescent="0.2">
      <c r="A121" s="169">
        <v>44982.243877314817</v>
      </c>
      <c r="B121" s="170" t="s">
        <v>30</v>
      </c>
      <c r="C121" s="171">
        <v>6.234141E-2</v>
      </c>
      <c r="D121" s="171" t="s">
        <v>39</v>
      </c>
      <c r="E121" s="180">
        <f ca="1"/>
        <v>1604.0702319694085</v>
      </c>
      <c r="F121" s="172">
        <v>100</v>
      </c>
      <c r="G121" s="173">
        <v>100</v>
      </c>
      <c r="H121" s="173" t="s">
        <v>31</v>
      </c>
    </row>
    <row r="122" spans="1:14" x14ac:dyDescent="0.2">
      <c r="A122" s="169">
        <v>44981.204039351847</v>
      </c>
      <c r="B122" s="170" t="s">
        <v>30</v>
      </c>
      <c r="C122" s="171">
        <v>12.42352354</v>
      </c>
      <c r="D122" s="171" t="s">
        <v>41</v>
      </c>
      <c r="E122" s="180">
        <f ca="1"/>
        <v>8.0492462285784026</v>
      </c>
      <c r="F122" s="172">
        <v>100</v>
      </c>
      <c r="G122" s="173">
        <v>100</v>
      </c>
      <c r="H122" s="173" t="s">
        <v>31</v>
      </c>
    </row>
    <row r="123" spans="1:14" x14ac:dyDescent="0.2">
      <c r="A123" s="169">
        <v>44977.752233796287</v>
      </c>
      <c r="B123" s="170" t="s">
        <v>30</v>
      </c>
      <c r="C123" s="171">
        <v>227.92349100999999</v>
      </c>
      <c r="D123" s="171" t="s">
        <v>15</v>
      </c>
      <c r="E123" s="180">
        <f ca="1"/>
        <v>8.7748743718226538E-2</v>
      </c>
      <c r="F123" s="172">
        <v>20</v>
      </c>
      <c r="G123" s="173">
        <v>20</v>
      </c>
      <c r="H123" s="173" t="s">
        <v>31</v>
      </c>
    </row>
    <row r="124" spans="1:14" x14ac:dyDescent="0.2">
      <c r="A124" s="169">
        <v>44976.512546296297</v>
      </c>
      <c r="B124" s="170" t="s">
        <v>30</v>
      </c>
      <c r="C124" s="171">
        <v>0.11851100000000001</v>
      </c>
      <c r="D124" s="171" t="s">
        <v>39</v>
      </c>
      <c r="E124" s="180">
        <f ca="1"/>
        <v>1695.8763321548208</v>
      </c>
      <c r="F124" s="172">
        <v>200.98</v>
      </c>
    </row>
    <row r="125" spans="1:14" x14ac:dyDescent="0.2">
      <c r="A125" s="169">
        <v>44975.981064814812</v>
      </c>
      <c r="B125" s="170" t="s">
        <v>38</v>
      </c>
      <c r="D125" s="171" t="s">
        <v>31</v>
      </c>
      <c r="E125" s="180" t="str">
        <f ca="1"/>
        <v/>
      </c>
      <c r="G125" s="173">
        <v>2.9593999999999999E-2</v>
      </c>
      <c r="H125" s="173" t="s">
        <v>39</v>
      </c>
      <c r="I125" s="174">
        <v>52.49</v>
      </c>
      <c r="J125" s="175">
        <v>8.8209999999999997E-5</v>
      </c>
      <c r="K125" s="175" t="s">
        <v>39</v>
      </c>
      <c r="L125" s="176">
        <v>0.16</v>
      </c>
      <c r="M125" s="177">
        <v>-2.48</v>
      </c>
      <c r="N125" s="177">
        <v>-0.01</v>
      </c>
    </row>
    <row r="126" spans="1:14" x14ac:dyDescent="0.2">
      <c r="A126" s="169">
        <v>44975.27003472222</v>
      </c>
      <c r="B126" s="170" t="s">
        <v>30</v>
      </c>
      <c r="C126" s="171">
        <v>5.859031E-2</v>
      </c>
      <c r="D126" s="171" t="s">
        <v>39</v>
      </c>
      <c r="E126" s="180">
        <f ca="1"/>
        <v>1706.7668698117488</v>
      </c>
      <c r="F126" s="172">
        <v>100</v>
      </c>
      <c r="G126" s="173">
        <v>100</v>
      </c>
      <c r="H126" s="173" t="s">
        <v>31</v>
      </c>
    </row>
    <row r="127" spans="1:14" x14ac:dyDescent="0.2">
      <c r="A127" s="169">
        <v>44974.826979166668</v>
      </c>
      <c r="B127" s="170" t="s">
        <v>30</v>
      </c>
      <c r="C127" s="171">
        <v>0.12271883</v>
      </c>
      <c r="D127" s="171" t="s">
        <v>39</v>
      </c>
      <c r="E127" s="180">
        <f ca="1"/>
        <v>1706.0951444859766</v>
      </c>
      <c r="F127" s="172">
        <v>209.37</v>
      </c>
    </row>
    <row r="128" spans="1:14" x14ac:dyDescent="0.2">
      <c r="A128" s="169">
        <v>44974.197002314817</v>
      </c>
      <c r="B128" s="170" t="s">
        <v>30</v>
      </c>
      <c r="C128" s="171">
        <v>13.840589789999999</v>
      </c>
      <c r="D128" s="171" t="s">
        <v>41</v>
      </c>
      <c r="E128" s="180">
        <f ca="1"/>
        <v>7.2251256281181933</v>
      </c>
      <c r="F128" s="172">
        <v>100</v>
      </c>
      <c r="G128" s="173">
        <v>100</v>
      </c>
      <c r="H128" s="173" t="s">
        <v>31</v>
      </c>
    </row>
    <row r="129" spans="1:13" x14ac:dyDescent="0.2">
      <c r="A129" s="169">
        <v>44970.813946759263</v>
      </c>
      <c r="B129" s="170" t="s">
        <v>30</v>
      </c>
      <c r="C129" s="171">
        <v>226.59986336</v>
      </c>
      <c r="D129" s="171" t="s">
        <v>15</v>
      </c>
      <c r="E129" s="180">
        <f ca="1"/>
        <v>8.8261306531442735E-2</v>
      </c>
      <c r="F129" s="172">
        <v>20</v>
      </c>
      <c r="G129" s="173">
        <v>20</v>
      </c>
      <c r="H129" s="173" t="s">
        <v>31</v>
      </c>
    </row>
    <row r="130" spans="1:13" x14ac:dyDescent="0.2">
      <c r="A130" s="169">
        <v>44968.093576388892</v>
      </c>
      <c r="B130" s="170" t="s">
        <v>35</v>
      </c>
      <c r="C130" s="171">
        <v>5.7539899999999999</v>
      </c>
      <c r="D130" s="171" t="s">
        <v>32</v>
      </c>
      <c r="E130" s="180">
        <f ca="1"/>
        <v>13.995505727330078</v>
      </c>
      <c r="F130" s="172">
        <v>80.53</v>
      </c>
      <c r="G130" s="173">
        <v>4.5437105100000004</v>
      </c>
      <c r="H130" s="173" t="s">
        <v>49</v>
      </c>
      <c r="I130" s="174">
        <v>60</v>
      </c>
      <c r="M130" s="177">
        <v>20.53</v>
      </c>
    </row>
    <row r="131" spans="1:13" x14ac:dyDescent="0.2">
      <c r="A131" s="169">
        <v>44968.091805555552</v>
      </c>
      <c r="B131" s="170" t="s">
        <v>35</v>
      </c>
      <c r="C131" s="171">
        <v>353.71018700000002</v>
      </c>
      <c r="D131" s="171" t="s">
        <v>43</v>
      </c>
      <c r="E131" s="180">
        <f ca="1"/>
        <v>0.24952631630029926</v>
      </c>
      <c r="F131" s="172">
        <v>88.26</v>
      </c>
      <c r="G131" s="173">
        <v>4.4627800799999999</v>
      </c>
      <c r="H131" s="173" t="s">
        <v>33</v>
      </c>
      <c r="I131" s="174">
        <v>100.01</v>
      </c>
      <c r="M131" s="177">
        <v>-11.75</v>
      </c>
    </row>
    <row r="132" spans="1:13" x14ac:dyDescent="0.2">
      <c r="A132" s="169">
        <v>44968.091365740736</v>
      </c>
      <c r="B132" s="170" t="s">
        <v>35</v>
      </c>
      <c r="C132" s="171">
        <v>570.41654500000004</v>
      </c>
      <c r="D132" s="171" t="s">
        <v>43</v>
      </c>
      <c r="E132" s="180">
        <f ca="1"/>
        <v>0.24969472089909314</v>
      </c>
      <c r="F132" s="172">
        <v>142.43</v>
      </c>
      <c r="G132" s="173">
        <v>119.36914477000001</v>
      </c>
      <c r="H132" s="173" t="s">
        <v>50</v>
      </c>
      <c r="I132" s="174">
        <v>150</v>
      </c>
      <c r="M132" s="177">
        <v>-7.57</v>
      </c>
    </row>
    <row r="133" spans="1:13" x14ac:dyDescent="0.2">
      <c r="A133" s="169">
        <v>44968.090486111112</v>
      </c>
      <c r="B133" s="170" t="s">
        <v>35</v>
      </c>
      <c r="C133" s="171">
        <v>23.956347149999999</v>
      </c>
      <c r="D133" s="171" t="s">
        <v>41</v>
      </c>
      <c r="E133" s="180">
        <f ca="1"/>
        <v>6.8962934526518582</v>
      </c>
      <c r="F133" s="172">
        <v>165.21</v>
      </c>
      <c r="G133" s="173">
        <v>472.56975499999999</v>
      </c>
      <c r="H133" s="173" t="s">
        <v>34</v>
      </c>
      <c r="I133" s="174">
        <v>178.89</v>
      </c>
      <c r="M133" s="177">
        <v>-13.68</v>
      </c>
    </row>
    <row r="134" spans="1:13" x14ac:dyDescent="0.2">
      <c r="A134" s="169">
        <v>44968.089733796303</v>
      </c>
      <c r="B134" s="170" t="s">
        <v>35</v>
      </c>
      <c r="C134" s="171">
        <v>28.723336209999999</v>
      </c>
      <c r="D134" s="171" t="s">
        <v>41</v>
      </c>
      <c r="E134" s="180">
        <f ca="1"/>
        <v>6.8943941104952868</v>
      </c>
      <c r="F134" s="172">
        <v>198.03</v>
      </c>
      <c r="G134" s="173">
        <v>2353.6324543000001</v>
      </c>
      <c r="H134" s="173" t="s">
        <v>44</v>
      </c>
      <c r="I134" s="174">
        <v>213.33</v>
      </c>
      <c r="M134" s="177">
        <v>-15.3</v>
      </c>
    </row>
    <row r="135" spans="1:13" x14ac:dyDescent="0.2">
      <c r="A135" s="169">
        <v>44968.077048611107</v>
      </c>
      <c r="B135" s="170" t="s">
        <v>30</v>
      </c>
      <c r="C135" s="171">
        <v>6.5716040000000003E-2</v>
      </c>
      <c r="D135" s="171" t="s">
        <v>39</v>
      </c>
      <c r="E135" s="180">
        <f ca="1"/>
        <v>1521.6985077007073</v>
      </c>
      <c r="F135" s="172">
        <v>100</v>
      </c>
      <c r="G135" s="173">
        <v>100</v>
      </c>
      <c r="H135" s="173" t="s">
        <v>31</v>
      </c>
    </row>
    <row r="136" spans="1:13" x14ac:dyDescent="0.2">
      <c r="A136" s="169">
        <v>44967.088020833333</v>
      </c>
      <c r="B136" s="170" t="s">
        <v>30</v>
      </c>
      <c r="C136" s="171">
        <v>13.799135100000001</v>
      </c>
      <c r="D136" s="171" t="s">
        <v>41</v>
      </c>
      <c r="E136" s="180">
        <f ca="1"/>
        <v>7.0301507519844488</v>
      </c>
      <c r="F136" s="172">
        <v>97.01</v>
      </c>
      <c r="G136" s="173">
        <v>97.01</v>
      </c>
      <c r="H136" s="173" t="s">
        <v>31</v>
      </c>
      <c r="J136" s="175">
        <v>2.99</v>
      </c>
      <c r="K136" s="175" t="s">
        <v>31</v>
      </c>
      <c r="L136" s="176">
        <v>2.99</v>
      </c>
    </row>
    <row r="137" spans="1:13" x14ac:dyDescent="0.2">
      <c r="A137" s="169">
        <v>44966.559907407413</v>
      </c>
      <c r="B137" s="170" t="s">
        <v>30</v>
      </c>
      <c r="C137" s="171">
        <v>345.467266</v>
      </c>
      <c r="D137" s="171" t="s">
        <v>43</v>
      </c>
      <c r="E137" s="180">
        <f ca="1"/>
        <v>0.280808080960122</v>
      </c>
      <c r="F137" s="172">
        <v>97.01</v>
      </c>
      <c r="G137" s="173">
        <v>97.01</v>
      </c>
      <c r="H137" s="173" t="s">
        <v>31</v>
      </c>
      <c r="J137" s="175">
        <v>2.99</v>
      </c>
      <c r="K137" s="175" t="s">
        <v>31</v>
      </c>
      <c r="L137" s="176">
        <v>2.99</v>
      </c>
    </row>
    <row r="138" spans="1:13" x14ac:dyDescent="0.2">
      <c r="A138" s="169">
        <v>44966.1406712963</v>
      </c>
      <c r="B138" s="170" t="s">
        <v>30</v>
      </c>
      <c r="C138" s="171">
        <v>2.63709192</v>
      </c>
      <c r="D138" s="171" t="s">
        <v>41</v>
      </c>
      <c r="E138" s="180">
        <f ca="1"/>
        <v>7.0190954890946697</v>
      </c>
      <c r="F138" s="172">
        <v>18.510000000000002</v>
      </c>
      <c r="G138" s="173">
        <v>18.510000000000002</v>
      </c>
      <c r="H138" s="173" t="s">
        <v>31</v>
      </c>
      <c r="J138" s="175">
        <v>1.49</v>
      </c>
      <c r="K138" s="175" t="s">
        <v>31</v>
      </c>
      <c r="L138" s="176">
        <v>1.49</v>
      </c>
    </row>
    <row r="139" spans="1:13" x14ac:dyDescent="0.2">
      <c r="A139" s="169">
        <v>44966.117291666669</v>
      </c>
      <c r="B139" s="170" t="s">
        <v>30</v>
      </c>
      <c r="C139" s="171">
        <v>13.39468619</v>
      </c>
      <c r="D139" s="171" t="s">
        <v>41</v>
      </c>
      <c r="E139" s="180">
        <f ca="1"/>
        <v>7.2424242437590101</v>
      </c>
      <c r="F139" s="172">
        <v>97.01</v>
      </c>
      <c r="G139" s="173">
        <v>97.01</v>
      </c>
      <c r="H139" s="173" t="s">
        <v>31</v>
      </c>
      <c r="J139" s="175">
        <v>2.99</v>
      </c>
      <c r="K139" s="175" t="s">
        <v>31</v>
      </c>
      <c r="L139" s="176">
        <v>2.99</v>
      </c>
    </row>
    <row r="140" spans="1:13" x14ac:dyDescent="0.2">
      <c r="A140" s="169">
        <v>44966.116851851853</v>
      </c>
      <c r="B140" s="170" t="s">
        <v>30</v>
      </c>
      <c r="C140" s="171">
        <v>1062.7997565000001</v>
      </c>
      <c r="D140" s="171" t="s">
        <v>44</v>
      </c>
      <c r="E140" s="180">
        <f ca="1"/>
        <v>9.127777778146301E-2</v>
      </c>
      <c r="F140" s="172">
        <v>97.01</v>
      </c>
      <c r="G140" s="173">
        <v>97.01</v>
      </c>
      <c r="H140" s="173" t="s">
        <v>31</v>
      </c>
      <c r="J140" s="175">
        <v>2.99</v>
      </c>
      <c r="K140" s="175" t="s">
        <v>31</v>
      </c>
      <c r="L140" s="176">
        <v>2.99</v>
      </c>
    </row>
    <row r="141" spans="1:13" x14ac:dyDescent="0.2">
      <c r="A141" s="169">
        <v>44963.714803240742</v>
      </c>
      <c r="B141" s="170" t="s">
        <v>30</v>
      </c>
      <c r="C141" s="171">
        <v>264.01674599</v>
      </c>
      <c r="D141" s="171" t="s">
        <v>15</v>
      </c>
      <c r="E141" s="180">
        <f ca="1"/>
        <v>7.0109189212948994E-2</v>
      </c>
      <c r="F141" s="172">
        <v>18.510000000000002</v>
      </c>
      <c r="G141" s="173">
        <v>18.510000000000002</v>
      </c>
      <c r="H141" s="173" t="s">
        <v>31</v>
      </c>
      <c r="J141" s="175">
        <v>1.49</v>
      </c>
      <c r="K141" s="175" t="s">
        <v>31</v>
      </c>
      <c r="L141" s="176">
        <v>1.49</v>
      </c>
    </row>
    <row r="142" spans="1:13" x14ac:dyDescent="0.2">
      <c r="A142" s="169">
        <v>44963.270439814813</v>
      </c>
      <c r="B142" s="170" t="s">
        <v>30</v>
      </c>
      <c r="C142" s="171">
        <v>1.132712E-2</v>
      </c>
      <c r="D142" s="171" t="s">
        <v>39</v>
      </c>
      <c r="E142" s="180">
        <f ca="1"/>
        <v>1634.1311825071159</v>
      </c>
      <c r="F142" s="172">
        <v>18.510000000000002</v>
      </c>
      <c r="G142" s="173">
        <v>18.510000000000002</v>
      </c>
      <c r="H142" s="173" t="s">
        <v>31</v>
      </c>
      <c r="J142" s="175">
        <v>1.49</v>
      </c>
      <c r="K142" s="175" t="s">
        <v>31</v>
      </c>
      <c r="L142" s="176">
        <v>1.49</v>
      </c>
    </row>
    <row r="143" spans="1:13" x14ac:dyDescent="0.2">
      <c r="A143" s="169">
        <v>44958.88108796296</v>
      </c>
      <c r="B143" s="170" t="s">
        <v>30</v>
      </c>
      <c r="C143" s="171">
        <v>2.5693987200000001</v>
      </c>
      <c r="D143" s="171" t="s">
        <v>41</v>
      </c>
      <c r="E143" s="180">
        <f ca="1"/>
        <v>7.2040200907393617</v>
      </c>
      <c r="F143" s="172">
        <v>18.510000000000002</v>
      </c>
      <c r="G143" s="173">
        <v>18.510000000000002</v>
      </c>
      <c r="H143" s="173" t="s">
        <v>31</v>
      </c>
      <c r="J143" s="175">
        <v>1.49</v>
      </c>
      <c r="K143" s="175" t="s">
        <v>31</v>
      </c>
      <c r="L143" s="176">
        <v>1.49</v>
      </c>
    </row>
    <row r="144" spans="1:13" x14ac:dyDescent="0.2">
      <c r="A144" s="169">
        <v>44956.843090277784</v>
      </c>
      <c r="B144" s="170" t="s">
        <v>30</v>
      </c>
      <c r="C144" s="171">
        <v>288.44870791</v>
      </c>
      <c r="D144" s="171" t="s">
        <v>15</v>
      </c>
      <c r="E144" s="180">
        <f ca="1"/>
        <v>6.4170854271170377E-2</v>
      </c>
      <c r="F144" s="172">
        <v>18.510000000000002</v>
      </c>
      <c r="G144" s="173">
        <v>18.510000000000002</v>
      </c>
      <c r="H144" s="173" t="s">
        <v>31</v>
      </c>
      <c r="J144" s="175">
        <v>1.49</v>
      </c>
      <c r="K144" s="175" t="s">
        <v>31</v>
      </c>
      <c r="L144" s="176">
        <v>1.49</v>
      </c>
    </row>
    <row r="145" spans="1:14" x14ac:dyDescent="0.2">
      <c r="A145" s="169">
        <v>44956.273356481477</v>
      </c>
      <c r="B145" s="170" t="s">
        <v>30</v>
      </c>
      <c r="C145" s="171">
        <v>1.127567E-2</v>
      </c>
      <c r="D145" s="171" t="s">
        <v>39</v>
      </c>
      <c r="E145" s="180">
        <f ca="1"/>
        <v>1641.5875952382432</v>
      </c>
      <c r="F145" s="172">
        <v>18.510000000000002</v>
      </c>
      <c r="G145" s="173">
        <v>18.510000000000002</v>
      </c>
      <c r="H145" s="173" t="s">
        <v>31</v>
      </c>
      <c r="J145" s="175">
        <v>1.49</v>
      </c>
      <c r="K145" s="175" t="s">
        <v>31</v>
      </c>
      <c r="L145" s="176">
        <v>1.49</v>
      </c>
    </row>
    <row r="146" spans="1:14" x14ac:dyDescent="0.2">
      <c r="A146" s="169">
        <v>44949.780578703707</v>
      </c>
      <c r="B146" s="170" t="s">
        <v>30</v>
      </c>
      <c r="C146" s="171">
        <v>265.38112391999999</v>
      </c>
      <c r="D146" s="171" t="s">
        <v>15</v>
      </c>
      <c r="E146" s="180">
        <f ca="1"/>
        <v>6.9748743718411194E-2</v>
      </c>
      <c r="F146" s="172">
        <v>18.510000000000002</v>
      </c>
      <c r="G146" s="173">
        <v>18.510000000000002</v>
      </c>
      <c r="H146" s="173" t="s">
        <v>31</v>
      </c>
      <c r="J146" s="175">
        <v>1.49</v>
      </c>
      <c r="K146" s="175" t="s">
        <v>31</v>
      </c>
      <c r="L146" s="176">
        <v>1.49</v>
      </c>
    </row>
    <row r="147" spans="1:14" x14ac:dyDescent="0.2">
      <c r="A147" s="169">
        <v>44949.285208333327</v>
      </c>
      <c r="B147" s="170" t="s">
        <v>30</v>
      </c>
      <c r="C147" s="171">
        <v>1.1246539999999999E-2</v>
      </c>
      <c r="D147" s="171" t="s">
        <v>39</v>
      </c>
      <c r="E147" s="180">
        <f ca="1"/>
        <v>1645.8395204213921</v>
      </c>
      <c r="F147" s="172">
        <v>18.510000000000002</v>
      </c>
      <c r="G147" s="173">
        <v>18.510000000000002</v>
      </c>
      <c r="H147" s="173" t="s">
        <v>31</v>
      </c>
      <c r="J147" s="175">
        <v>1.49</v>
      </c>
      <c r="K147" s="175" t="s">
        <v>31</v>
      </c>
      <c r="L147" s="176">
        <v>1.49</v>
      </c>
    </row>
    <row r="148" spans="1:14" x14ac:dyDescent="0.2">
      <c r="A148" s="169">
        <v>44946.915717592587</v>
      </c>
      <c r="B148" s="170" t="s">
        <v>35</v>
      </c>
      <c r="C148" s="171">
        <v>3.5688500000000001E-3</v>
      </c>
      <c r="D148" s="171" t="s">
        <v>39</v>
      </c>
      <c r="E148" s="180">
        <f ca="1"/>
        <v>1678.4118133292236</v>
      </c>
      <c r="F148" s="172">
        <v>5.99</v>
      </c>
      <c r="G148" s="173">
        <v>16.625104</v>
      </c>
      <c r="H148" s="173" t="s">
        <v>34</v>
      </c>
      <c r="I148" s="174">
        <v>7.23</v>
      </c>
      <c r="M148" s="177">
        <v>-1.24</v>
      </c>
    </row>
    <row r="149" spans="1:14" x14ac:dyDescent="0.2">
      <c r="A149" s="169">
        <v>44946.915196759262</v>
      </c>
      <c r="B149" s="170" t="s">
        <v>35</v>
      </c>
      <c r="C149" s="171">
        <v>7.1284349999999996E-2</v>
      </c>
      <c r="D149" s="171" t="s">
        <v>39</v>
      </c>
      <c r="E149" s="180">
        <f ca="1"/>
        <v>1682.5572513461932</v>
      </c>
      <c r="F149" s="172">
        <v>119.94</v>
      </c>
      <c r="G149" s="173">
        <v>0.83455038999999998</v>
      </c>
      <c r="H149" s="173" t="s">
        <v>48</v>
      </c>
      <c r="I149" s="174">
        <v>137.72999999999999</v>
      </c>
      <c r="M149" s="177">
        <v>-17.79</v>
      </c>
    </row>
    <row r="150" spans="1:14" x14ac:dyDescent="0.2">
      <c r="A150" s="169">
        <v>44946.914641203701</v>
      </c>
      <c r="B150" s="170" t="s">
        <v>35</v>
      </c>
      <c r="C150" s="171">
        <v>0.17811527999999999</v>
      </c>
      <c r="D150" s="171" t="s">
        <v>39</v>
      </c>
      <c r="E150" s="180">
        <f ca="1"/>
        <v>1683.2918545786752</v>
      </c>
      <c r="F150" s="172">
        <v>299.82</v>
      </c>
      <c r="G150" s="173">
        <v>3950.2304147499999</v>
      </c>
      <c r="H150" s="173" t="s">
        <v>15</v>
      </c>
      <c r="I150" s="174">
        <v>300.55</v>
      </c>
      <c r="M150" s="177">
        <v>-0.73</v>
      </c>
    </row>
    <row r="151" spans="1:14" x14ac:dyDescent="0.2">
      <c r="A151" s="169">
        <v>44946.913668981477</v>
      </c>
      <c r="B151" s="170" t="s">
        <v>30</v>
      </c>
      <c r="C151" s="171">
        <v>13143.4273417</v>
      </c>
      <c r="D151" s="171" t="s">
        <v>15</v>
      </c>
      <c r="E151" s="180">
        <f ca="1"/>
        <v>7.6083655655577107E-2</v>
      </c>
      <c r="F151" s="172">
        <v>1000</v>
      </c>
      <c r="G151" s="173">
        <v>1000</v>
      </c>
      <c r="H151" s="173" t="s">
        <v>31</v>
      </c>
    </row>
    <row r="152" spans="1:14" x14ac:dyDescent="0.2">
      <c r="A152" s="169">
        <v>44946.740925925929</v>
      </c>
      <c r="B152" s="170" t="s">
        <v>30</v>
      </c>
      <c r="C152" s="171">
        <v>4.4574515999999997</v>
      </c>
      <c r="D152" s="171" t="s">
        <v>33</v>
      </c>
      <c r="E152" s="180">
        <f ca="1"/>
        <v>22.434343426185492</v>
      </c>
      <c r="F152" s="172">
        <v>100</v>
      </c>
      <c r="G152" s="173">
        <v>100</v>
      </c>
      <c r="H152" s="173" t="s">
        <v>31</v>
      </c>
    </row>
    <row r="153" spans="1:14" x14ac:dyDescent="0.2">
      <c r="A153" s="169">
        <v>44942.810347222221</v>
      </c>
      <c r="B153" s="170" t="s">
        <v>30</v>
      </c>
      <c r="C153" s="171">
        <v>372.58940273000002</v>
      </c>
      <c r="D153" s="171" t="s">
        <v>15</v>
      </c>
      <c r="E153" s="180">
        <f ca="1"/>
        <v>5.367839196031339E-2</v>
      </c>
      <c r="F153" s="172">
        <v>20</v>
      </c>
      <c r="G153" s="173">
        <v>20</v>
      </c>
      <c r="H153" s="173" t="s">
        <v>31</v>
      </c>
    </row>
    <row r="154" spans="1:14" x14ac:dyDescent="0.2">
      <c r="A154" s="169">
        <v>44942.33761574074</v>
      </c>
      <c r="B154" s="170" t="s">
        <v>30</v>
      </c>
      <c r="C154" s="171">
        <v>1.27051E-2</v>
      </c>
      <c r="D154" s="171" t="s">
        <v>39</v>
      </c>
      <c r="E154" s="180">
        <f ca="1"/>
        <v>1574.1710021959684</v>
      </c>
      <c r="F154" s="172">
        <v>20</v>
      </c>
      <c r="G154" s="173">
        <v>20</v>
      </c>
      <c r="H154" s="173" t="s">
        <v>31</v>
      </c>
    </row>
    <row r="155" spans="1:14" x14ac:dyDescent="0.2">
      <c r="A155" s="169">
        <v>44938.640636574077</v>
      </c>
      <c r="B155" s="170" t="s">
        <v>30</v>
      </c>
      <c r="C155" s="171">
        <v>3.00987E-3</v>
      </c>
      <c r="D155" s="171" t="s">
        <v>39</v>
      </c>
      <c r="E155" s="180">
        <f ca="1"/>
        <v>1382.1194935329434</v>
      </c>
      <c r="F155" s="172">
        <v>4.16</v>
      </c>
    </row>
    <row r="156" spans="1:14" x14ac:dyDescent="0.2">
      <c r="A156" s="169">
        <v>44938.639490740738</v>
      </c>
      <c r="B156" s="170" t="s">
        <v>38</v>
      </c>
      <c r="D156" s="171" t="s">
        <v>31</v>
      </c>
      <c r="E156" s="180" t="str">
        <f ca="1"/>
        <v/>
      </c>
      <c r="G156" s="173">
        <v>1.44287E-3</v>
      </c>
      <c r="H156" s="173" t="s">
        <v>39</v>
      </c>
      <c r="I156" s="174">
        <v>1.9</v>
      </c>
      <c r="J156" s="175">
        <v>3.7800000000000003E-4</v>
      </c>
      <c r="K156" s="175" t="s">
        <v>39</v>
      </c>
      <c r="L156" s="176">
        <v>0.5</v>
      </c>
      <c r="M156" s="177">
        <v>-0.04</v>
      </c>
      <c r="N156" s="177">
        <v>0.16</v>
      </c>
    </row>
    <row r="157" spans="1:14" x14ac:dyDescent="0.2">
      <c r="A157" s="169">
        <v>44938.635694444441</v>
      </c>
      <c r="B157" s="170" t="s">
        <v>38</v>
      </c>
      <c r="D157" s="171" t="s">
        <v>31</v>
      </c>
      <c r="E157" s="180" t="str">
        <f ca="1"/>
        <v/>
      </c>
      <c r="G157" s="173">
        <v>3.6103799999999998E-3</v>
      </c>
      <c r="H157" s="173" t="s">
        <v>39</v>
      </c>
      <c r="I157" s="174">
        <v>4.76</v>
      </c>
      <c r="J157" s="175">
        <v>4.6200000000000001E-4</v>
      </c>
      <c r="K157" s="175" t="s">
        <v>39</v>
      </c>
      <c r="L157" s="176">
        <v>0.61</v>
      </c>
      <c r="M157" s="177">
        <v>0.16</v>
      </c>
      <c r="N157" s="177">
        <v>0.11</v>
      </c>
    </row>
    <row r="158" spans="1:14" x14ac:dyDescent="0.2">
      <c r="A158" s="169">
        <v>44937.765243055554</v>
      </c>
      <c r="B158" s="170" t="s">
        <v>35</v>
      </c>
      <c r="C158" s="171">
        <v>873.76772683000002</v>
      </c>
      <c r="D158" s="171" t="s">
        <v>15</v>
      </c>
      <c r="E158" s="180">
        <f ca="1"/>
        <v>4.459995351554337E-2</v>
      </c>
      <c r="F158" s="172">
        <v>38.97</v>
      </c>
      <c r="G158" s="173">
        <v>128.04097300000001</v>
      </c>
      <c r="H158" s="173" t="s">
        <v>34</v>
      </c>
      <c r="I158" s="174">
        <v>55.65</v>
      </c>
      <c r="M158" s="177">
        <v>-16.68</v>
      </c>
    </row>
    <row r="159" spans="1:14" x14ac:dyDescent="0.2">
      <c r="A159" s="169">
        <v>44937.765011574083</v>
      </c>
      <c r="B159" s="170" t="s">
        <v>35</v>
      </c>
      <c r="C159" s="171">
        <v>655.50684043000001</v>
      </c>
      <c r="D159" s="171" t="s">
        <v>15</v>
      </c>
      <c r="E159" s="180">
        <f ca="1"/>
        <v>4.4591449237700823E-2</v>
      </c>
      <c r="F159" s="172">
        <v>29.23</v>
      </c>
      <c r="G159" s="173">
        <v>2.6812049999999998</v>
      </c>
      <c r="H159" s="173" t="s">
        <v>32</v>
      </c>
      <c r="I159" s="174">
        <v>35.47</v>
      </c>
      <c r="M159" s="177">
        <v>-6.24</v>
      </c>
    </row>
    <row r="160" spans="1:14" x14ac:dyDescent="0.2">
      <c r="A160" s="169">
        <v>44937.764467592591</v>
      </c>
      <c r="B160" s="170" t="s">
        <v>35</v>
      </c>
      <c r="C160" s="171">
        <v>656.21331996000004</v>
      </c>
      <c r="D160" s="171" t="s">
        <v>15</v>
      </c>
      <c r="E160" s="180">
        <f ca="1"/>
        <v>4.4558681012117136E-2</v>
      </c>
      <c r="F160" s="172">
        <v>29.24</v>
      </c>
      <c r="G160" s="173">
        <v>374.7470457</v>
      </c>
      <c r="H160" s="173" t="s">
        <v>44</v>
      </c>
      <c r="I160" s="174">
        <v>32.9</v>
      </c>
      <c r="M160" s="177">
        <v>-3.66</v>
      </c>
    </row>
    <row r="161" spans="1:14" x14ac:dyDescent="0.2">
      <c r="A161" s="169">
        <v>44935.668703703697</v>
      </c>
      <c r="B161" s="170" t="s">
        <v>30</v>
      </c>
      <c r="C161" s="171">
        <v>443.1084391</v>
      </c>
      <c r="D161" s="171" t="s">
        <v>15</v>
      </c>
      <c r="E161" s="180">
        <f ca="1"/>
        <v>4.5135678392002894E-2</v>
      </c>
      <c r="F161" s="172">
        <v>20</v>
      </c>
      <c r="G161" s="173">
        <v>20</v>
      </c>
      <c r="H161" s="173" t="s">
        <v>31</v>
      </c>
    </row>
    <row r="162" spans="1:14" x14ac:dyDescent="0.2">
      <c r="A162" s="169">
        <v>44935.279189814813</v>
      </c>
      <c r="B162" s="170" t="s">
        <v>30</v>
      </c>
      <c r="C162" s="171">
        <v>1.5181109999999999E-2</v>
      </c>
      <c r="D162" s="171" t="s">
        <v>39</v>
      </c>
      <c r="E162" s="180">
        <f ca="1"/>
        <v>1317.4267230788789</v>
      </c>
      <c r="F162" s="172">
        <v>20</v>
      </c>
      <c r="G162" s="173">
        <v>20</v>
      </c>
      <c r="H162" s="173" t="s">
        <v>31</v>
      </c>
    </row>
    <row r="163" spans="1:14" x14ac:dyDescent="0.2">
      <c r="A163" s="169">
        <v>44935.196388888893</v>
      </c>
      <c r="B163" s="170" t="s">
        <v>30</v>
      </c>
      <c r="C163" s="171">
        <v>0.16864407000000001</v>
      </c>
      <c r="D163" s="171" t="s">
        <v>48</v>
      </c>
      <c r="E163" s="180">
        <f ca="1"/>
        <v>118.5929632746648</v>
      </c>
      <c r="F163" s="172">
        <v>20</v>
      </c>
      <c r="G163" s="173">
        <v>20</v>
      </c>
      <c r="H163" s="173" t="s">
        <v>31</v>
      </c>
    </row>
    <row r="164" spans="1:14" x14ac:dyDescent="0.2">
      <c r="A164" s="169">
        <v>44928.243923611109</v>
      </c>
      <c r="B164" s="170" t="s">
        <v>30</v>
      </c>
      <c r="C164" s="171">
        <v>5.8256000000000002E-2</v>
      </c>
      <c r="D164" s="171" t="s">
        <v>39</v>
      </c>
      <c r="E164" s="180">
        <f ca="1"/>
        <v>1202.1079373798407</v>
      </c>
      <c r="F164" s="172">
        <v>70.03</v>
      </c>
    </row>
    <row r="165" spans="1:14" x14ac:dyDescent="0.2">
      <c r="A165" s="169">
        <v>44928.23741898148</v>
      </c>
      <c r="B165" s="170" t="s">
        <v>30</v>
      </c>
      <c r="C165" s="171">
        <v>0.18579030999999999</v>
      </c>
      <c r="D165" s="171" t="s">
        <v>48</v>
      </c>
      <c r="E165" s="180">
        <f ca="1"/>
        <v>107.64824064290545</v>
      </c>
      <c r="F165" s="172">
        <v>20</v>
      </c>
      <c r="G165" s="173">
        <v>20</v>
      </c>
      <c r="H165" s="173" t="s">
        <v>31</v>
      </c>
    </row>
    <row r="166" spans="1:14" x14ac:dyDescent="0.2">
      <c r="A166" s="169">
        <v>44928.206944444442</v>
      </c>
      <c r="B166" s="170" t="s">
        <v>30</v>
      </c>
      <c r="C166" s="171">
        <v>1.6572420000000001E-2</v>
      </c>
      <c r="D166" s="171" t="s">
        <v>39</v>
      </c>
      <c r="E166" s="180">
        <f ca="1"/>
        <v>1206.8243503362814</v>
      </c>
      <c r="F166" s="172">
        <v>20</v>
      </c>
      <c r="G166" s="173">
        <v>20</v>
      </c>
      <c r="H166" s="173" t="s">
        <v>31</v>
      </c>
    </row>
    <row r="167" spans="1:14" x14ac:dyDescent="0.2">
      <c r="A167" s="169">
        <v>44926.193657407413</v>
      </c>
      <c r="B167" s="170" t="s">
        <v>30</v>
      </c>
      <c r="C167" s="171">
        <v>8.3765999999999993E-2</v>
      </c>
      <c r="D167" s="171" t="s">
        <v>39</v>
      </c>
      <c r="E167" s="180">
        <f ca="1"/>
        <v>1194.1599216866032</v>
      </c>
      <c r="F167" s="172">
        <v>100.03</v>
      </c>
    </row>
    <row r="168" spans="1:14" x14ac:dyDescent="0.2">
      <c r="A168" s="169">
        <v>44925.771817129629</v>
      </c>
      <c r="B168" s="170" t="s">
        <v>38</v>
      </c>
      <c r="D168" s="171" t="s">
        <v>31</v>
      </c>
      <c r="E168" s="180" t="str">
        <f ca="1"/>
        <v/>
      </c>
      <c r="G168" s="173">
        <v>8.3696000000000007E-2</v>
      </c>
      <c r="H168" s="173" t="s">
        <v>39</v>
      </c>
      <c r="I168" s="174">
        <v>103.37</v>
      </c>
      <c r="J168" s="175">
        <v>6.3239999999999998E-5</v>
      </c>
      <c r="K168" s="175" t="s">
        <v>39</v>
      </c>
      <c r="L168" s="176">
        <v>0.08</v>
      </c>
      <c r="M168" s="177">
        <v>-3.37</v>
      </c>
      <c r="N168" s="177">
        <v>0</v>
      </c>
    </row>
    <row r="169" spans="1:14" x14ac:dyDescent="0.2">
      <c r="A169" s="169">
        <v>44925.218368055554</v>
      </c>
      <c r="B169" s="170" t="s">
        <v>38</v>
      </c>
      <c r="D169" s="171" t="s">
        <v>31</v>
      </c>
      <c r="E169" s="180" t="str">
        <f ca="1"/>
        <v/>
      </c>
      <c r="G169" s="173">
        <v>4.1825000000000001E-2</v>
      </c>
      <c r="H169" s="173" t="s">
        <v>39</v>
      </c>
      <c r="I169" s="174">
        <v>51.66</v>
      </c>
      <c r="J169" s="175">
        <v>6.3810000000000001E-5</v>
      </c>
      <c r="K169" s="175" t="s">
        <v>39</v>
      </c>
      <c r="L169" s="176">
        <v>0.08</v>
      </c>
      <c r="M169" s="177">
        <v>-1.68</v>
      </c>
      <c r="N169" s="177">
        <v>0</v>
      </c>
    </row>
    <row r="170" spans="1:14" x14ac:dyDescent="0.2">
      <c r="A170" s="169">
        <v>44922.081736111111</v>
      </c>
      <c r="B170" s="170" t="s">
        <v>30</v>
      </c>
      <c r="C170" s="171">
        <v>0.16192743000000001</v>
      </c>
      <c r="D170" s="171" t="s">
        <v>39</v>
      </c>
      <c r="E170" s="180">
        <f ca="1"/>
        <v>1235.1211897823612</v>
      </c>
      <c r="F170" s="172">
        <v>200</v>
      </c>
      <c r="G170" s="173">
        <v>200</v>
      </c>
      <c r="H170" s="173" t="s">
        <v>31</v>
      </c>
    </row>
    <row r="171" spans="1:14" x14ac:dyDescent="0.2">
      <c r="A171" s="169">
        <v>44922.032222222217</v>
      </c>
      <c r="B171" s="170" t="s">
        <v>38</v>
      </c>
      <c r="D171" s="171" t="s">
        <v>31</v>
      </c>
      <c r="E171" s="180" t="str">
        <f ca="1"/>
        <v/>
      </c>
      <c r="G171" s="173">
        <v>8.1725000000000006E-2</v>
      </c>
      <c r="H171" s="173" t="s">
        <v>39</v>
      </c>
      <c r="I171" s="174">
        <v>100.74</v>
      </c>
      <c r="J171" s="175">
        <v>6.622E-5</v>
      </c>
      <c r="K171" s="175" t="s">
        <v>39</v>
      </c>
      <c r="L171" s="176">
        <v>0.08</v>
      </c>
      <c r="M171" s="177">
        <v>-0.81</v>
      </c>
      <c r="N171" s="177">
        <v>0</v>
      </c>
    </row>
    <row r="172" spans="1:14" x14ac:dyDescent="0.2">
      <c r="A172" s="169">
        <v>44922.010659722233</v>
      </c>
      <c r="B172" s="170" t="s">
        <v>38</v>
      </c>
      <c r="D172" s="171" t="s">
        <v>31</v>
      </c>
      <c r="E172" s="180" t="str">
        <f ca="1"/>
        <v/>
      </c>
      <c r="G172" s="173">
        <v>4.0683999999999998E-2</v>
      </c>
      <c r="H172" s="173" t="s">
        <v>39</v>
      </c>
      <c r="I172" s="174">
        <v>50.15</v>
      </c>
      <c r="J172" s="175">
        <v>6.6379999999999998E-5</v>
      </c>
      <c r="K172" s="175" t="s">
        <v>39</v>
      </c>
      <c r="L172" s="176">
        <v>0.08</v>
      </c>
      <c r="M172" s="177">
        <v>-0.16</v>
      </c>
      <c r="N172" s="177">
        <v>0</v>
      </c>
    </row>
    <row r="173" spans="1:14" x14ac:dyDescent="0.2">
      <c r="A173" s="169">
        <v>44921.241469907407</v>
      </c>
      <c r="B173" s="170" t="s">
        <v>30</v>
      </c>
      <c r="C173" s="171">
        <v>0.18544404</v>
      </c>
      <c r="D173" s="171" t="s">
        <v>48</v>
      </c>
      <c r="E173" s="180">
        <f ca="1"/>
        <v>107.84924659751805</v>
      </c>
      <c r="F173" s="172">
        <v>20</v>
      </c>
      <c r="G173" s="173">
        <v>20</v>
      </c>
      <c r="H173" s="173" t="s">
        <v>31</v>
      </c>
    </row>
    <row r="174" spans="1:14" x14ac:dyDescent="0.2">
      <c r="A174" s="169">
        <v>44921.197256944448</v>
      </c>
      <c r="B174" s="170" t="s">
        <v>30</v>
      </c>
      <c r="C174" s="171">
        <v>1.631107E-2</v>
      </c>
      <c r="D174" s="171" t="s">
        <v>39</v>
      </c>
      <c r="E174" s="180">
        <f ca="1"/>
        <v>1226.1611286077491</v>
      </c>
      <c r="F174" s="172">
        <v>20</v>
      </c>
      <c r="G174" s="173">
        <v>20</v>
      </c>
      <c r="H174" s="173" t="s">
        <v>31</v>
      </c>
    </row>
    <row r="175" spans="1:14" x14ac:dyDescent="0.2">
      <c r="A175" s="169">
        <v>44917.569907407407</v>
      </c>
      <c r="B175" s="170" t="s">
        <v>30</v>
      </c>
      <c r="C175" s="171">
        <v>0.12354800000000001</v>
      </c>
      <c r="D175" s="171" t="s">
        <v>39</v>
      </c>
      <c r="E175" s="180">
        <f ca="1"/>
        <v>1214.2649010910739</v>
      </c>
      <c r="F175" s="172">
        <v>150.02000000000001</v>
      </c>
    </row>
    <row r="176" spans="1:14" x14ac:dyDescent="0.2">
      <c r="A176" s="169">
        <v>44916.661793981482</v>
      </c>
      <c r="B176" s="170" t="s">
        <v>38</v>
      </c>
      <c r="D176" s="171" t="s">
        <v>31</v>
      </c>
      <c r="E176" s="180" t="str">
        <f ca="1"/>
        <v/>
      </c>
      <c r="G176" s="173">
        <v>8.2324999999999995E-2</v>
      </c>
      <c r="H176" s="173" t="s">
        <v>39</v>
      </c>
      <c r="I176" s="174">
        <v>101.48</v>
      </c>
      <c r="J176" s="175">
        <v>6.5539999999999999E-5</v>
      </c>
      <c r="K176" s="175" t="s">
        <v>39</v>
      </c>
      <c r="L176" s="176">
        <v>0.08</v>
      </c>
      <c r="M176" s="177">
        <v>-1.48</v>
      </c>
      <c r="N176" s="177">
        <v>0</v>
      </c>
    </row>
    <row r="177" spans="1:14" x14ac:dyDescent="0.2">
      <c r="A177" s="169">
        <v>44916.62090277778</v>
      </c>
      <c r="B177" s="170" t="s">
        <v>38</v>
      </c>
      <c r="D177" s="171" t="s">
        <v>31</v>
      </c>
      <c r="E177" s="180" t="str">
        <f ca="1"/>
        <v/>
      </c>
      <c r="G177" s="173">
        <v>4.1085000000000003E-2</v>
      </c>
      <c r="H177" s="173" t="s">
        <v>39</v>
      </c>
      <c r="I177" s="174">
        <v>50.96</v>
      </c>
      <c r="J177" s="175">
        <v>6.546E-5</v>
      </c>
      <c r="K177" s="175" t="s">
        <v>39</v>
      </c>
      <c r="L177" s="176">
        <v>0.08</v>
      </c>
      <c r="M177" s="177">
        <v>-0.99</v>
      </c>
      <c r="N177" s="177">
        <v>0</v>
      </c>
    </row>
    <row r="178" spans="1:14" x14ac:dyDescent="0.2">
      <c r="A178" s="169">
        <v>44914.284791666672</v>
      </c>
      <c r="B178" s="170" t="s">
        <v>30</v>
      </c>
      <c r="C178" s="171">
        <v>0.18022097000000001</v>
      </c>
      <c r="D178" s="171" t="s">
        <v>48</v>
      </c>
      <c r="E178" s="180">
        <f ca="1"/>
        <v>110.97487711890575</v>
      </c>
      <c r="F178" s="172">
        <v>20</v>
      </c>
      <c r="G178" s="173">
        <v>20</v>
      </c>
      <c r="H178" s="173" t="s">
        <v>31</v>
      </c>
    </row>
    <row r="179" spans="1:14" x14ac:dyDescent="0.2">
      <c r="A179" s="169">
        <v>44914.218194444453</v>
      </c>
      <c r="B179" s="170" t="s">
        <v>30</v>
      </c>
      <c r="C179" s="171">
        <v>1.6844990000000001E-2</v>
      </c>
      <c r="D179" s="171" t="s">
        <v>39</v>
      </c>
      <c r="E179" s="180">
        <f ca="1"/>
        <v>1187.296638347663</v>
      </c>
      <c r="F179" s="172">
        <v>20</v>
      </c>
      <c r="G179" s="173">
        <v>20</v>
      </c>
      <c r="H179" s="173" t="s">
        <v>31</v>
      </c>
    </row>
    <row r="180" spans="1:14" x14ac:dyDescent="0.2">
      <c r="A180" s="169">
        <v>44907.206875000003</v>
      </c>
      <c r="B180" s="170" t="s">
        <v>30</v>
      </c>
      <c r="C180" s="171">
        <v>0.17153694</v>
      </c>
      <c r="D180" s="171" t="s">
        <v>48</v>
      </c>
      <c r="E180" s="180">
        <f ca="1"/>
        <v>116.59296242546941</v>
      </c>
      <c r="F180" s="172">
        <v>20</v>
      </c>
      <c r="G180" s="173">
        <v>20</v>
      </c>
      <c r="H180" s="173" t="s">
        <v>31</v>
      </c>
    </row>
    <row r="181" spans="1:14" x14ac:dyDescent="0.2">
      <c r="A181" s="169">
        <v>44907.203414351847</v>
      </c>
      <c r="B181" s="170" t="s">
        <v>30</v>
      </c>
      <c r="C181" s="171">
        <v>1.5972259999999999E-2</v>
      </c>
      <c r="D181" s="171" t="s">
        <v>39</v>
      </c>
      <c r="E181" s="180">
        <f ca="1"/>
        <v>1252.1709513869673</v>
      </c>
      <c r="F181" s="172">
        <v>20</v>
      </c>
      <c r="G181" s="173">
        <v>20</v>
      </c>
      <c r="H181" s="173" t="s">
        <v>31</v>
      </c>
    </row>
    <row r="182" spans="1:14" x14ac:dyDescent="0.2">
      <c r="A182" s="169">
        <v>44902.821516203701</v>
      </c>
      <c r="B182" s="170" t="s">
        <v>30</v>
      </c>
      <c r="C182" s="171">
        <v>0.54</v>
      </c>
      <c r="D182" s="171" t="s">
        <v>39</v>
      </c>
      <c r="E182" s="180">
        <f ca="1"/>
        <v>1232.648148148148</v>
      </c>
      <c r="F182" s="172">
        <v>665.63</v>
      </c>
    </row>
    <row r="183" spans="1:14" x14ac:dyDescent="0.2">
      <c r="A183" s="169">
        <v>44901.087407407409</v>
      </c>
      <c r="B183" s="170" t="s">
        <v>38</v>
      </c>
      <c r="D183" s="171" t="s">
        <v>31</v>
      </c>
      <c r="E183" s="180" t="str">
        <f ca="1"/>
        <v/>
      </c>
      <c r="G183" s="173">
        <v>0.31627699999999997</v>
      </c>
      <c r="H183" s="173" t="s">
        <v>39</v>
      </c>
      <c r="I183" s="174">
        <v>381.94</v>
      </c>
      <c r="J183" s="175">
        <v>3.1500000000000001E-4</v>
      </c>
      <c r="K183" s="175" t="s">
        <v>39</v>
      </c>
      <c r="L183" s="176">
        <v>0.38</v>
      </c>
      <c r="M183" s="177">
        <v>18.190000000000001</v>
      </c>
      <c r="N183" s="177">
        <v>0.02</v>
      </c>
    </row>
    <row r="184" spans="1:14" x14ac:dyDescent="0.2">
      <c r="A184" s="169">
        <v>44901.058159722219</v>
      </c>
      <c r="B184" s="170" t="s">
        <v>38</v>
      </c>
      <c r="D184" s="171" t="s">
        <v>31</v>
      </c>
      <c r="E184" s="180" t="str">
        <f ca="1"/>
        <v/>
      </c>
      <c r="G184" s="173">
        <v>7.8914999999999999E-2</v>
      </c>
      <c r="H184" s="173" t="s">
        <v>39</v>
      </c>
      <c r="I184" s="174">
        <v>95.63</v>
      </c>
      <c r="J184" s="175">
        <v>2.52E-4</v>
      </c>
      <c r="K184" s="175" t="s">
        <v>39</v>
      </c>
      <c r="L184" s="176">
        <v>0.3</v>
      </c>
      <c r="M184" s="177">
        <v>4.46</v>
      </c>
      <c r="N184" s="177">
        <v>0.02</v>
      </c>
    </row>
    <row r="185" spans="1:14" x14ac:dyDescent="0.2">
      <c r="A185" s="169">
        <v>44901.023090277777</v>
      </c>
      <c r="B185" s="170" t="s">
        <v>38</v>
      </c>
      <c r="D185" s="171" t="s">
        <v>31</v>
      </c>
      <c r="E185" s="180" t="str">
        <f ca="1"/>
        <v/>
      </c>
      <c r="G185" s="173">
        <v>3.9595999999999999E-2</v>
      </c>
      <c r="H185" s="173" t="s">
        <v>39</v>
      </c>
      <c r="I185" s="174">
        <v>49.67</v>
      </c>
      <c r="J185" s="175">
        <v>3.1500000000000001E-4</v>
      </c>
      <c r="K185" s="175" t="s">
        <v>39</v>
      </c>
      <c r="L185" s="176">
        <v>0.39</v>
      </c>
      <c r="M185" s="177">
        <v>0.34</v>
      </c>
      <c r="N185" s="177">
        <v>0.02</v>
      </c>
    </row>
    <row r="186" spans="1:14" x14ac:dyDescent="0.2">
      <c r="A186" s="169">
        <v>44900.337013888893</v>
      </c>
      <c r="B186" s="170" t="s">
        <v>30</v>
      </c>
      <c r="C186" s="171">
        <v>0.15407246999999999</v>
      </c>
      <c r="D186" s="171" t="s">
        <v>48</v>
      </c>
      <c r="E186" s="180">
        <f ca="1"/>
        <v>129.80904375713587</v>
      </c>
      <c r="F186" s="172">
        <v>20</v>
      </c>
      <c r="G186" s="173">
        <v>20</v>
      </c>
      <c r="H186" s="173" t="s">
        <v>31</v>
      </c>
    </row>
    <row r="187" spans="1:14" x14ac:dyDescent="0.2">
      <c r="A187" s="169">
        <v>44900.319224537037</v>
      </c>
      <c r="B187" s="170" t="s">
        <v>30</v>
      </c>
      <c r="C187" s="171">
        <v>2.64100863</v>
      </c>
      <c r="D187" s="171" t="s">
        <v>41</v>
      </c>
      <c r="E187" s="180">
        <f ca="1"/>
        <v>7.5728643113142722</v>
      </c>
      <c r="F187" s="172">
        <v>20</v>
      </c>
      <c r="G187" s="173">
        <v>20</v>
      </c>
      <c r="H187" s="173" t="s">
        <v>31</v>
      </c>
    </row>
    <row r="188" spans="1:14" x14ac:dyDescent="0.2">
      <c r="A188" s="169">
        <v>44900.274699074071</v>
      </c>
      <c r="B188" s="170" t="s">
        <v>30</v>
      </c>
      <c r="C188" s="171">
        <v>1.5361929999999999E-2</v>
      </c>
      <c r="D188" s="171" t="s">
        <v>39</v>
      </c>
      <c r="E188" s="180">
        <f ca="1"/>
        <v>1301.9197457611122</v>
      </c>
      <c r="F188" s="172">
        <v>20</v>
      </c>
      <c r="G188" s="173">
        <v>20</v>
      </c>
      <c r="H188" s="173" t="s">
        <v>31</v>
      </c>
    </row>
    <row r="189" spans="1:14" x14ac:dyDescent="0.2">
      <c r="A189" s="169">
        <v>44900.257893518523</v>
      </c>
      <c r="B189" s="170" t="s">
        <v>30</v>
      </c>
      <c r="C189" s="171">
        <v>61.061675000000001</v>
      </c>
      <c r="D189" s="171" t="s">
        <v>34</v>
      </c>
      <c r="E189" s="180">
        <f ca="1"/>
        <v>0.32753769037616476</v>
      </c>
      <c r="F189" s="172">
        <v>20</v>
      </c>
      <c r="G189" s="173">
        <v>20</v>
      </c>
      <c r="H189" s="173" t="s">
        <v>31</v>
      </c>
    </row>
    <row r="190" spans="1:14" x14ac:dyDescent="0.2">
      <c r="A190" s="169">
        <v>44900.193402777782</v>
      </c>
      <c r="B190" s="170" t="s">
        <v>30</v>
      </c>
      <c r="C190" s="171">
        <v>1.4063604199999999</v>
      </c>
      <c r="D190" s="171" t="s">
        <v>49</v>
      </c>
      <c r="E190" s="180">
        <f ca="1"/>
        <v>14.221105568372012</v>
      </c>
      <c r="F190" s="172">
        <v>20</v>
      </c>
      <c r="G190" s="173">
        <v>20</v>
      </c>
      <c r="H190" s="173" t="s">
        <v>31</v>
      </c>
    </row>
    <row r="191" spans="1:14" x14ac:dyDescent="0.2">
      <c r="A191" s="169">
        <v>44896.803310185183</v>
      </c>
      <c r="B191" s="170" t="s">
        <v>35</v>
      </c>
      <c r="C191" s="171">
        <v>1665.5797434999999</v>
      </c>
      <c r="D191" s="171" t="s">
        <v>44</v>
      </c>
      <c r="E191" s="180">
        <f ca="1"/>
        <v>8.7795256018614029E-2</v>
      </c>
      <c r="F191" s="172">
        <v>146.22999999999999</v>
      </c>
      <c r="G191" s="173">
        <v>0.1176406</v>
      </c>
      <c r="H191" s="173" t="s">
        <v>39</v>
      </c>
      <c r="I191" s="174">
        <v>147.31</v>
      </c>
      <c r="M191" s="177">
        <v>-1.08</v>
      </c>
    </row>
    <row r="192" spans="1:14" x14ac:dyDescent="0.2">
      <c r="A192" s="169">
        <v>44896.80196759259</v>
      </c>
      <c r="B192" s="170" t="s">
        <v>35</v>
      </c>
      <c r="C192" s="171">
        <v>324.38193999999999</v>
      </c>
      <c r="D192" s="171" t="s">
        <v>43</v>
      </c>
      <c r="E192" s="180">
        <f ca="1"/>
        <v>0.24782514094341998</v>
      </c>
      <c r="F192" s="172">
        <v>80.39</v>
      </c>
      <c r="G192" s="173">
        <v>5.9178994100000004</v>
      </c>
      <c r="H192" s="173" t="s">
        <v>33</v>
      </c>
      <c r="I192" s="174">
        <v>200.62</v>
      </c>
      <c r="M192" s="177">
        <v>-122.69</v>
      </c>
    </row>
    <row r="193" spans="1:14" x14ac:dyDescent="0.2">
      <c r="A193" s="169">
        <v>44894.636759259258</v>
      </c>
      <c r="B193" s="170" t="s">
        <v>30</v>
      </c>
      <c r="C193" s="171">
        <v>0.41966714999999999</v>
      </c>
      <c r="D193" s="171" t="s">
        <v>39</v>
      </c>
      <c r="E193" s="180">
        <f ca="1"/>
        <v>1207.6237084556178</v>
      </c>
      <c r="F193" s="172">
        <v>506.8</v>
      </c>
    </row>
    <row r="194" spans="1:14" x14ac:dyDescent="0.2">
      <c r="A194" s="169">
        <v>44893.740567129629</v>
      </c>
      <c r="B194" s="170" t="s">
        <v>38</v>
      </c>
      <c r="D194" s="171" t="s">
        <v>31</v>
      </c>
      <c r="E194" s="180" t="str">
        <f ca="1"/>
        <v/>
      </c>
      <c r="G194" s="173">
        <v>0.25511800000000001</v>
      </c>
      <c r="H194" s="173" t="s">
        <v>39</v>
      </c>
      <c r="I194" s="174">
        <v>343.87</v>
      </c>
      <c r="J194" s="175">
        <v>5.2499999999999997E-4</v>
      </c>
      <c r="K194" s="175" t="s">
        <v>39</v>
      </c>
      <c r="L194" s="176">
        <v>0.67</v>
      </c>
      <c r="M194" s="177">
        <v>-43.85</v>
      </c>
      <c r="N194" s="177">
        <v>-0.05</v>
      </c>
    </row>
    <row r="195" spans="1:14" x14ac:dyDescent="0.2">
      <c r="A195" s="169">
        <v>44893.655752314808</v>
      </c>
      <c r="B195" s="170" t="s">
        <v>38</v>
      </c>
      <c r="D195" s="171" t="s">
        <v>31</v>
      </c>
      <c r="E195" s="180" t="str">
        <f ca="1"/>
        <v/>
      </c>
      <c r="G195" s="173">
        <v>8.6155999999999996E-2</v>
      </c>
      <c r="H195" s="173" t="s">
        <v>39</v>
      </c>
      <c r="I195" s="174">
        <v>127.16</v>
      </c>
      <c r="J195" s="175">
        <v>6.5099999999999999E-4</v>
      </c>
      <c r="K195" s="175" t="s">
        <v>39</v>
      </c>
      <c r="L195" s="176">
        <v>0.89</v>
      </c>
      <c r="M195" s="177">
        <v>-27.16</v>
      </c>
      <c r="N195" s="177">
        <v>-0.13</v>
      </c>
    </row>
    <row r="196" spans="1:14" x14ac:dyDescent="0.2">
      <c r="A196" s="169">
        <v>44893.632743055547</v>
      </c>
      <c r="B196" s="170" t="s">
        <v>38</v>
      </c>
      <c r="D196" s="171" t="s">
        <v>31</v>
      </c>
      <c r="E196" s="180" t="str">
        <f ca="1"/>
        <v/>
      </c>
      <c r="G196" s="173">
        <v>4.2960999999999999E-2</v>
      </c>
      <c r="H196" s="173" t="s">
        <v>39</v>
      </c>
      <c r="I196" s="174">
        <v>70.959999999999994</v>
      </c>
      <c r="J196" s="175">
        <v>8.1899999999999996E-4</v>
      </c>
      <c r="K196" s="175" t="s">
        <v>39</v>
      </c>
      <c r="L196" s="176">
        <v>1.34</v>
      </c>
      <c r="M196" s="177">
        <v>-20.99</v>
      </c>
      <c r="N196" s="177">
        <v>-0.37</v>
      </c>
    </row>
    <row r="197" spans="1:14" x14ac:dyDescent="0.2">
      <c r="A197" s="169">
        <v>44893.604050925933</v>
      </c>
      <c r="B197" s="170" t="s">
        <v>38</v>
      </c>
      <c r="D197" s="171" t="s">
        <v>31</v>
      </c>
      <c r="E197" s="180" t="str">
        <f ca="1"/>
        <v/>
      </c>
      <c r="G197" s="173">
        <v>4.2763000000000002E-2</v>
      </c>
      <c r="H197" s="173" t="s">
        <v>39</v>
      </c>
      <c r="I197" s="174">
        <v>71.400000000000006</v>
      </c>
      <c r="J197" s="175">
        <v>1.1130000000000001E-3</v>
      </c>
      <c r="K197" s="175" t="s">
        <v>39</v>
      </c>
      <c r="L197" s="176">
        <v>1.86</v>
      </c>
      <c r="M197" s="177">
        <v>-21.37</v>
      </c>
      <c r="N197" s="177">
        <v>-0.52</v>
      </c>
    </row>
    <row r="198" spans="1:14" x14ac:dyDescent="0.2">
      <c r="A198" s="169">
        <v>44893.319803240738</v>
      </c>
      <c r="B198" s="170" t="s">
        <v>30</v>
      </c>
      <c r="C198" s="171">
        <v>1.6139497199999999</v>
      </c>
      <c r="D198" s="171" t="s">
        <v>49</v>
      </c>
      <c r="E198" s="180">
        <f ca="1"/>
        <v>12.391959769353907</v>
      </c>
      <c r="F198" s="172">
        <v>20</v>
      </c>
      <c r="G198" s="173">
        <v>20</v>
      </c>
      <c r="H198" s="173" t="s">
        <v>31</v>
      </c>
    </row>
    <row r="199" spans="1:14" x14ac:dyDescent="0.2">
      <c r="A199" s="169">
        <v>44893.297442129631</v>
      </c>
      <c r="B199" s="170" t="s">
        <v>30</v>
      </c>
      <c r="C199" s="171">
        <v>1.697156E-2</v>
      </c>
      <c r="D199" s="171" t="s">
        <v>39</v>
      </c>
      <c r="E199" s="180">
        <f ca="1"/>
        <v>1178.442052468954</v>
      </c>
      <c r="F199" s="172">
        <v>20</v>
      </c>
      <c r="G199" s="173">
        <v>20</v>
      </c>
      <c r="H199" s="173" t="s">
        <v>31</v>
      </c>
    </row>
    <row r="200" spans="1:14" x14ac:dyDescent="0.2">
      <c r="A200" s="169">
        <v>44893.288344907407</v>
      </c>
      <c r="B200" s="170" t="s">
        <v>30</v>
      </c>
      <c r="C200" s="171">
        <v>0.17671609999999999</v>
      </c>
      <c r="D200" s="171" t="s">
        <v>48</v>
      </c>
      <c r="E200" s="180">
        <f ca="1"/>
        <v>113.17587927755309</v>
      </c>
      <c r="F200" s="172">
        <v>20</v>
      </c>
      <c r="G200" s="173">
        <v>20</v>
      </c>
      <c r="H200" s="173" t="s">
        <v>31</v>
      </c>
    </row>
    <row r="201" spans="1:14" x14ac:dyDescent="0.2">
      <c r="A201" s="169">
        <v>44893.207361111112</v>
      </c>
      <c r="B201" s="170" t="s">
        <v>30</v>
      </c>
      <c r="C201" s="171">
        <v>64.990201999999996</v>
      </c>
      <c r="D201" s="171" t="s">
        <v>34</v>
      </c>
      <c r="E201" s="180">
        <f ca="1"/>
        <v>0.3077386957498609</v>
      </c>
      <c r="F201" s="172">
        <v>20</v>
      </c>
      <c r="G201" s="173">
        <v>20</v>
      </c>
      <c r="H201" s="173" t="s">
        <v>31</v>
      </c>
    </row>
    <row r="202" spans="1:14" x14ac:dyDescent="0.2">
      <c r="A202" s="169">
        <v>44893.199074074073</v>
      </c>
      <c r="B202" s="170" t="s">
        <v>30</v>
      </c>
      <c r="C202" s="171">
        <v>2.9604284399999998</v>
      </c>
      <c r="D202" s="171" t="s">
        <v>41</v>
      </c>
      <c r="E202" s="180">
        <f ca="1"/>
        <v>6.7557789034076441</v>
      </c>
      <c r="F202" s="172">
        <v>20</v>
      </c>
      <c r="G202" s="173">
        <v>20</v>
      </c>
      <c r="H202" s="173" t="s">
        <v>31</v>
      </c>
    </row>
    <row r="203" spans="1:14" x14ac:dyDescent="0.2">
      <c r="A203" s="169">
        <v>44886.044756944437</v>
      </c>
      <c r="B203" s="170" t="s">
        <v>30</v>
      </c>
      <c r="C203" s="171">
        <v>0.16911129</v>
      </c>
      <c r="D203" s="171" t="s">
        <v>48</v>
      </c>
      <c r="E203" s="180">
        <f ca="1"/>
        <v>109.45454913152163</v>
      </c>
      <c r="F203" s="172">
        <v>18.510000000000002</v>
      </c>
      <c r="G203" s="173">
        <v>18.510000000000002</v>
      </c>
      <c r="H203" s="173" t="s">
        <v>31</v>
      </c>
      <c r="J203" s="175">
        <v>1.49</v>
      </c>
      <c r="K203" s="175" t="s">
        <v>31</v>
      </c>
      <c r="L203" s="176">
        <v>1.49</v>
      </c>
    </row>
    <row r="204" spans="1:14" x14ac:dyDescent="0.2">
      <c r="A204" s="169">
        <v>44886.040706018517</v>
      </c>
      <c r="B204" s="170" t="s">
        <v>30</v>
      </c>
      <c r="C204" s="171">
        <v>3.17769331</v>
      </c>
      <c r="D204" s="171" t="s">
        <v>41</v>
      </c>
      <c r="E204" s="180">
        <f ca="1"/>
        <v>5.8249800072745224</v>
      </c>
      <c r="F204" s="172">
        <v>18.510000000000002</v>
      </c>
      <c r="G204" s="173">
        <v>18.510000000000002</v>
      </c>
      <c r="H204" s="173" t="s">
        <v>31</v>
      </c>
      <c r="J204" s="175">
        <v>1.49</v>
      </c>
      <c r="K204" s="175" t="s">
        <v>31</v>
      </c>
      <c r="L204" s="176">
        <v>1.49</v>
      </c>
    </row>
    <row r="205" spans="1:14" x14ac:dyDescent="0.2">
      <c r="A205" s="169">
        <v>44886.040069444447</v>
      </c>
      <c r="B205" s="170" t="s">
        <v>30</v>
      </c>
      <c r="C205" s="171">
        <v>1.5234003700000001</v>
      </c>
      <c r="D205" s="171" t="s">
        <v>49</v>
      </c>
      <c r="E205" s="180">
        <f ca="1"/>
        <v>12.150449983151836</v>
      </c>
      <c r="F205" s="172">
        <v>18.510000000000002</v>
      </c>
      <c r="G205" s="173">
        <v>18.510000000000002</v>
      </c>
      <c r="H205" s="173" t="s">
        <v>31</v>
      </c>
      <c r="J205" s="175">
        <v>1.49</v>
      </c>
      <c r="K205" s="175" t="s">
        <v>31</v>
      </c>
      <c r="L205" s="176">
        <v>1.49</v>
      </c>
    </row>
    <row r="206" spans="1:14" x14ac:dyDescent="0.2">
      <c r="A206" s="169">
        <v>44886.038263888891</v>
      </c>
      <c r="B206" s="170" t="s">
        <v>30</v>
      </c>
      <c r="C206" s="171">
        <v>58.918460000000003</v>
      </c>
      <c r="D206" s="171" t="s">
        <v>34</v>
      </c>
      <c r="E206" s="180">
        <f ca="1"/>
        <v>0.31416299747142068</v>
      </c>
      <c r="F206" s="172">
        <v>18.510000000000002</v>
      </c>
      <c r="G206" s="173">
        <v>18.510000000000002</v>
      </c>
      <c r="H206" s="173" t="s">
        <v>31</v>
      </c>
      <c r="J206" s="175">
        <v>1.49</v>
      </c>
      <c r="K206" s="175" t="s">
        <v>31</v>
      </c>
      <c r="L206" s="176">
        <v>1.49</v>
      </c>
    </row>
    <row r="207" spans="1:14" x14ac:dyDescent="0.2">
      <c r="A207" s="169">
        <v>44886.036979166667</v>
      </c>
      <c r="B207" s="170" t="s">
        <v>30</v>
      </c>
      <c r="C207" s="171">
        <v>1.6193989999999998E-2</v>
      </c>
      <c r="D207" s="171" t="s">
        <v>39</v>
      </c>
      <c r="E207" s="180">
        <f ca="1"/>
        <v>1143.0166376538459</v>
      </c>
      <c r="F207" s="172">
        <v>18.510000000000002</v>
      </c>
      <c r="G207" s="173">
        <v>18.510000000000002</v>
      </c>
      <c r="H207" s="173" t="s">
        <v>31</v>
      </c>
      <c r="J207" s="175">
        <v>1.49</v>
      </c>
      <c r="K207" s="175" t="s">
        <v>31</v>
      </c>
      <c r="L207" s="176">
        <v>1.49</v>
      </c>
    </row>
    <row r="208" spans="1:14" x14ac:dyDescent="0.2">
      <c r="A208" s="169">
        <v>44885.840277777781</v>
      </c>
      <c r="B208" s="170" t="s">
        <v>30</v>
      </c>
      <c r="C208" s="171">
        <v>8.1690860000000004E-2</v>
      </c>
      <c r="D208" s="171" t="s">
        <v>39</v>
      </c>
      <c r="E208" s="180">
        <f ca="1"/>
        <v>1187.5257525750126</v>
      </c>
      <c r="F208" s="172">
        <v>97.01</v>
      </c>
      <c r="G208" s="173">
        <v>97.01</v>
      </c>
      <c r="H208" s="173" t="s">
        <v>31</v>
      </c>
      <c r="J208" s="175">
        <v>2.99</v>
      </c>
      <c r="K208" s="175" t="s">
        <v>31</v>
      </c>
      <c r="L208" s="176">
        <v>2.99</v>
      </c>
    </row>
    <row r="209" spans="1:13" x14ac:dyDescent="0.2">
      <c r="A209" s="169">
        <v>44878.840787037043</v>
      </c>
      <c r="B209" s="170" t="s">
        <v>30</v>
      </c>
      <c r="C209" s="171">
        <v>7.8565270000000006E-2</v>
      </c>
      <c r="D209" s="171" t="s">
        <v>39</v>
      </c>
      <c r="E209" s="180">
        <f ca="1"/>
        <v>1234.7695107520155</v>
      </c>
      <c r="F209" s="172">
        <v>97.01</v>
      </c>
      <c r="G209" s="173">
        <v>97.01</v>
      </c>
      <c r="H209" s="173" t="s">
        <v>31</v>
      </c>
      <c r="J209" s="175">
        <v>2.99</v>
      </c>
      <c r="K209" s="175" t="s">
        <v>31</v>
      </c>
      <c r="L209" s="176">
        <v>2.99</v>
      </c>
    </row>
    <row r="210" spans="1:13" x14ac:dyDescent="0.2">
      <c r="A210" s="169">
        <v>44873.69902777778</v>
      </c>
      <c r="B210" s="170" t="s">
        <v>30</v>
      </c>
      <c r="C210" s="171">
        <v>119.36914477000001</v>
      </c>
      <c r="D210" s="171" t="s">
        <v>50</v>
      </c>
      <c r="E210" s="180">
        <f ca="1"/>
        <v>1.2315577889349738</v>
      </c>
      <c r="F210" s="172">
        <v>147.01</v>
      </c>
      <c r="G210" s="173">
        <v>147.01</v>
      </c>
      <c r="H210" s="173" t="s">
        <v>31</v>
      </c>
      <c r="J210" s="175">
        <v>2.99</v>
      </c>
      <c r="K210" s="175" t="s">
        <v>31</v>
      </c>
      <c r="L210" s="176">
        <v>2.99</v>
      </c>
    </row>
    <row r="211" spans="1:13" x14ac:dyDescent="0.2">
      <c r="A211" s="169">
        <v>44871.809120370373</v>
      </c>
      <c r="B211" s="170" t="s">
        <v>30</v>
      </c>
      <c r="C211" s="171">
        <v>5.9890310000000002E-2</v>
      </c>
      <c r="D211" s="171" t="s">
        <v>39</v>
      </c>
      <c r="E211" s="180">
        <f ca="1"/>
        <v>1619.7945878056066</v>
      </c>
      <c r="F211" s="172">
        <v>97.01</v>
      </c>
      <c r="G211" s="173">
        <v>97.01</v>
      </c>
      <c r="H211" s="173" t="s">
        <v>31</v>
      </c>
      <c r="J211" s="175">
        <v>2.99</v>
      </c>
      <c r="K211" s="175" t="s">
        <v>31</v>
      </c>
      <c r="L211" s="176">
        <v>2.99</v>
      </c>
    </row>
    <row r="212" spans="1:13" x14ac:dyDescent="0.2">
      <c r="A212" s="169">
        <v>44868.1330787037</v>
      </c>
      <c r="B212" s="170" t="s">
        <v>30</v>
      </c>
      <c r="C212" s="171">
        <v>1.21190077</v>
      </c>
      <c r="D212" s="171" t="s">
        <v>48</v>
      </c>
      <c r="E212" s="180">
        <f ca="1"/>
        <v>162.56281444560844</v>
      </c>
      <c r="F212" s="172">
        <v>197.01</v>
      </c>
      <c r="G212" s="173">
        <v>197.01</v>
      </c>
      <c r="H212" s="173" t="s">
        <v>31</v>
      </c>
      <c r="J212" s="175">
        <v>2.99</v>
      </c>
      <c r="K212" s="175" t="s">
        <v>31</v>
      </c>
      <c r="L212" s="176">
        <v>2.99</v>
      </c>
    </row>
    <row r="213" spans="1:13" x14ac:dyDescent="0.2">
      <c r="A213" s="169">
        <v>44867.116736111107</v>
      </c>
      <c r="B213" s="170" t="s">
        <v>35</v>
      </c>
      <c r="C213" s="171">
        <v>839.14913694999996</v>
      </c>
      <c r="D213" s="171" t="s">
        <v>15</v>
      </c>
      <c r="E213" s="180">
        <f ca="1"/>
        <v>5.8070726470762654E-2</v>
      </c>
      <c r="F213" s="172">
        <v>48.73</v>
      </c>
      <c r="G213" s="173">
        <v>125.313283</v>
      </c>
      <c r="H213" s="173" t="s">
        <v>34</v>
      </c>
      <c r="I213" s="174">
        <v>54.46</v>
      </c>
      <c r="M213" s="177">
        <v>-5.73</v>
      </c>
    </row>
    <row r="214" spans="1:13" x14ac:dyDescent="0.2">
      <c r="A214" s="169">
        <v>44867.116469907407</v>
      </c>
      <c r="B214" s="170" t="s">
        <v>35</v>
      </c>
      <c r="C214" s="171">
        <v>839.61242671000002</v>
      </c>
      <c r="D214" s="171" t="s">
        <v>15</v>
      </c>
      <c r="E214" s="180">
        <f ca="1"/>
        <v>5.8050593880543733E-2</v>
      </c>
      <c r="F214" s="172">
        <v>48.74</v>
      </c>
      <c r="G214" s="173">
        <v>3.5898910000000002</v>
      </c>
      <c r="H214" s="173" t="s">
        <v>32</v>
      </c>
      <c r="I214" s="174">
        <v>47.39</v>
      </c>
      <c r="M214" s="177">
        <v>1.35</v>
      </c>
    </row>
    <row r="215" spans="1:13" x14ac:dyDescent="0.2">
      <c r="A215" s="169">
        <v>44864.759837962964</v>
      </c>
      <c r="B215" s="170" t="s">
        <v>30</v>
      </c>
      <c r="C215" s="171">
        <v>6.0941040000000002E-2</v>
      </c>
      <c r="D215" s="171" t="s">
        <v>39</v>
      </c>
      <c r="E215" s="180">
        <f ca="1"/>
        <v>1591.8664991605001</v>
      </c>
      <c r="F215" s="172">
        <v>97.01</v>
      </c>
      <c r="G215" s="173">
        <v>97.01</v>
      </c>
      <c r="H215" s="173" t="s">
        <v>31</v>
      </c>
      <c r="J215" s="175">
        <v>2.99</v>
      </c>
      <c r="K215" s="175" t="s">
        <v>31</v>
      </c>
      <c r="L215" s="176">
        <v>2.99</v>
      </c>
    </row>
    <row r="216" spans="1:13" x14ac:dyDescent="0.2">
      <c r="A216" s="169">
        <v>44857.699826388889</v>
      </c>
      <c r="B216" s="170" t="s">
        <v>30</v>
      </c>
      <c r="C216" s="171">
        <v>7.3430300000000004E-2</v>
      </c>
      <c r="D216" s="171" t="s">
        <v>39</v>
      </c>
      <c r="E216" s="180">
        <f ca="1"/>
        <v>1321.1167597027386</v>
      </c>
      <c r="F216" s="172">
        <v>97.01</v>
      </c>
      <c r="G216" s="173">
        <v>97.01</v>
      </c>
      <c r="H216" s="173" t="s">
        <v>31</v>
      </c>
      <c r="J216" s="175">
        <v>2.99</v>
      </c>
      <c r="K216" s="175" t="s">
        <v>31</v>
      </c>
      <c r="L216" s="176">
        <v>2.99</v>
      </c>
    </row>
    <row r="217" spans="1:13" x14ac:dyDescent="0.2">
      <c r="A217" s="169">
        <v>44854.677546296298</v>
      </c>
      <c r="B217" s="170" t="s">
        <v>30</v>
      </c>
      <c r="C217" s="171">
        <v>93.468839000000003</v>
      </c>
      <c r="D217" s="171" t="s">
        <v>34</v>
      </c>
      <c r="E217" s="180">
        <f ca="1"/>
        <v>0.35316582888121673</v>
      </c>
      <c r="F217" s="172">
        <v>33.01</v>
      </c>
      <c r="G217" s="173">
        <v>33.01</v>
      </c>
      <c r="H217" s="173" t="s">
        <v>31</v>
      </c>
      <c r="J217" s="175">
        <v>1.99</v>
      </c>
      <c r="K217" s="175" t="s">
        <v>31</v>
      </c>
      <c r="L217" s="176">
        <v>1.99</v>
      </c>
    </row>
    <row r="218" spans="1:13" x14ac:dyDescent="0.2">
      <c r="A218" s="169">
        <v>44850.796435185177</v>
      </c>
      <c r="B218" s="170" t="s">
        <v>30</v>
      </c>
      <c r="C218" s="171">
        <v>7.5120039999999999E-2</v>
      </c>
      <c r="D218" s="171" t="s">
        <v>39</v>
      </c>
      <c r="E218" s="180">
        <f ca="1"/>
        <v>1291.3997383387975</v>
      </c>
      <c r="F218" s="172">
        <v>97.01</v>
      </c>
      <c r="G218" s="173">
        <v>97.01</v>
      </c>
      <c r="H218" s="173" t="s">
        <v>31</v>
      </c>
      <c r="J218" s="175">
        <v>2.99</v>
      </c>
      <c r="K218" s="175" t="s">
        <v>31</v>
      </c>
      <c r="L218" s="176">
        <v>2.99</v>
      </c>
    </row>
    <row r="219" spans="1:13" x14ac:dyDescent="0.2">
      <c r="A219" s="169">
        <v>44843.656585648147</v>
      </c>
      <c r="B219" s="170" t="s">
        <v>35</v>
      </c>
      <c r="C219" s="171">
        <v>460.09175800000003</v>
      </c>
      <c r="D219" s="171" t="s">
        <v>34</v>
      </c>
      <c r="E219" s="180">
        <f ca="1"/>
        <v>0.41341753398677489</v>
      </c>
      <c r="F219" s="172">
        <v>190.21</v>
      </c>
      <c r="G219" s="173">
        <v>15.158405</v>
      </c>
      <c r="H219" s="173" t="s">
        <v>32</v>
      </c>
      <c r="I219" s="174">
        <v>200.09</v>
      </c>
      <c r="M219" s="177">
        <v>-0.13</v>
      </c>
    </row>
    <row r="220" spans="1:13" x14ac:dyDescent="0.2">
      <c r="A220" s="169">
        <v>44843.656053240738</v>
      </c>
      <c r="B220" s="170" t="s">
        <v>35</v>
      </c>
      <c r="C220" s="171">
        <v>7.3598159999999996E-2</v>
      </c>
      <c r="D220" s="171" t="s">
        <v>39</v>
      </c>
      <c r="E220" s="180">
        <f ca="1"/>
        <v>1358.5937474523819</v>
      </c>
      <c r="F220" s="172">
        <v>99.99</v>
      </c>
      <c r="G220" s="173">
        <v>7.5809259999999998</v>
      </c>
      <c r="H220" s="173" t="s">
        <v>32</v>
      </c>
      <c r="I220" s="174">
        <v>100.07</v>
      </c>
      <c r="M220" s="177">
        <v>-0.08</v>
      </c>
    </row>
    <row r="221" spans="1:13" x14ac:dyDescent="0.2">
      <c r="A221" s="169">
        <v>44843.653310185182</v>
      </c>
      <c r="B221" s="170" t="s">
        <v>35</v>
      </c>
      <c r="C221" s="171">
        <v>5.8921217700000001</v>
      </c>
      <c r="D221" s="171" t="s">
        <v>33</v>
      </c>
      <c r="E221" s="180">
        <f ca="1"/>
        <v>33.93684105751263</v>
      </c>
      <c r="F221" s="172">
        <v>199.96</v>
      </c>
      <c r="G221" s="173">
        <v>15.146925</v>
      </c>
      <c r="H221" s="173" t="s">
        <v>32</v>
      </c>
      <c r="I221" s="174">
        <v>200</v>
      </c>
      <c r="M221" s="177">
        <v>-0.04</v>
      </c>
    </row>
    <row r="222" spans="1:13" x14ac:dyDescent="0.2">
      <c r="A222" s="169">
        <v>44843.65152777778</v>
      </c>
      <c r="B222" s="170" t="s">
        <v>30</v>
      </c>
      <c r="C222" s="171">
        <v>7.2853029999999999E-2</v>
      </c>
      <c r="D222" s="171" t="s">
        <v>39</v>
      </c>
      <c r="E222" s="180">
        <f ca="1"/>
        <v>1331.5849731987812</v>
      </c>
      <c r="F222" s="172">
        <v>97.01</v>
      </c>
      <c r="G222" s="173">
        <v>97.01</v>
      </c>
      <c r="H222" s="173" t="s">
        <v>31</v>
      </c>
      <c r="J222" s="175">
        <v>2.99</v>
      </c>
      <c r="K222" s="175" t="s">
        <v>31</v>
      </c>
      <c r="L222" s="176">
        <v>2.99</v>
      </c>
    </row>
    <row r="223" spans="1:13" x14ac:dyDescent="0.2">
      <c r="A223" s="169">
        <v>44843.645138888889</v>
      </c>
      <c r="B223" s="170" t="s">
        <v>35</v>
      </c>
      <c r="C223" s="171">
        <v>42.219026999999997</v>
      </c>
      <c r="D223" s="171" t="s">
        <v>32</v>
      </c>
      <c r="E223" s="180">
        <f ca="1"/>
        <v>13.199972609506135</v>
      </c>
      <c r="F223" s="172">
        <v>557.29</v>
      </c>
      <c r="G223" s="173">
        <v>0.43150338999999999</v>
      </c>
      <c r="H223" s="173" t="s">
        <v>39</v>
      </c>
      <c r="I223" s="174">
        <v>644.63</v>
      </c>
      <c r="M223" s="177">
        <v>-87.34</v>
      </c>
    </row>
    <row r="224" spans="1:13" x14ac:dyDescent="0.2">
      <c r="A224" s="169">
        <v>44843.644467592603</v>
      </c>
      <c r="B224" s="170" t="s">
        <v>35</v>
      </c>
      <c r="C224" s="171">
        <v>11.074009999999999</v>
      </c>
      <c r="D224" s="171" t="s">
        <v>32</v>
      </c>
      <c r="E224" s="180">
        <f ca="1"/>
        <v>13.499175095561592</v>
      </c>
      <c r="F224" s="172">
        <v>149.49</v>
      </c>
      <c r="G224" s="173">
        <v>0.11320669</v>
      </c>
      <c r="H224" s="173" t="s">
        <v>39</v>
      </c>
      <c r="I224" s="174">
        <v>193.81</v>
      </c>
      <c r="M224" s="177">
        <v>-47.57</v>
      </c>
    </row>
    <row r="225" spans="1:13" x14ac:dyDescent="0.2">
      <c r="A225" s="169">
        <v>44837.7578125</v>
      </c>
      <c r="B225" s="170" t="s">
        <v>30</v>
      </c>
      <c r="C225" s="171">
        <v>3.5982489999999999E-2</v>
      </c>
      <c r="D225" s="171" t="s">
        <v>39</v>
      </c>
      <c r="E225" s="180">
        <f ca="1"/>
        <v>1334.2600803891003</v>
      </c>
      <c r="F225" s="172">
        <v>48.01</v>
      </c>
      <c r="G225" s="173">
        <v>48.01</v>
      </c>
      <c r="H225" s="173" t="s">
        <v>31</v>
      </c>
      <c r="J225" s="175">
        <v>1.99</v>
      </c>
      <c r="K225" s="175" t="s">
        <v>31</v>
      </c>
      <c r="L225" s="176">
        <v>1.99</v>
      </c>
    </row>
    <row r="226" spans="1:13" x14ac:dyDescent="0.2">
      <c r="A226" s="169">
        <v>44830.693518518521</v>
      </c>
      <c r="B226" s="170" t="s">
        <v>30</v>
      </c>
      <c r="C226" s="171">
        <v>3.6367650000000001E-2</v>
      </c>
      <c r="D226" s="171" t="s">
        <v>39</v>
      </c>
      <c r="E226" s="180">
        <f ca="1"/>
        <v>1320.1292907295356</v>
      </c>
      <c r="F226" s="172">
        <v>48.01</v>
      </c>
      <c r="G226" s="173">
        <v>48.01</v>
      </c>
      <c r="H226" s="173" t="s">
        <v>31</v>
      </c>
      <c r="J226" s="175">
        <v>1.99</v>
      </c>
      <c r="K226" s="175" t="s">
        <v>31</v>
      </c>
      <c r="L226" s="176">
        <v>1.99</v>
      </c>
    </row>
    <row r="227" spans="1:13" x14ac:dyDescent="0.2">
      <c r="A227" s="169">
        <v>44823.808437500003</v>
      </c>
      <c r="B227" s="170" t="s">
        <v>30</v>
      </c>
      <c r="C227" s="171">
        <v>3.524733E-2</v>
      </c>
      <c r="D227" s="171" t="s">
        <v>39</v>
      </c>
      <c r="E227" s="180">
        <f ca="1"/>
        <v>1362.0889865984175</v>
      </c>
      <c r="F227" s="172">
        <v>48.01</v>
      </c>
      <c r="G227" s="173">
        <v>48.01</v>
      </c>
      <c r="H227" s="173" t="s">
        <v>31</v>
      </c>
      <c r="J227" s="175">
        <v>1.99</v>
      </c>
      <c r="K227" s="175" t="s">
        <v>31</v>
      </c>
      <c r="L227" s="176">
        <v>1.99</v>
      </c>
    </row>
    <row r="228" spans="1:13" x14ac:dyDescent="0.2">
      <c r="A228" s="169">
        <v>44816.688368055547</v>
      </c>
      <c r="B228" s="170" t="s">
        <v>30</v>
      </c>
      <c r="C228" s="171">
        <v>2.7867079999999999E-2</v>
      </c>
      <c r="D228" s="171" t="s">
        <v>39</v>
      </c>
      <c r="E228" s="180">
        <f ca="1"/>
        <v>1722.8213361428611</v>
      </c>
      <c r="F228" s="172">
        <v>48.01</v>
      </c>
      <c r="G228" s="173">
        <v>48.01</v>
      </c>
      <c r="H228" s="173" t="s">
        <v>31</v>
      </c>
      <c r="J228" s="175">
        <v>1.99</v>
      </c>
      <c r="K228" s="175" t="s">
        <v>31</v>
      </c>
      <c r="L228" s="176">
        <v>1.99</v>
      </c>
    </row>
    <row r="229" spans="1:13" x14ac:dyDescent="0.2">
      <c r="A229" s="169">
        <v>44811.86582175926</v>
      </c>
      <c r="B229" s="170" t="s">
        <v>35</v>
      </c>
      <c r="C229" s="171">
        <v>8.8742890000000005E-2</v>
      </c>
      <c r="D229" s="171" t="s">
        <v>39</v>
      </c>
      <c r="E229" s="180">
        <f ca="1"/>
        <v>1684.0785780134045</v>
      </c>
      <c r="F229" s="172">
        <v>149.44999999999999</v>
      </c>
      <c r="G229" s="173">
        <v>176.07568337000001</v>
      </c>
      <c r="H229" s="173" t="s">
        <v>50</v>
      </c>
      <c r="I229" s="174">
        <v>146.22</v>
      </c>
      <c r="M229" s="177">
        <v>3.23</v>
      </c>
    </row>
    <row r="230" spans="1:13" x14ac:dyDescent="0.2">
      <c r="A230" s="169">
        <v>44811.864942129629</v>
      </c>
      <c r="B230" s="170" t="s">
        <v>35</v>
      </c>
      <c r="C230" s="171">
        <v>8.3335389999999995E-2</v>
      </c>
      <c r="D230" s="171" t="s">
        <v>39</v>
      </c>
      <c r="E230" s="180">
        <f ca="1"/>
        <v>1685.1184112776098</v>
      </c>
      <c r="F230" s="172">
        <v>140.43</v>
      </c>
      <c r="G230" s="173">
        <v>293.00591600000001</v>
      </c>
      <c r="H230" s="173" t="s">
        <v>34</v>
      </c>
      <c r="I230" s="174">
        <v>147.03</v>
      </c>
      <c r="M230" s="177">
        <v>-6.6</v>
      </c>
    </row>
    <row r="231" spans="1:13" x14ac:dyDescent="0.2">
      <c r="A231" s="169">
        <v>44811.864641203712</v>
      </c>
      <c r="B231" s="170" t="s">
        <v>35</v>
      </c>
      <c r="C231" s="171">
        <v>7.8843269999999993E-2</v>
      </c>
      <c r="D231" s="171" t="s">
        <v>39</v>
      </c>
      <c r="E231" s="180">
        <f ca="1"/>
        <v>1680.9297737143577</v>
      </c>
      <c r="F231" s="172">
        <v>132.53</v>
      </c>
      <c r="G231" s="173">
        <v>4.0617816199999996</v>
      </c>
      <c r="H231" s="173" t="s">
        <v>33</v>
      </c>
      <c r="I231" s="174">
        <v>157.16</v>
      </c>
      <c r="M231" s="177">
        <v>-24.63</v>
      </c>
    </row>
    <row r="232" spans="1:13" x14ac:dyDescent="0.2">
      <c r="A232" s="169">
        <v>44809.751307870371</v>
      </c>
      <c r="B232" s="170" t="s">
        <v>30</v>
      </c>
      <c r="C232" s="171">
        <v>2.99414E-2</v>
      </c>
      <c r="D232" s="171" t="s">
        <v>39</v>
      </c>
      <c r="E232" s="180">
        <f ca="1"/>
        <v>1603.4654358179644</v>
      </c>
      <c r="F232" s="172">
        <v>48.01</v>
      </c>
      <c r="G232" s="173">
        <v>48.01</v>
      </c>
      <c r="H232" s="173" t="s">
        <v>31</v>
      </c>
      <c r="J232" s="175">
        <v>1.99</v>
      </c>
      <c r="K232" s="175" t="s">
        <v>31</v>
      </c>
      <c r="L232" s="176">
        <v>1.99</v>
      </c>
    </row>
    <row r="233" spans="1:13" x14ac:dyDescent="0.2">
      <c r="A233" s="169">
        <v>44802.734803240739</v>
      </c>
      <c r="B233" s="170" t="s">
        <v>30</v>
      </c>
      <c r="C233" s="171">
        <v>3.1119709999999998E-2</v>
      </c>
      <c r="D233" s="171" t="s">
        <v>39</v>
      </c>
      <c r="E233" s="180">
        <f ca="1"/>
        <v>1542.7521657496166</v>
      </c>
      <c r="F233" s="172">
        <v>48.01</v>
      </c>
      <c r="G233" s="173">
        <v>48.01</v>
      </c>
      <c r="H233" s="173" t="s">
        <v>31</v>
      </c>
      <c r="J233" s="175">
        <v>1.99</v>
      </c>
      <c r="K233" s="175" t="s">
        <v>31</v>
      </c>
      <c r="L233" s="176">
        <v>1.99</v>
      </c>
    </row>
    <row r="234" spans="1:13" x14ac:dyDescent="0.2">
      <c r="A234" s="169">
        <v>44799.562615740739</v>
      </c>
      <c r="B234" s="170" t="s">
        <v>35</v>
      </c>
      <c r="C234" s="171">
        <v>176.07568337000001</v>
      </c>
      <c r="D234" s="171" t="s">
        <v>50</v>
      </c>
      <c r="E234" s="180">
        <f ca="1"/>
        <v>0.83043835015388134</v>
      </c>
      <c r="F234" s="172">
        <v>146.22</v>
      </c>
      <c r="G234" s="173">
        <v>8.8820460000000004E-2</v>
      </c>
      <c r="H234" s="173" t="s">
        <v>39</v>
      </c>
      <c r="I234" s="174">
        <v>158.13999999999999</v>
      </c>
      <c r="M234" s="177">
        <v>-11.92</v>
      </c>
    </row>
    <row r="235" spans="1:13" x14ac:dyDescent="0.2">
      <c r="A235" s="169">
        <v>44795.837719907409</v>
      </c>
      <c r="B235" s="170" t="s">
        <v>30</v>
      </c>
      <c r="C235" s="171">
        <v>3.028424E-2</v>
      </c>
      <c r="D235" s="171" t="s">
        <v>39</v>
      </c>
      <c r="E235" s="180">
        <f ca="1"/>
        <v>1585.3130208979983</v>
      </c>
      <c r="F235" s="172">
        <v>48.01</v>
      </c>
      <c r="G235" s="173">
        <v>48.01</v>
      </c>
      <c r="H235" s="173" t="s">
        <v>31</v>
      </c>
      <c r="J235" s="175">
        <v>1.99</v>
      </c>
      <c r="K235" s="175" t="s">
        <v>31</v>
      </c>
      <c r="L235" s="176">
        <v>1.99</v>
      </c>
    </row>
    <row r="236" spans="1:13" x14ac:dyDescent="0.2">
      <c r="A236" s="169">
        <v>44788.808819444443</v>
      </c>
      <c r="B236" s="170" t="s">
        <v>30</v>
      </c>
      <c r="C236" s="171">
        <v>2.5103E-2</v>
      </c>
      <c r="D236" s="171" t="s">
        <v>39</v>
      </c>
      <c r="E236" s="180">
        <f ca="1"/>
        <v>1912.5204158865474</v>
      </c>
      <c r="F236" s="172">
        <v>48.01</v>
      </c>
      <c r="G236" s="173">
        <v>48.01</v>
      </c>
      <c r="H236" s="173" t="s">
        <v>31</v>
      </c>
      <c r="J236" s="175">
        <v>1.99</v>
      </c>
      <c r="K236" s="175" t="s">
        <v>31</v>
      </c>
      <c r="L236" s="176">
        <v>1.99</v>
      </c>
    </row>
    <row r="237" spans="1:13" x14ac:dyDescent="0.2">
      <c r="A237" s="169">
        <v>44781.755995370368</v>
      </c>
      <c r="B237" s="170" t="s">
        <v>30</v>
      </c>
      <c r="C237" s="171">
        <v>2.7035590000000002E-2</v>
      </c>
      <c r="D237" s="171" t="s">
        <v>39</v>
      </c>
      <c r="E237" s="180">
        <f ca="1"/>
        <v>1775.8073709506616</v>
      </c>
      <c r="F237" s="172">
        <v>48.01</v>
      </c>
      <c r="G237" s="173">
        <v>48.01</v>
      </c>
      <c r="H237" s="173" t="s">
        <v>31</v>
      </c>
      <c r="J237" s="175">
        <v>1.99</v>
      </c>
      <c r="K237" s="175" t="s">
        <v>31</v>
      </c>
      <c r="L237" s="176">
        <v>1.99</v>
      </c>
    </row>
    <row r="238" spans="1:13" x14ac:dyDescent="0.2">
      <c r="A238" s="169">
        <v>44777.476840277777</v>
      </c>
      <c r="B238" s="170" t="s">
        <v>35</v>
      </c>
      <c r="C238" s="171">
        <v>292.78099800000001</v>
      </c>
      <c r="D238" s="171" t="s">
        <v>34</v>
      </c>
      <c r="E238" s="180">
        <f ca="1"/>
        <v>0.50187683286741169</v>
      </c>
      <c r="F238" s="172">
        <v>146.94</v>
      </c>
      <c r="G238" s="173">
        <v>9.2709340000000001E-2</v>
      </c>
      <c r="H238" s="173" t="s">
        <v>39</v>
      </c>
      <c r="I238" s="174">
        <v>129.83000000000001</v>
      </c>
      <c r="M238" s="177">
        <v>17.11</v>
      </c>
    </row>
    <row r="239" spans="1:13" x14ac:dyDescent="0.2">
      <c r="A239" s="169">
        <v>44777.473796296297</v>
      </c>
      <c r="B239" s="170" t="s">
        <v>35</v>
      </c>
      <c r="C239" s="171">
        <v>4.0490642799999996</v>
      </c>
      <c r="D239" s="171" t="s">
        <v>33</v>
      </c>
      <c r="E239" s="180">
        <f ca="1"/>
        <v>38.712647950355588</v>
      </c>
      <c r="F239" s="172">
        <v>156.75</v>
      </c>
      <c r="G239" s="173">
        <v>9.9463670000000004E-2</v>
      </c>
      <c r="H239" s="173" t="s">
        <v>39</v>
      </c>
      <c r="I239" s="174">
        <v>214.86</v>
      </c>
      <c r="M239" s="177">
        <v>-58.11</v>
      </c>
    </row>
    <row r="240" spans="1:13" x14ac:dyDescent="0.2">
      <c r="A240" s="169">
        <v>44774.767731481479</v>
      </c>
      <c r="B240" s="170" t="s">
        <v>30</v>
      </c>
      <c r="C240" s="171">
        <v>2.9329959999999999E-2</v>
      </c>
      <c r="D240" s="171" t="s">
        <v>39</v>
      </c>
      <c r="E240" s="180">
        <f ca="1"/>
        <v>1636.8927881251798</v>
      </c>
      <c r="F240" s="172">
        <v>48.01</v>
      </c>
      <c r="G240" s="173">
        <v>48.01</v>
      </c>
      <c r="H240" s="173" t="s">
        <v>31</v>
      </c>
      <c r="J240" s="175">
        <v>1.99</v>
      </c>
      <c r="K240" s="175" t="s">
        <v>31</v>
      </c>
      <c r="L240" s="176">
        <v>1.99</v>
      </c>
    </row>
    <row r="241" spans="1:13" x14ac:dyDescent="0.2">
      <c r="A241" s="169">
        <v>44767.740405092591</v>
      </c>
      <c r="B241" s="170" t="s">
        <v>30</v>
      </c>
      <c r="C241" s="171">
        <v>3.1398089999999997E-2</v>
      </c>
      <c r="D241" s="171" t="s">
        <v>39</v>
      </c>
      <c r="E241" s="180">
        <f ca="1"/>
        <v>1529.0739022660296</v>
      </c>
      <c r="F241" s="172">
        <v>48.01</v>
      </c>
      <c r="G241" s="173">
        <v>48.01</v>
      </c>
      <c r="H241" s="173" t="s">
        <v>31</v>
      </c>
      <c r="J241" s="175">
        <v>1.99</v>
      </c>
      <c r="K241" s="175" t="s">
        <v>31</v>
      </c>
      <c r="L241" s="176">
        <v>1.99</v>
      </c>
    </row>
    <row r="242" spans="1:13" x14ac:dyDescent="0.2">
      <c r="A242" s="169">
        <v>44760.710046296299</v>
      </c>
      <c r="B242" s="170" t="s">
        <v>30</v>
      </c>
      <c r="C242" s="171">
        <v>3.1947830000000003E-2</v>
      </c>
      <c r="D242" s="171" t="s">
        <v>39</v>
      </c>
      <c r="E242" s="180">
        <f ca="1"/>
        <v>1502.7624724433551</v>
      </c>
      <c r="F242" s="172">
        <v>48.01</v>
      </c>
      <c r="G242" s="173">
        <v>48.01</v>
      </c>
      <c r="H242" s="173" t="s">
        <v>31</v>
      </c>
      <c r="J242" s="175">
        <v>1.99</v>
      </c>
      <c r="K242" s="175" t="s">
        <v>31</v>
      </c>
      <c r="L242" s="176">
        <v>1.99</v>
      </c>
    </row>
    <row r="243" spans="1:13" x14ac:dyDescent="0.2">
      <c r="A243" s="169">
        <v>44753.735995370371</v>
      </c>
      <c r="B243" s="170" t="s">
        <v>30</v>
      </c>
      <c r="C243" s="171">
        <v>4.1425660000000003E-2</v>
      </c>
      <c r="D243" s="171" t="s">
        <v>39</v>
      </c>
      <c r="E243" s="180">
        <f ca="1"/>
        <v>1158.9435147201034</v>
      </c>
      <c r="F243" s="172">
        <v>48.01</v>
      </c>
      <c r="G243" s="173">
        <v>48.01</v>
      </c>
      <c r="H243" s="173" t="s">
        <v>31</v>
      </c>
      <c r="J243" s="175">
        <v>1.99</v>
      </c>
      <c r="K243" s="175" t="s">
        <v>31</v>
      </c>
      <c r="L243" s="176">
        <v>1.99</v>
      </c>
    </row>
    <row r="244" spans="1:13" x14ac:dyDescent="0.2">
      <c r="A244" s="169">
        <v>44746.529317129629</v>
      </c>
      <c r="B244" s="170" t="s">
        <v>30</v>
      </c>
      <c r="C244" s="171">
        <v>4.3246680000000003E-2</v>
      </c>
      <c r="D244" s="171" t="s">
        <v>39</v>
      </c>
      <c r="E244" s="180">
        <f ca="1"/>
        <v>1110.1430213833755</v>
      </c>
      <c r="F244" s="172">
        <v>48.01</v>
      </c>
      <c r="G244" s="173">
        <v>48.01</v>
      </c>
      <c r="H244" s="173" t="s">
        <v>31</v>
      </c>
      <c r="J244" s="175">
        <v>1.99</v>
      </c>
      <c r="K244" s="175" t="s">
        <v>31</v>
      </c>
      <c r="L244" s="176">
        <v>1.99</v>
      </c>
    </row>
    <row r="245" spans="1:13" x14ac:dyDescent="0.2">
      <c r="A245" s="169">
        <v>44737.498414351852</v>
      </c>
      <c r="B245" s="170" t="s">
        <v>30</v>
      </c>
      <c r="C245" s="171">
        <v>3.9286450000000001E-2</v>
      </c>
      <c r="D245" s="171" t="s">
        <v>39</v>
      </c>
      <c r="E245" s="180">
        <f ca="1"/>
        <v>1222.049841612057</v>
      </c>
      <c r="F245" s="172">
        <v>48.01</v>
      </c>
      <c r="G245" s="173">
        <v>48.01</v>
      </c>
      <c r="H245" s="173" t="s">
        <v>31</v>
      </c>
      <c r="J245" s="175">
        <v>1.99</v>
      </c>
      <c r="K245" s="175" t="s">
        <v>31</v>
      </c>
      <c r="L245" s="176">
        <v>1.99</v>
      </c>
    </row>
    <row r="246" spans="1:13" x14ac:dyDescent="0.2">
      <c r="A246" s="169">
        <v>44737.494398148148</v>
      </c>
      <c r="B246" s="170" t="s">
        <v>30</v>
      </c>
      <c r="C246" s="171">
        <v>3.356058E-2</v>
      </c>
      <c r="D246" s="171" t="s">
        <v>39</v>
      </c>
      <c r="E246" s="180">
        <f ca="1"/>
        <v>1221.9693461793568</v>
      </c>
      <c r="F246" s="172">
        <v>41.01</v>
      </c>
      <c r="G246" s="173">
        <v>41.01</v>
      </c>
      <c r="H246" s="173" t="s">
        <v>31</v>
      </c>
      <c r="J246" s="175">
        <v>1.99</v>
      </c>
      <c r="K246" s="175" t="s">
        <v>31</v>
      </c>
      <c r="L246" s="176">
        <v>1.99</v>
      </c>
    </row>
    <row r="247" spans="1:13" x14ac:dyDescent="0.2">
      <c r="A247" s="169">
        <v>44645.753136574072</v>
      </c>
      <c r="B247" s="170" t="s">
        <v>35</v>
      </c>
      <c r="C247" s="171">
        <v>1.4940470000000001E-2</v>
      </c>
      <c r="D247" s="171" t="s">
        <v>39</v>
      </c>
      <c r="E247" s="180">
        <f ca="1"/>
        <v>3170.5829870144644</v>
      </c>
      <c r="F247" s="172">
        <v>47.37</v>
      </c>
      <c r="G247" s="173">
        <v>29.952253760000001</v>
      </c>
      <c r="H247" s="173" t="s">
        <v>50</v>
      </c>
      <c r="I247" s="174">
        <v>50.81</v>
      </c>
      <c r="M247" s="177">
        <v>-3.44</v>
      </c>
    </row>
    <row r="248" spans="1:13" x14ac:dyDescent="0.2">
      <c r="A248" s="169">
        <v>44636.643750000003</v>
      </c>
      <c r="B248" s="170" t="s">
        <v>35</v>
      </c>
      <c r="C248" s="171">
        <v>1.3743E-2</v>
      </c>
      <c r="D248" s="171" t="s">
        <v>39</v>
      </c>
      <c r="E248" s="180">
        <f ca="1"/>
        <v>2716.2919304373136</v>
      </c>
      <c r="F248" s="172">
        <v>37.33</v>
      </c>
      <c r="G248" s="173">
        <v>9.3386999999999995E-4</v>
      </c>
      <c r="H248" s="173" t="s">
        <v>40</v>
      </c>
      <c r="I248" s="174">
        <v>40</v>
      </c>
      <c r="M248" s="177">
        <v>-2.67</v>
      </c>
    </row>
    <row r="249" spans="1:13" x14ac:dyDescent="0.2">
      <c r="A249" s="169">
        <v>44635.890625</v>
      </c>
      <c r="B249" s="170" t="s">
        <v>35</v>
      </c>
      <c r="C249" s="171">
        <v>7.0839999999999998E-4</v>
      </c>
      <c r="D249" s="171" t="s">
        <v>39</v>
      </c>
      <c r="E249" s="180">
        <f ca="1"/>
        <v>2682.1005081874646</v>
      </c>
      <c r="F249" s="172">
        <v>1.9</v>
      </c>
      <c r="G249" s="173">
        <v>0.80862630999999996</v>
      </c>
      <c r="H249" s="173" t="s">
        <v>51</v>
      </c>
      <c r="I249" s="174">
        <v>2.98</v>
      </c>
      <c r="M249" s="177">
        <v>-1.08</v>
      </c>
    </row>
    <row r="250" spans="1:13" x14ac:dyDescent="0.2">
      <c r="A250" s="169">
        <v>44609.712650462963</v>
      </c>
      <c r="B250" s="170" t="s">
        <v>35</v>
      </c>
      <c r="C250" s="171">
        <v>4.6669000000000002E-4</v>
      </c>
      <c r="D250" s="171" t="s">
        <v>40</v>
      </c>
      <c r="E250" s="180">
        <f ca="1"/>
        <v>42855.000107137501</v>
      </c>
      <c r="F250" s="172">
        <v>20</v>
      </c>
      <c r="G250" s="173">
        <v>6.7120299999999999E-3</v>
      </c>
      <c r="H250" s="173" t="s">
        <v>39</v>
      </c>
      <c r="I250" s="174">
        <v>17.170000000000002</v>
      </c>
      <c r="M250" s="177">
        <v>2.83</v>
      </c>
    </row>
    <row r="251" spans="1:13" x14ac:dyDescent="0.2">
      <c r="A251" s="169">
        <v>44609.711273148147</v>
      </c>
      <c r="B251" s="170" t="s">
        <v>35</v>
      </c>
      <c r="C251" s="171">
        <v>4.6717999999999998E-4</v>
      </c>
      <c r="D251" s="171" t="s">
        <v>40</v>
      </c>
      <c r="E251" s="180">
        <f ca="1"/>
        <v>42810.051800162677</v>
      </c>
      <c r="F251" s="172">
        <v>20</v>
      </c>
      <c r="G251" s="173">
        <v>11.465917559999999</v>
      </c>
      <c r="H251" s="173" t="s">
        <v>50</v>
      </c>
      <c r="I251" s="174">
        <v>21.9</v>
      </c>
      <c r="M251" s="177">
        <v>-1.9</v>
      </c>
    </row>
    <row r="252" spans="1:13" x14ac:dyDescent="0.2">
      <c r="A252" s="169">
        <v>44608.834918981483</v>
      </c>
      <c r="B252" s="170" t="s">
        <v>35</v>
      </c>
      <c r="C252" s="171">
        <v>10.069164199999999</v>
      </c>
      <c r="D252" s="171" t="s">
        <v>50</v>
      </c>
      <c r="E252" s="180">
        <f ca="1"/>
        <v>1.8750314946696369</v>
      </c>
      <c r="F252" s="172">
        <v>18.88</v>
      </c>
      <c r="G252" s="173">
        <v>56.116802880000002</v>
      </c>
      <c r="H252" s="173" t="s">
        <v>52</v>
      </c>
      <c r="I252" s="174">
        <v>19.37</v>
      </c>
      <c r="M252" s="177">
        <v>-0.49</v>
      </c>
    </row>
    <row r="253" spans="1:13" x14ac:dyDescent="0.2">
      <c r="A253" s="169">
        <v>44602.873993055553</v>
      </c>
      <c r="B253" s="170" t="s">
        <v>35</v>
      </c>
      <c r="C253" s="171">
        <v>56.116802880000002</v>
      </c>
      <c r="D253" s="171" t="s">
        <v>52</v>
      </c>
      <c r="E253" s="180">
        <f ca="1"/>
        <v>0.34517290732725364</v>
      </c>
      <c r="F253" s="172">
        <v>19.37</v>
      </c>
      <c r="G253" s="173">
        <v>1.0893102800000001</v>
      </c>
      <c r="H253" s="173" t="s">
        <v>41</v>
      </c>
      <c r="I253" s="174">
        <v>19.09</v>
      </c>
      <c r="M253" s="177">
        <v>0.28000000000000003</v>
      </c>
    </row>
    <row r="254" spans="1:13" x14ac:dyDescent="0.2">
      <c r="A254" s="169">
        <v>44602.595902777779</v>
      </c>
      <c r="B254" s="170" t="s">
        <v>35</v>
      </c>
      <c r="C254" s="171">
        <v>4.9322087999999997</v>
      </c>
      <c r="D254" s="171" t="s">
        <v>50</v>
      </c>
      <c r="E254" s="180">
        <f ca="1"/>
        <v>1.8896199203894208</v>
      </c>
      <c r="F254" s="172">
        <v>9.32</v>
      </c>
      <c r="G254" s="173">
        <v>36.42306705</v>
      </c>
      <c r="H254" s="173" t="s">
        <v>53</v>
      </c>
      <c r="I254" s="174">
        <v>9.8699999999999992</v>
      </c>
      <c r="M254" s="177">
        <v>-0.55000000000000004</v>
      </c>
    </row>
    <row r="255" spans="1:13" x14ac:dyDescent="0.2">
      <c r="A255" s="169">
        <v>44602.594340277778</v>
      </c>
      <c r="B255" s="170" t="s">
        <v>35</v>
      </c>
      <c r="C255" s="171">
        <v>6.29638235</v>
      </c>
      <c r="D255" s="171" t="s">
        <v>50</v>
      </c>
      <c r="E255" s="180">
        <f ca="1"/>
        <v>1.9280912951545899</v>
      </c>
      <c r="F255" s="172">
        <v>12.14</v>
      </c>
      <c r="G255" s="173">
        <v>3.853386</v>
      </c>
      <c r="H255" s="173" t="s">
        <v>54</v>
      </c>
      <c r="I255" s="174">
        <v>13.74</v>
      </c>
      <c r="M255" s="177">
        <v>-1.6</v>
      </c>
    </row>
    <row r="256" spans="1:13" x14ac:dyDescent="0.2">
      <c r="A256" s="169">
        <v>44602.026458333326</v>
      </c>
      <c r="B256" s="170" t="s">
        <v>35</v>
      </c>
      <c r="C256" s="171">
        <v>3.853386</v>
      </c>
      <c r="D256" s="171" t="s">
        <v>54</v>
      </c>
      <c r="E256" s="180">
        <f ca="1"/>
        <v>3.5656952093561354</v>
      </c>
      <c r="F256" s="172">
        <v>13.74</v>
      </c>
      <c r="G256" s="173">
        <v>0.75839652999999996</v>
      </c>
      <c r="H256" s="173" t="s">
        <v>41</v>
      </c>
      <c r="I256" s="174">
        <v>13.29</v>
      </c>
      <c r="M256" s="177">
        <v>0.45</v>
      </c>
    </row>
    <row r="257" spans="1:13" x14ac:dyDescent="0.2">
      <c r="A257" s="169">
        <v>44597.994050925918</v>
      </c>
      <c r="B257" s="170" t="s">
        <v>30</v>
      </c>
      <c r="C257" s="171">
        <v>0.26990553</v>
      </c>
      <c r="D257" s="171" t="s">
        <v>51</v>
      </c>
      <c r="E257" s="180">
        <f ca="1"/>
        <v>3.6679500416312329</v>
      </c>
      <c r="F257" s="172">
        <v>0.99</v>
      </c>
    </row>
    <row r="258" spans="1:13" x14ac:dyDescent="0.2">
      <c r="A258" s="169">
        <v>44597.993275462963</v>
      </c>
      <c r="B258" s="170" t="s">
        <v>30</v>
      </c>
      <c r="C258" s="171">
        <v>0.26954177000000001</v>
      </c>
      <c r="D258" s="171" t="s">
        <v>51</v>
      </c>
      <c r="E258" s="180">
        <f ca="1"/>
        <v>3.7100001235430038</v>
      </c>
      <c r="F258" s="172">
        <v>1</v>
      </c>
    </row>
    <row r="259" spans="1:13" x14ac:dyDescent="0.2">
      <c r="A259" s="169">
        <v>44597.992534722223</v>
      </c>
      <c r="B259" s="170" t="s">
        <v>30</v>
      </c>
      <c r="C259" s="171">
        <v>0.269179</v>
      </c>
      <c r="D259" s="171" t="s">
        <v>51</v>
      </c>
      <c r="E259" s="180">
        <f ca="1"/>
        <v>3.6778500551677507</v>
      </c>
      <c r="F259" s="172">
        <v>0.99</v>
      </c>
    </row>
    <row r="260" spans="1:13" x14ac:dyDescent="0.2">
      <c r="A260" s="169">
        <v>44597.97625</v>
      </c>
      <c r="B260" s="170" t="s">
        <v>35</v>
      </c>
      <c r="C260" s="171">
        <v>36.42306705</v>
      </c>
      <c r="D260" s="171" t="s">
        <v>53</v>
      </c>
      <c r="E260" s="180">
        <f ca="1"/>
        <v>0.27098212202862798</v>
      </c>
      <c r="F260" s="172">
        <v>9.8699999999999992</v>
      </c>
      <c r="G260" s="173">
        <v>3.3121499999999998E-3</v>
      </c>
      <c r="H260" s="173" t="s">
        <v>39</v>
      </c>
      <c r="I260" s="174">
        <v>8.5</v>
      </c>
      <c r="M260" s="177">
        <v>1.37</v>
      </c>
    </row>
    <row r="261" spans="1:13" x14ac:dyDescent="0.2">
      <c r="A261" s="169">
        <v>44591.962141203701</v>
      </c>
      <c r="B261" s="170" t="s">
        <v>35</v>
      </c>
      <c r="C261" s="171">
        <v>20.12041597</v>
      </c>
      <c r="D261" s="171" t="s">
        <v>50</v>
      </c>
      <c r="E261" s="180">
        <f ca="1"/>
        <v>1.6088136571462741</v>
      </c>
      <c r="F261" s="172">
        <v>32.369999999999997</v>
      </c>
      <c r="G261" s="173">
        <v>1.2713240000000001E-2</v>
      </c>
      <c r="H261" s="173" t="s">
        <v>39</v>
      </c>
      <c r="I261" s="174">
        <v>32.619999999999997</v>
      </c>
      <c r="M261" s="177">
        <v>-0.25</v>
      </c>
    </row>
    <row r="262" spans="1:13" x14ac:dyDescent="0.2">
      <c r="A262" s="169">
        <v>44591.959328703713</v>
      </c>
      <c r="B262" s="170" t="s">
        <v>35</v>
      </c>
      <c r="C262" s="171">
        <v>1.84770681</v>
      </c>
      <c r="D262" s="171" t="s">
        <v>41</v>
      </c>
      <c r="E262" s="180">
        <f ca="1"/>
        <v>17.52442531723959</v>
      </c>
      <c r="F262" s="172">
        <v>32.380000000000003</v>
      </c>
      <c r="G262" s="173">
        <v>1.280531E-2</v>
      </c>
      <c r="H262" s="173" t="s">
        <v>39</v>
      </c>
      <c r="I262" s="174">
        <v>38.6</v>
      </c>
      <c r="M262" s="177">
        <v>-6.22</v>
      </c>
    </row>
    <row r="263" spans="1:13" x14ac:dyDescent="0.2">
      <c r="A263" s="169">
        <v>44585.755312499998</v>
      </c>
      <c r="B263" s="170" t="s">
        <v>35</v>
      </c>
      <c r="C263" s="171">
        <v>1.0627559999999999E-2</v>
      </c>
      <c r="D263" s="171" t="s">
        <v>39</v>
      </c>
      <c r="E263" s="180">
        <f ca="1"/>
        <v>2345.7877443176044</v>
      </c>
      <c r="F263" s="172">
        <v>24.93</v>
      </c>
      <c r="G263" s="173">
        <v>7.2000000000000005E-4</v>
      </c>
      <c r="H263" s="173" t="s">
        <v>40</v>
      </c>
      <c r="I263" s="174">
        <v>29.97</v>
      </c>
      <c r="M263" s="177">
        <v>-5.04</v>
      </c>
    </row>
    <row r="264" spans="1:13" x14ac:dyDescent="0.2">
      <c r="A264" s="169">
        <v>44585.058182870373</v>
      </c>
      <c r="B264" s="170" t="s">
        <v>35</v>
      </c>
      <c r="C264" s="171">
        <v>2.7235999999999997E-4</v>
      </c>
      <c r="D264" s="171" t="s">
        <v>39</v>
      </c>
      <c r="E264" s="180">
        <f ca="1"/>
        <v>2533.4116610368628</v>
      </c>
      <c r="F264" s="172">
        <v>0.69</v>
      </c>
      <c r="G264" s="173">
        <v>1.6941973699999999</v>
      </c>
      <c r="H264" s="173" t="s">
        <v>55</v>
      </c>
      <c r="I264" s="174">
        <v>1</v>
      </c>
      <c r="M264" s="177">
        <v>-0.31</v>
      </c>
    </row>
    <row r="265" spans="1:13" x14ac:dyDescent="0.2">
      <c r="A265" s="169">
        <v>44585.054837962962</v>
      </c>
      <c r="B265" s="170" t="s">
        <v>35</v>
      </c>
      <c r="C265" s="171">
        <v>8.6221300000000004E-3</v>
      </c>
      <c r="D265" s="171" t="s">
        <v>39</v>
      </c>
      <c r="E265" s="180">
        <f ca="1"/>
        <v>2549.2540706298792</v>
      </c>
      <c r="F265" s="172">
        <v>21.98</v>
      </c>
      <c r="G265" s="173">
        <v>37.85224736</v>
      </c>
      <c r="H265" s="173" t="s">
        <v>56</v>
      </c>
      <c r="I265" s="174">
        <v>24.45</v>
      </c>
      <c r="M265" s="177">
        <v>-2.4700000000000002</v>
      </c>
    </row>
    <row r="266" spans="1:13" x14ac:dyDescent="0.2">
      <c r="A266" s="169">
        <v>44585.053900462961</v>
      </c>
      <c r="B266" s="170" t="s">
        <v>35</v>
      </c>
      <c r="C266" s="171">
        <v>1.9945190000000002E-2</v>
      </c>
      <c r="D266" s="171" t="s">
        <v>39</v>
      </c>
      <c r="E266" s="180">
        <f ca="1"/>
        <v>2565.5308372595096</v>
      </c>
      <c r="F266" s="172">
        <v>51.17</v>
      </c>
      <c r="G266" s="173">
        <v>1442.9762798199999</v>
      </c>
      <c r="H266" s="173" t="s">
        <v>57</v>
      </c>
      <c r="I266" s="174">
        <v>52.39</v>
      </c>
      <c r="M266" s="177">
        <v>-1.22</v>
      </c>
    </row>
    <row r="267" spans="1:13" x14ac:dyDescent="0.2">
      <c r="A267" s="169">
        <v>44583.91443287037</v>
      </c>
      <c r="B267" s="170" t="s">
        <v>35</v>
      </c>
      <c r="C267" s="171">
        <v>602.30154056000003</v>
      </c>
      <c r="D267" s="171" t="s">
        <v>57</v>
      </c>
      <c r="E267" s="180">
        <f ca="1"/>
        <v>3.9050207273472824E-2</v>
      </c>
      <c r="F267" s="172">
        <v>23.52</v>
      </c>
      <c r="G267" s="173">
        <v>52.526181739999998</v>
      </c>
      <c r="H267" s="173" t="s">
        <v>58</v>
      </c>
      <c r="I267" s="174">
        <v>40.04</v>
      </c>
      <c r="M267" s="177">
        <v>-16.52</v>
      </c>
    </row>
    <row r="268" spans="1:13" x14ac:dyDescent="0.2">
      <c r="A268" s="169">
        <v>44582.91778935185</v>
      </c>
      <c r="B268" s="170" t="s">
        <v>35</v>
      </c>
      <c r="C268" s="171">
        <v>37.85224736</v>
      </c>
      <c r="D268" s="171" t="s">
        <v>56</v>
      </c>
      <c r="E268" s="180">
        <f ca="1"/>
        <v>0.6459325853882405</v>
      </c>
      <c r="F268" s="172">
        <v>24.45</v>
      </c>
      <c r="G268" s="173">
        <v>9.5189300000000001E-3</v>
      </c>
      <c r="H268" s="173" t="s">
        <v>39</v>
      </c>
      <c r="I268" s="174">
        <v>29.09</v>
      </c>
      <c r="M268" s="177">
        <v>-4.6399999999999997</v>
      </c>
    </row>
    <row r="269" spans="1:13" x14ac:dyDescent="0.2">
      <c r="A269" s="169">
        <v>44582.91547453704</v>
      </c>
      <c r="B269" s="170" t="s">
        <v>35</v>
      </c>
      <c r="C269" s="171">
        <v>840.67473926000002</v>
      </c>
      <c r="D269" s="171" t="s">
        <v>57</v>
      </c>
      <c r="E269" s="180">
        <f ca="1"/>
        <v>3.434146246075228E-2</v>
      </c>
      <c r="F269" s="172">
        <v>28.87</v>
      </c>
      <c r="G269" s="173">
        <v>8.1800000000000004E-4</v>
      </c>
      <c r="H269" s="173" t="s">
        <v>40</v>
      </c>
      <c r="I269" s="174">
        <v>34.049999999999997</v>
      </c>
      <c r="M269" s="177">
        <v>-5.18</v>
      </c>
    </row>
    <row r="270" spans="1:13" x14ac:dyDescent="0.2">
      <c r="A270" s="169">
        <v>44582.912916666668</v>
      </c>
      <c r="B270" s="170" t="s">
        <v>35</v>
      </c>
      <c r="C270" s="171">
        <v>52.526181739999998</v>
      </c>
      <c r="D270" s="171" t="s">
        <v>58</v>
      </c>
      <c r="E270" s="180">
        <f ca="1"/>
        <v>0.76228651452706941</v>
      </c>
      <c r="F270" s="172">
        <v>40.04</v>
      </c>
      <c r="G270" s="173">
        <v>0.39812682999999999</v>
      </c>
      <c r="H270" s="173" t="s">
        <v>59</v>
      </c>
      <c r="I270" s="174">
        <v>58.91</v>
      </c>
      <c r="M270" s="177">
        <v>-18.87</v>
      </c>
    </row>
    <row r="271" spans="1:13" x14ac:dyDescent="0.2">
      <c r="A271" s="169">
        <v>44577.081932870373</v>
      </c>
      <c r="B271" s="170" t="s">
        <v>35</v>
      </c>
      <c r="C271" s="171">
        <v>0.19831138000000001</v>
      </c>
      <c r="D271" s="171" t="s">
        <v>59</v>
      </c>
      <c r="E271" s="180">
        <f ca="1"/>
        <v>148.95766445677498</v>
      </c>
      <c r="F271" s="172">
        <v>29.54</v>
      </c>
      <c r="G271" s="173">
        <v>6.9700000000000003E-4</v>
      </c>
      <c r="H271" s="173" t="s">
        <v>40</v>
      </c>
      <c r="I271" s="174">
        <v>29.01</v>
      </c>
      <c r="M271" s="177">
        <v>0.53</v>
      </c>
    </row>
    <row r="272" spans="1:13" x14ac:dyDescent="0.2">
      <c r="A272" s="169">
        <v>44577.077152777783</v>
      </c>
      <c r="B272" s="170" t="s">
        <v>35</v>
      </c>
      <c r="C272" s="171">
        <v>0.19981544900000001</v>
      </c>
      <c r="D272" s="171" t="s">
        <v>59</v>
      </c>
      <c r="E272" s="180">
        <f ca="1"/>
        <v>146.98563172660388</v>
      </c>
      <c r="F272" s="172">
        <v>29.37</v>
      </c>
      <c r="G272" s="173">
        <v>9.0148999999999993E-3</v>
      </c>
      <c r="H272" s="173" t="s">
        <v>39</v>
      </c>
      <c r="I272" s="174">
        <v>27.63</v>
      </c>
      <c r="M272" s="177">
        <v>1.74</v>
      </c>
    </row>
    <row r="273" spans="1:13" x14ac:dyDescent="0.2">
      <c r="A273" s="169">
        <v>44573.794212962966</v>
      </c>
      <c r="B273" s="170" t="s">
        <v>30</v>
      </c>
      <c r="C273" s="171">
        <v>1.6941973699999999</v>
      </c>
      <c r="D273" s="171" t="s">
        <v>55</v>
      </c>
      <c r="E273" s="180">
        <f ca="1"/>
        <v>0.5902500013915144</v>
      </c>
      <c r="F273" s="172">
        <v>1</v>
      </c>
    </row>
    <row r="274" spans="1:13" x14ac:dyDescent="0.2">
      <c r="A274" s="169">
        <v>44571.594560185193</v>
      </c>
      <c r="B274" s="170" t="s">
        <v>35</v>
      </c>
      <c r="C274" s="171">
        <v>2.235E-3</v>
      </c>
      <c r="D274" s="171" t="s">
        <v>40</v>
      </c>
      <c r="E274" s="180">
        <f ca="1"/>
        <v>41624.161073825504</v>
      </c>
      <c r="F274" s="172">
        <v>93.03</v>
      </c>
      <c r="G274" s="173">
        <v>3.085682E-2</v>
      </c>
      <c r="H274" s="173" t="s">
        <v>39</v>
      </c>
      <c r="I274" s="174">
        <v>95.66</v>
      </c>
      <c r="M274" s="177">
        <v>-2.63</v>
      </c>
    </row>
    <row r="275" spans="1:13" x14ac:dyDescent="0.2">
      <c r="A275" s="169">
        <v>44571.5937962963</v>
      </c>
      <c r="B275" s="170" t="s">
        <v>35</v>
      </c>
      <c r="C275" s="171">
        <v>1.368777E-2</v>
      </c>
      <c r="D275" s="171" t="s">
        <v>39</v>
      </c>
      <c r="E275" s="180">
        <f ca="1"/>
        <v>3031.9036629049142</v>
      </c>
      <c r="F275" s="172">
        <v>41.5</v>
      </c>
      <c r="G275" s="173">
        <v>13.196624590000001</v>
      </c>
      <c r="H275" s="173" t="s">
        <v>60</v>
      </c>
      <c r="I275" s="174">
        <v>49.03</v>
      </c>
      <c r="M275" s="177">
        <v>-7.53</v>
      </c>
    </row>
    <row r="276" spans="1:13" x14ac:dyDescent="0.2">
      <c r="A276" s="169">
        <v>44571.593391203707</v>
      </c>
      <c r="B276" s="170" t="s">
        <v>35</v>
      </c>
      <c r="C276" s="171">
        <v>1.734776E-2</v>
      </c>
      <c r="D276" s="171" t="s">
        <v>39</v>
      </c>
      <c r="E276" s="180">
        <f ca="1"/>
        <v>3078.2072152254814</v>
      </c>
      <c r="F276" s="172">
        <v>53.4</v>
      </c>
      <c r="G276" s="173">
        <v>2.0595949899999999</v>
      </c>
      <c r="H276" s="173" t="s">
        <v>41</v>
      </c>
      <c r="I276" s="174">
        <v>57.98</v>
      </c>
      <c r="M276" s="177">
        <v>-4.58</v>
      </c>
    </row>
    <row r="277" spans="1:13" x14ac:dyDescent="0.2">
      <c r="A277" s="169">
        <v>44571.592245370368</v>
      </c>
      <c r="B277" s="170" t="s">
        <v>35</v>
      </c>
      <c r="C277" s="171">
        <v>1.5013820000000001E-2</v>
      </c>
      <c r="D277" s="171" t="s">
        <v>39</v>
      </c>
      <c r="E277" s="180">
        <f ca="1"/>
        <v>3060.5135801548176</v>
      </c>
      <c r="F277" s="172">
        <v>45.95</v>
      </c>
      <c r="G277" s="173">
        <v>78.847219999999993</v>
      </c>
      <c r="H277" s="173" t="s">
        <v>61</v>
      </c>
      <c r="I277" s="174">
        <v>49.04</v>
      </c>
      <c r="M277" s="177">
        <v>-3.09</v>
      </c>
    </row>
    <row r="278" spans="1:13" x14ac:dyDescent="0.2">
      <c r="A278" s="169">
        <v>44570.89744212963</v>
      </c>
      <c r="B278" s="170" t="s">
        <v>35</v>
      </c>
      <c r="C278" s="171">
        <v>78.847219999999993</v>
      </c>
      <c r="D278" s="171" t="s">
        <v>61</v>
      </c>
      <c r="E278" s="180">
        <f ca="1"/>
        <v>0.62196232156314457</v>
      </c>
      <c r="F278" s="172">
        <v>49.04</v>
      </c>
      <c r="G278" s="173">
        <v>1.560917E-2</v>
      </c>
      <c r="H278" s="173" t="s">
        <v>39</v>
      </c>
      <c r="I278" s="174">
        <v>52.14</v>
      </c>
      <c r="M278" s="177">
        <v>-3.1</v>
      </c>
    </row>
    <row r="279" spans="1:13" x14ac:dyDescent="0.2">
      <c r="A279" s="169">
        <v>44570.896493055552</v>
      </c>
      <c r="B279" s="170" t="s">
        <v>35</v>
      </c>
      <c r="C279" s="171">
        <v>13.196624590000001</v>
      </c>
      <c r="D279" s="171" t="s">
        <v>60</v>
      </c>
      <c r="E279" s="180">
        <f ca="1"/>
        <v>3.7153440007040466</v>
      </c>
      <c r="F279" s="172">
        <v>49.03</v>
      </c>
      <c r="G279" s="173">
        <v>1.7812611300000001</v>
      </c>
      <c r="H279" s="173" t="s">
        <v>41</v>
      </c>
      <c r="I279" s="174">
        <v>50.14</v>
      </c>
      <c r="M279" s="177">
        <v>-1.1100000000000001</v>
      </c>
    </row>
    <row r="280" spans="1:13" x14ac:dyDescent="0.2">
      <c r="A280" s="169">
        <v>44570.895324074067</v>
      </c>
      <c r="B280" s="170" t="s">
        <v>35</v>
      </c>
      <c r="C280" s="171">
        <f>3.84085612-4.44089209850063E-16</f>
        <v>3.8408561199999998</v>
      </c>
      <c r="D280" s="171" t="s">
        <v>41</v>
      </c>
      <c r="E280" s="180">
        <f ca="1"/>
        <v>28.149974021937592</v>
      </c>
      <c r="F280" s="172">
        <f>111.51-3.39</f>
        <v>108.12</v>
      </c>
      <c r="G280" s="173">
        <v>0.77011514999999997</v>
      </c>
      <c r="H280" s="173" t="s">
        <v>33</v>
      </c>
      <c r="I280" s="174">
        <v>112.06</v>
      </c>
      <c r="M280" s="177">
        <v>-3.94</v>
      </c>
    </row>
    <row r="281" spans="1:13" x14ac:dyDescent="0.2">
      <c r="A281" s="169">
        <v>44570.811851851853</v>
      </c>
      <c r="B281" s="170" t="s">
        <v>35</v>
      </c>
      <c r="C281" s="171">
        <v>0.63016919999999998</v>
      </c>
      <c r="D281" s="171" t="s">
        <v>33</v>
      </c>
      <c r="E281" s="180">
        <f ca="1"/>
        <v>144.94519884500863</v>
      </c>
      <c r="F281" s="172">
        <v>91.34</v>
      </c>
      <c r="G281" s="173">
        <v>2.9162589999999999E-2</v>
      </c>
      <c r="H281" s="173" t="s">
        <v>39</v>
      </c>
      <c r="I281" s="174">
        <v>111.01</v>
      </c>
      <c r="M281" s="177">
        <v>-19.670000000000002</v>
      </c>
    </row>
    <row r="282" spans="1:13" x14ac:dyDescent="0.2">
      <c r="A282" s="169">
        <v>44570.811018518521</v>
      </c>
      <c r="B282" s="170" t="s">
        <v>35</v>
      </c>
      <c r="C282" s="171">
        <v>0.13994595000000001</v>
      </c>
      <c r="D282" s="171" t="s">
        <v>33</v>
      </c>
      <c r="E282" s="180">
        <f ca="1"/>
        <v>148.05716063951832</v>
      </c>
      <c r="F282" s="172">
        <v>20.72</v>
      </c>
      <c r="G282" s="173">
        <v>242.62441733</v>
      </c>
      <c r="H282" s="173" t="s">
        <v>62</v>
      </c>
      <c r="I282" s="174">
        <v>23.77</v>
      </c>
      <c r="M282" s="177">
        <v>-3.05</v>
      </c>
    </row>
    <row r="283" spans="1:13" x14ac:dyDescent="0.2">
      <c r="A283" s="169">
        <v>44570.099062499998</v>
      </c>
      <c r="B283" s="170" t="s">
        <v>35</v>
      </c>
      <c r="C283" s="171">
        <v>242.62441733</v>
      </c>
      <c r="D283" s="171" t="s">
        <v>62</v>
      </c>
      <c r="E283" s="180">
        <f ca="1"/>
        <v>9.7970353773873392E-2</v>
      </c>
      <c r="F283" s="172">
        <v>23.77</v>
      </c>
      <c r="G283" s="173">
        <v>568.69371664000005</v>
      </c>
      <c r="H283" s="173" t="s">
        <v>63</v>
      </c>
      <c r="I283" s="174">
        <v>27.25</v>
      </c>
      <c r="M283" s="177">
        <v>-3.48</v>
      </c>
    </row>
    <row r="284" spans="1:13" x14ac:dyDescent="0.2">
      <c r="A284" s="169">
        <v>44570.098136574074</v>
      </c>
      <c r="B284" s="170" t="s">
        <v>35</v>
      </c>
      <c r="C284" s="171">
        <v>279.24018813999999</v>
      </c>
      <c r="D284" s="171" t="s">
        <v>63</v>
      </c>
      <c r="E284" s="180">
        <f ca="1"/>
        <v>4.3869043641591929E-2</v>
      </c>
      <c r="F284" s="172">
        <v>12.25</v>
      </c>
      <c r="G284" s="173">
        <v>6.0493305599999996</v>
      </c>
      <c r="H284" s="173" t="s">
        <v>50</v>
      </c>
      <c r="I284" s="174">
        <v>14.68</v>
      </c>
      <c r="M284" s="177">
        <v>-2.4300000000000002</v>
      </c>
    </row>
    <row r="285" spans="1:13" x14ac:dyDescent="0.2">
      <c r="A285" s="169">
        <v>44570.096828703703</v>
      </c>
      <c r="B285" s="170" t="s">
        <v>35</v>
      </c>
      <c r="C285" s="171">
        <v>6.4715900000000002E-3</v>
      </c>
      <c r="D285" s="171" t="s">
        <v>39</v>
      </c>
      <c r="E285" s="180">
        <f ca="1"/>
        <v>3197.0504930009474</v>
      </c>
      <c r="F285" s="172">
        <v>20.69</v>
      </c>
      <c r="G285" s="173">
        <v>17.371105</v>
      </c>
      <c r="H285" s="173" t="s">
        <v>34</v>
      </c>
      <c r="I285" s="174">
        <v>23.82</v>
      </c>
      <c r="M285" s="177">
        <v>-3.13</v>
      </c>
    </row>
    <row r="286" spans="1:13" x14ac:dyDescent="0.2">
      <c r="A286" s="169">
        <v>44570.096273148149</v>
      </c>
      <c r="B286" s="170" t="s">
        <v>35</v>
      </c>
      <c r="C286" s="171">
        <v>2.0258410000000001E-2</v>
      </c>
      <c r="D286" s="171" t="s">
        <v>39</v>
      </c>
      <c r="E286" s="180">
        <f ca="1"/>
        <v>3121.6665078848732</v>
      </c>
      <c r="F286" s="172">
        <v>63.24</v>
      </c>
      <c r="G286" s="173">
        <v>1.54109E-3</v>
      </c>
      <c r="H286" s="173" t="s">
        <v>40</v>
      </c>
      <c r="I286" s="174">
        <v>72.25</v>
      </c>
      <c r="M286" s="177">
        <v>-9.01</v>
      </c>
    </row>
    <row r="287" spans="1:13" x14ac:dyDescent="0.2">
      <c r="A287" s="169">
        <v>44566.967245370368</v>
      </c>
      <c r="B287" s="170" t="s">
        <v>35</v>
      </c>
      <c r="C287" s="171">
        <v>6.7741999999999998E-4</v>
      </c>
      <c r="D287" s="171" t="s">
        <v>40</v>
      </c>
      <c r="E287" s="180">
        <f ca="1"/>
        <v>44256.148327477786</v>
      </c>
      <c r="F287" s="172">
        <v>29.98</v>
      </c>
      <c r="G287" s="173">
        <v>465.85208394</v>
      </c>
      <c r="H287" s="173" t="s">
        <v>64</v>
      </c>
      <c r="I287" s="174">
        <v>29.38</v>
      </c>
      <c r="M287" s="177">
        <v>0.6</v>
      </c>
    </row>
    <row r="288" spans="1:13" x14ac:dyDescent="0.2">
      <c r="A288" s="169">
        <v>44566.891793981478</v>
      </c>
      <c r="B288" s="170" t="s">
        <v>30</v>
      </c>
      <c r="C288" s="171">
        <v>2.6558970000000001E-2</v>
      </c>
      <c r="D288" s="171" t="s">
        <v>39</v>
      </c>
      <c r="E288" s="180">
        <f ca="1"/>
        <v>3620.6223358812481</v>
      </c>
      <c r="F288" s="172">
        <v>96.16</v>
      </c>
      <c r="G288" s="173">
        <v>96.16</v>
      </c>
      <c r="H288" s="173" t="s">
        <v>31</v>
      </c>
      <c r="J288" s="175">
        <v>3.84</v>
      </c>
      <c r="K288" s="175" t="s">
        <v>31</v>
      </c>
      <c r="L288" s="176">
        <v>3.84</v>
      </c>
    </row>
    <row r="289" spans="1:13" x14ac:dyDescent="0.2">
      <c r="A289" s="169">
        <v>44560.230833333328</v>
      </c>
      <c r="B289" s="170" t="s">
        <v>35</v>
      </c>
      <c r="C289" s="171">
        <v>6.0493305599999996</v>
      </c>
      <c r="D289" s="171" t="s">
        <v>50</v>
      </c>
      <c r="E289" s="180">
        <f ca="1"/>
        <v>2.4267147999926788</v>
      </c>
      <c r="F289" s="172">
        <v>14.68</v>
      </c>
      <c r="G289" s="173">
        <v>4.1052199999999997E-3</v>
      </c>
      <c r="H289" s="173" t="s">
        <v>39</v>
      </c>
      <c r="I289" s="174">
        <v>16.7</v>
      </c>
      <c r="M289" s="177">
        <v>-2.02</v>
      </c>
    </row>
    <row r="290" spans="1:13" x14ac:dyDescent="0.2">
      <c r="A290" s="169">
        <v>44558.721909722219</v>
      </c>
      <c r="B290" s="170" t="s">
        <v>35</v>
      </c>
      <c r="C290" s="171">
        <v>1.9387000000000001E-4</v>
      </c>
      <c r="D290" s="171" t="s">
        <v>40</v>
      </c>
      <c r="E290" s="180">
        <f ca="1"/>
        <v>49362.975189560013</v>
      </c>
      <c r="F290" s="172">
        <v>9.57</v>
      </c>
      <c r="G290" s="173">
        <v>33.403924099999998</v>
      </c>
      <c r="H290" s="173" t="s">
        <v>44</v>
      </c>
      <c r="I290" s="174">
        <v>9.8000000000000007</v>
      </c>
      <c r="M290" s="177">
        <v>-0.23</v>
      </c>
    </row>
    <row r="291" spans="1:13" x14ac:dyDescent="0.2">
      <c r="A291" s="169">
        <v>44558.72115740741</v>
      </c>
      <c r="B291" s="170" t="s">
        <v>35</v>
      </c>
      <c r="C291" s="171">
        <v>2.37521E-3</v>
      </c>
      <c r="D291" s="171" t="s">
        <v>39</v>
      </c>
      <c r="E291" s="180">
        <f ca="1"/>
        <v>3911.2331120195686</v>
      </c>
      <c r="F291" s="172">
        <v>9.2899999999999991</v>
      </c>
      <c r="G291" s="173">
        <v>5.116967E-2</v>
      </c>
      <c r="H291" s="173" t="s">
        <v>33</v>
      </c>
      <c r="I291" s="174">
        <v>9.7200000000000006</v>
      </c>
      <c r="M291" s="177">
        <v>-0.43</v>
      </c>
    </row>
    <row r="292" spans="1:13" x14ac:dyDescent="0.2">
      <c r="A292" s="169">
        <v>44558.720416666663</v>
      </c>
      <c r="B292" s="170" t="s">
        <v>35</v>
      </c>
      <c r="C292" s="171">
        <v>3.88375E-3</v>
      </c>
      <c r="D292" s="171" t="s">
        <v>39</v>
      </c>
      <c r="E292" s="180">
        <f ca="1"/>
        <v>3916.3179916317995</v>
      </c>
      <c r="F292" s="172">
        <v>15.21</v>
      </c>
      <c r="G292" s="173">
        <v>132.27014912000001</v>
      </c>
      <c r="H292" s="173" t="s">
        <v>65</v>
      </c>
      <c r="I292" s="174">
        <v>19.670000000000002</v>
      </c>
      <c r="M292" s="177">
        <v>-4.46</v>
      </c>
    </row>
    <row r="293" spans="1:13" x14ac:dyDescent="0.2">
      <c r="A293" s="169">
        <v>44556.187893518523</v>
      </c>
      <c r="B293" s="170" t="s">
        <v>35</v>
      </c>
      <c r="C293" s="171">
        <v>186.24469737000001</v>
      </c>
      <c r="D293" s="171" t="s">
        <v>64</v>
      </c>
      <c r="E293" s="180">
        <f ca="1"/>
        <v>6.3035351694748762E-2</v>
      </c>
      <c r="F293" s="172">
        <v>11.74</v>
      </c>
      <c r="G293" s="173">
        <v>8.4757730000000002</v>
      </c>
      <c r="H293" s="173" t="s">
        <v>34</v>
      </c>
      <c r="I293" s="174">
        <v>12.08</v>
      </c>
      <c r="M293" s="177">
        <v>-0.34</v>
      </c>
    </row>
    <row r="294" spans="1:13" x14ac:dyDescent="0.2">
      <c r="A294" s="169">
        <v>44556.187465277777</v>
      </c>
      <c r="B294" s="170" t="s">
        <v>35</v>
      </c>
      <c r="C294" s="171">
        <v>279.60738656000001</v>
      </c>
      <c r="D294" s="171" t="s">
        <v>64</v>
      </c>
      <c r="E294" s="180">
        <f ca="1"/>
        <v>6.3088462064698328E-2</v>
      </c>
      <c r="F294" s="172">
        <v>17.64</v>
      </c>
      <c r="G294" s="173">
        <v>4.47964E-3</v>
      </c>
      <c r="H294" s="173" t="s">
        <v>39</v>
      </c>
      <c r="I294" s="174">
        <v>18.23</v>
      </c>
      <c r="M294" s="177">
        <v>-0.59</v>
      </c>
    </row>
    <row r="295" spans="1:13" x14ac:dyDescent="0.2">
      <c r="A295" s="169">
        <v>44556.174085648148</v>
      </c>
      <c r="B295" s="170" t="s">
        <v>35</v>
      </c>
      <c r="C295" s="171">
        <v>66.007402159999998</v>
      </c>
      <c r="D295" s="171" t="s">
        <v>65</v>
      </c>
      <c r="E295" s="180">
        <f ca="1"/>
        <v>0.14801370271045977</v>
      </c>
      <c r="F295" s="172">
        <v>9.77</v>
      </c>
      <c r="G295" s="173">
        <v>34.710953199999999</v>
      </c>
      <c r="H295" s="173" t="s">
        <v>44</v>
      </c>
      <c r="I295" s="174">
        <v>10.19</v>
      </c>
      <c r="M295" s="177">
        <v>-0.42</v>
      </c>
    </row>
    <row r="296" spans="1:13" x14ac:dyDescent="0.2">
      <c r="A296" s="169">
        <v>44556.173229166663</v>
      </c>
      <c r="B296" s="170" t="s">
        <v>35</v>
      </c>
      <c r="C296" s="171">
        <v>66.262746960000001</v>
      </c>
      <c r="D296" s="171" t="s">
        <v>65</v>
      </c>
      <c r="E296" s="180">
        <f ca="1"/>
        <v>0.14940521566327772</v>
      </c>
      <c r="F296" s="172">
        <v>9.9</v>
      </c>
      <c r="G296" s="173">
        <v>5.2185259999999997E-2</v>
      </c>
      <c r="H296" s="173" t="s">
        <v>33</v>
      </c>
      <c r="I296" s="174">
        <v>9.91</v>
      </c>
      <c r="M296" s="177">
        <v>-0.01</v>
      </c>
    </row>
    <row r="297" spans="1:13" x14ac:dyDescent="0.2">
      <c r="A297" s="169">
        <v>44553.884953703702</v>
      </c>
      <c r="B297" s="170" t="s">
        <v>35</v>
      </c>
      <c r="C297" s="171">
        <v>289.4535285</v>
      </c>
      <c r="D297" s="171" t="s">
        <v>63</v>
      </c>
      <c r="E297" s="180">
        <f ca="1"/>
        <v>5.1821790108183115E-2</v>
      </c>
      <c r="F297" s="172">
        <v>15</v>
      </c>
      <c r="G297" s="173">
        <v>10.284186</v>
      </c>
      <c r="H297" s="173" t="s">
        <v>34</v>
      </c>
      <c r="I297" s="174">
        <v>14.65</v>
      </c>
      <c r="M297" s="177">
        <v>0.35</v>
      </c>
    </row>
    <row r="298" spans="1:13" x14ac:dyDescent="0.2">
      <c r="A298" s="169">
        <v>44553.882951388892</v>
      </c>
      <c r="B298" s="170" t="s">
        <v>35</v>
      </c>
      <c r="C298" s="171">
        <v>0.10335493</v>
      </c>
      <c r="D298" s="171" t="s">
        <v>33</v>
      </c>
      <c r="E298" s="180">
        <f ca="1"/>
        <v>189.92804697366637</v>
      </c>
      <c r="F298" s="172">
        <v>19.63</v>
      </c>
      <c r="G298" s="173">
        <v>4.8654900000000001E-3</v>
      </c>
      <c r="H298" s="173" t="s">
        <v>39</v>
      </c>
      <c r="I298" s="174">
        <v>20.05</v>
      </c>
      <c r="M298" s="177">
        <v>-0.42</v>
      </c>
    </row>
    <row r="299" spans="1:13" x14ac:dyDescent="0.2">
      <c r="A299" s="169">
        <v>44553.882291666669</v>
      </c>
      <c r="B299" s="170" t="s">
        <v>35</v>
      </c>
      <c r="C299" s="171">
        <v>68.114877300000003</v>
      </c>
      <c r="D299" s="171" t="s">
        <v>44</v>
      </c>
      <c r="E299" s="180">
        <f ca="1"/>
        <v>0.29347480010802279</v>
      </c>
      <c r="F299" s="172">
        <v>19.989999999999998</v>
      </c>
      <c r="G299" s="173">
        <v>13.678955</v>
      </c>
      <c r="H299" s="173" t="s">
        <v>34</v>
      </c>
      <c r="I299" s="174">
        <v>19.489999999999998</v>
      </c>
      <c r="M299" s="177">
        <v>0.5</v>
      </c>
    </row>
    <row r="300" spans="1:13" x14ac:dyDescent="0.2">
      <c r="A300" s="169">
        <v>44553.741087962961</v>
      </c>
      <c r="B300" s="170" t="s">
        <v>35</v>
      </c>
      <c r="C300" s="171">
        <f>41.200425-7.105427357601E-15</f>
        <v>41.200424999999996</v>
      </c>
      <c r="D300" s="171" t="s">
        <v>34</v>
      </c>
      <c r="E300" s="180">
        <f ca="1"/>
        <v>1.4249853005157107</v>
      </c>
      <c r="F300" s="172">
        <f>58.71-7.105427357601E-15</f>
        <v>58.709999999999994</v>
      </c>
      <c r="G300" s="173">
        <v>1.204E-3</v>
      </c>
      <c r="H300" s="173" t="s">
        <v>40</v>
      </c>
      <c r="I300" s="174">
        <v>60.57</v>
      </c>
      <c r="M300" s="177">
        <v>-1.86</v>
      </c>
    </row>
    <row r="301" spans="1:13" x14ac:dyDescent="0.2">
      <c r="A301" s="169">
        <v>44553.740474537037</v>
      </c>
      <c r="B301" s="170" t="s">
        <v>35</v>
      </c>
      <c r="C301" s="171">
        <v>5.9004999999999995E-4</v>
      </c>
      <c r="D301" s="171" t="s">
        <v>40</v>
      </c>
      <c r="E301" s="180">
        <f ca="1"/>
        <v>50843.14888568766</v>
      </c>
      <c r="F301" s="172">
        <v>30</v>
      </c>
      <c r="G301" s="173">
        <v>21.051154</v>
      </c>
      <c r="H301" s="173" t="s">
        <v>34</v>
      </c>
      <c r="I301" s="174">
        <v>27.71</v>
      </c>
      <c r="M301" s="177">
        <v>2.29</v>
      </c>
    </row>
    <row r="302" spans="1:13" x14ac:dyDescent="0.2">
      <c r="A302" s="169">
        <v>44541.687141203707</v>
      </c>
      <c r="B302" s="170" t="s">
        <v>35</v>
      </c>
      <c r="C302" s="171">
        <v>29.660748000000002</v>
      </c>
      <c r="D302" s="171" t="s">
        <v>34</v>
      </c>
      <c r="E302" s="180">
        <f ca="1"/>
        <v>1.3162176489952309</v>
      </c>
      <c r="F302" s="172">
        <v>39.04</v>
      </c>
      <c r="G302" s="173">
        <v>9.7720299999999993E-3</v>
      </c>
      <c r="H302" s="173" t="s">
        <v>39</v>
      </c>
      <c r="I302" s="174">
        <v>42.96</v>
      </c>
      <c r="M302" s="177">
        <v>-3.92</v>
      </c>
    </row>
    <row r="303" spans="1:13" x14ac:dyDescent="0.2">
      <c r="A303" s="169">
        <v>44540.975902777784</v>
      </c>
      <c r="B303" s="170" t="s">
        <v>35</v>
      </c>
      <c r="C303" s="171">
        <v>1.15742E-2</v>
      </c>
      <c r="D303" s="171" t="s">
        <v>39</v>
      </c>
      <c r="E303" s="180">
        <f ca="1"/>
        <v>4068.5317343747306</v>
      </c>
      <c r="F303" s="172">
        <v>47.09</v>
      </c>
      <c r="G303" s="173">
        <v>256.62583761000002</v>
      </c>
      <c r="H303" s="173" t="s">
        <v>66</v>
      </c>
      <c r="I303" s="174">
        <v>43.4</v>
      </c>
      <c r="M303" s="177">
        <v>3.69</v>
      </c>
    </row>
    <row r="304" spans="1:13" x14ac:dyDescent="0.2">
      <c r="A304" s="169">
        <v>44540.601006944453</v>
      </c>
      <c r="B304" s="170" t="s">
        <v>35</v>
      </c>
      <c r="C304" s="171">
        <v>97.598800580000002</v>
      </c>
      <c r="D304" s="171" t="s">
        <v>66</v>
      </c>
      <c r="E304" s="180">
        <f ca="1"/>
        <v>0.19836309344940106</v>
      </c>
      <c r="F304" s="172">
        <v>19.36</v>
      </c>
      <c r="G304" s="173">
        <v>1434.50101855</v>
      </c>
      <c r="H304" s="173" t="s">
        <v>67</v>
      </c>
      <c r="I304" s="174">
        <v>25.79</v>
      </c>
      <c r="M304" s="177">
        <v>-6.43</v>
      </c>
    </row>
    <row r="305" spans="1:13" x14ac:dyDescent="0.2">
      <c r="A305" s="169">
        <v>44540.063819444447</v>
      </c>
      <c r="B305" s="170" t="s">
        <v>35</v>
      </c>
      <c r="C305" s="171">
        <v>139.17749337999999</v>
      </c>
      <c r="D305" s="171" t="s">
        <v>66</v>
      </c>
      <c r="E305" s="180">
        <f ca="1"/>
        <v>0.15095831581501359</v>
      </c>
      <c r="F305" s="172">
        <v>21.01</v>
      </c>
      <c r="G305" s="173">
        <v>1419.1419141900001</v>
      </c>
      <c r="H305" s="173" t="s">
        <v>67</v>
      </c>
      <c r="I305" s="174">
        <v>25.87</v>
      </c>
      <c r="M305" s="177">
        <v>-4.8600000000000003</v>
      </c>
    </row>
    <row r="306" spans="1:13" x14ac:dyDescent="0.2">
      <c r="A306" s="169">
        <v>44540.062210648153</v>
      </c>
      <c r="B306" s="170" t="s">
        <v>35</v>
      </c>
      <c r="C306" s="171">
        <v>19.849543650000001</v>
      </c>
      <c r="D306" s="171" t="s">
        <v>66</v>
      </c>
      <c r="E306" s="180">
        <f ca="1"/>
        <v>0.15264834564597154</v>
      </c>
      <c r="F306" s="172">
        <v>3.03</v>
      </c>
      <c r="G306" s="173">
        <v>1.8398129999999999E-2</v>
      </c>
      <c r="H306" s="173" t="s">
        <v>48</v>
      </c>
      <c r="I306" s="174">
        <v>2.98</v>
      </c>
      <c r="M306" s="177">
        <v>0.05</v>
      </c>
    </row>
    <row r="307" spans="1:13" x14ac:dyDescent="0.2">
      <c r="A307" s="169">
        <v>44540.055706018517</v>
      </c>
      <c r="B307" s="170" t="s">
        <v>30</v>
      </c>
      <c r="C307" s="171">
        <v>6.1327100000000004E-3</v>
      </c>
      <c r="D307" s="171" t="s">
        <v>48</v>
      </c>
      <c r="E307" s="180">
        <f ca="1"/>
        <v>161.42944962341281</v>
      </c>
      <c r="F307" s="172">
        <v>0.99</v>
      </c>
    </row>
    <row r="308" spans="1:13" x14ac:dyDescent="0.2">
      <c r="A308" s="169">
        <v>44540.055567129632</v>
      </c>
      <c r="B308" s="170" t="s">
        <v>30</v>
      </c>
      <c r="C308" s="171">
        <v>6.1327100000000004E-3</v>
      </c>
      <c r="D308" s="171" t="s">
        <v>48</v>
      </c>
      <c r="E308" s="180">
        <f ca="1"/>
        <v>163.0600501246594</v>
      </c>
      <c r="F308" s="172">
        <v>1</v>
      </c>
    </row>
    <row r="309" spans="1:13" x14ac:dyDescent="0.2">
      <c r="A309" s="169">
        <v>44540.05541666667</v>
      </c>
      <c r="B309" s="170" t="s">
        <v>30</v>
      </c>
      <c r="C309" s="171">
        <v>6.1327100000000004E-3</v>
      </c>
      <c r="D309" s="171" t="s">
        <v>48</v>
      </c>
      <c r="E309" s="180">
        <f ca="1"/>
        <v>161.42944962341281</v>
      </c>
      <c r="F309" s="172">
        <v>0.99</v>
      </c>
    </row>
    <row r="310" spans="1:13" x14ac:dyDescent="0.2">
      <c r="A310" s="169">
        <v>44539.793182870373</v>
      </c>
      <c r="B310" s="170" t="s">
        <v>30</v>
      </c>
      <c r="C310" s="171">
        <v>2.0900000000000001E-4</v>
      </c>
      <c r="D310" s="171" t="s">
        <v>40</v>
      </c>
      <c r="E310" s="180">
        <f ca="1"/>
        <v>47894.73684210526</v>
      </c>
      <c r="F310" s="172">
        <v>10.01</v>
      </c>
    </row>
    <row r="311" spans="1:13" x14ac:dyDescent="0.2">
      <c r="A311" s="169">
        <v>44539.789386574077</v>
      </c>
      <c r="B311" s="170" t="s">
        <v>30</v>
      </c>
      <c r="C311" s="171">
        <v>3.2554799999999998E-3</v>
      </c>
      <c r="D311" s="171" t="s">
        <v>39</v>
      </c>
      <c r="E311" s="180">
        <f ca="1"/>
        <v>4149.9256638038014</v>
      </c>
      <c r="F311" s="172">
        <v>13.51</v>
      </c>
      <c r="G311" s="173">
        <v>13.51</v>
      </c>
      <c r="H311" s="173" t="s">
        <v>31</v>
      </c>
      <c r="J311" s="175">
        <v>1.49</v>
      </c>
      <c r="K311" s="175" t="s">
        <v>31</v>
      </c>
      <c r="L311" s="176">
        <v>1.49</v>
      </c>
    </row>
    <row r="312" spans="1:13" x14ac:dyDescent="0.2">
      <c r="A312" s="169">
        <v>44539.220486111109</v>
      </c>
      <c r="B312" s="170" t="s">
        <v>35</v>
      </c>
      <c r="C312" s="171">
        <v>536.74854684000002</v>
      </c>
      <c r="D312" s="171" t="s">
        <v>67</v>
      </c>
      <c r="E312" s="180">
        <f ca="1"/>
        <v>1.7643270868179777E-2</v>
      </c>
      <c r="F312" s="172">
        <v>9.4700000000000006</v>
      </c>
      <c r="G312" s="173">
        <v>27.310846389999998</v>
      </c>
      <c r="H312" s="173" t="s">
        <v>68</v>
      </c>
      <c r="I312" s="174">
        <v>9.6999999999999993</v>
      </c>
      <c r="M312" s="177">
        <v>-0.23</v>
      </c>
    </row>
    <row r="313" spans="1:13" x14ac:dyDescent="0.2">
      <c r="A313" s="169">
        <v>44539.063402777778</v>
      </c>
      <c r="B313" s="170" t="s">
        <v>35</v>
      </c>
      <c r="C313" s="171">
        <v>27.310846389999998</v>
      </c>
      <c r="D313" s="171" t="s">
        <v>68</v>
      </c>
      <c r="E313" s="180">
        <f ca="1"/>
        <v>0.35517024487207771</v>
      </c>
      <c r="F313" s="172">
        <v>9.6999999999999993</v>
      </c>
      <c r="G313" s="173">
        <v>1.9799999999999999E-4</v>
      </c>
      <c r="H313" s="173" t="s">
        <v>40</v>
      </c>
      <c r="I313" s="174">
        <v>10</v>
      </c>
      <c r="M313" s="177">
        <v>-0.3</v>
      </c>
    </row>
    <row r="314" spans="1:13" x14ac:dyDescent="0.2">
      <c r="A314" s="169">
        <v>44539.04247685185</v>
      </c>
      <c r="B314" s="170" t="s">
        <v>35</v>
      </c>
      <c r="C314" s="171">
        <v>705.97175244000005</v>
      </c>
      <c r="D314" s="171" t="s">
        <v>67</v>
      </c>
      <c r="E314" s="180">
        <f ca="1"/>
        <v>1.8159366795755135E-2</v>
      </c>
      <c r="F314" s="172">
        <v>12.82</v>
      </c>
      <c r="G314" s="173">
        <v>6.7253199999999999E-2</v>
      </c>
      <c r="H314" s="173" t="s">
        <v>33</v>
      </c>
      <c r="I314" s="174">
        <v>12.78</v>
      </c>
      <c r="M314" s="177">
        <v>0.04</v>
      </c>
    </row>
    <row r="315" spans="1:13" x14ac:dyDescent="0.2">
      <c r="A315" s="169">
        <v>44539.031504629631</v>
      </c>
      <c r="B315" s="170" t="s">
        <v>35</v>
      </c>
      <c r="C315" s="171">
        <v>1.499268E-2</v>
      </c>
      <c r="D315" s="171" t="s">
        <v>33</v>
      </c>
      <c r="E315" s="180">
        <f ca="1"/>
        <v>272.13280080679374</v>
      </c>
      <c r="F315" s="172">
        <v>4.08</v>
      </c>
      <c r="G315" s="173">
        <v>16.801545770000001</v>
      </c>
      <c r="H315" s="173" t="s">
        <v>69</v>
      </c>
      <c r="I315" s="174">
        <v>2.98</v>
      </c>
      <c r="M315" s="177">
        <v>0.02</v>
      </c>
    </row>
    <row r="316" spans="1:13" x14ac:dyDescent="0.2">
      <c r="A316" s="169">
        <v>44539.028032407397</v>
      </c>
      <c r="B316" s="170" t="s">
        <v>30</v>
      </c>
      <c r="C316" s="171">
        <v>1.8709999999999999E-4</v>
      </c>
      <c r="D316" s="171" t="s">
        <v>40</v>
      </c>
      <c r="E316" s="180">
        <f ca="1"/>
        <v>50507.749866381615</v>
      </c>
      <c r="F316" s="172">
        <v>9.4499999999999993</v>
      </c>
    </row>
    <row r="317" spans="1:13" x14ac:dyDescent="0.2">
      <c r="A317" s="169">
        <v>44539.024699074071</v>
      </c>
      <c r="B317" s="170" t="s">
        <v>35</v>
      </c>
      <c r="C317" s="171">
        <v>1073.7916747199999</v>
      </c>
      <c r="D317" s="171" t="s">
        <v>67</v>
      </c>
      <c r="E317" s="180">
        <f ca="1"/>
        <v>1.8234449438347195E-2</v>
      </c>
      <c r="F317" s="172">
        <v>19.579999999999998</v>
      </c>
      <c r="G317" s="173">
        <v>3.9500000000000001E-4</v>
      </c>
      <c r="H317" s="173" t="s">
        <v>40</v>
      </c>
      <c r="I317" s="174">
        <v>20.21</v>
      </c>
      <c r="M317" s="177">
        <v>-0.63</v>
      </c>
    </row>
    <row r="318" spans="1:13" x14ac:dyDescent="0.2">
      <c r="A318" s="169">
        <v>44539.00304398148</v>
      </c>
      <c r="B318" s="170" t="s">
        <v>30</v>
      </c>
      <c r="C318" s="171">
        <v>5.60051524</v>
      </c>
      <c r="D318" s="171" t="s">
        <v>69</v>
      </c>
      <c r="E318" s="180">
        <f ca="1"/>
        <v>0.17855500023601401</v>
      </c>
      <c r="F318" s="172">
        <v>1</v>
      </c>
    </row>
    <row r="319" spans="1:13" x14ac:dyDescent="0.2">
      <c r="A319" s="169">
        <v>44539.002789351849</v>
      </c>
      <c r="B319" s="170" t="s">
        <v>30</v>
      </c>
      <c r="C319" s="171">
        <v>5.6002016000000001</v>
      </c>
      <c r="D319" s="171" t="s">
        <v>69</v>
      </c>
      <c r="E319" s="180">
        <f ca="1"/>
        <v>0.17677935022910604</v>
      </c>
      <c r="F319" s="172">
        <v>0.99</v>
      </c>
    </row>
    <row r="320" spans="1:13" x14ac:dyDescent="0.2">
      <c r="A320" s="169">
        <v>44539.002118055563</v>
      </c>
      <c r="B320" s="170" t="s">
        <v>30</v>
      </c>
      <c r="C320" s="171">
        <v>5.6008289199999997</v>
      </c>
      <c r="D320" s="171" t="s">
        <v>69</v>
      </c>
      <c r="E320" s="180">
        <f ca="1"/>
        <v>0.17675955008459712</v>
      </c>
      <c r="F320" s="172">
        <v>0.99</v>
      </c>
    </row>
    <row r="321" spans="1:14" x14ac:dyDescent="0.2">
      <c r="A321" s="169">
        <v>44538.980949074074</v>
      </c>
      <c r="B321" s="170" t="s">
        <v>38</v>
      </c>
      <c r="D321" s="171" t="s">
        <v>31</v>
      </c>
      <c r="E321" s="180" t="str">
        <f ca="1"/>
        <v/>
      </c>
      <c r="G321" s="173">
        <v>1.9819999999999999E-4</v>
      </c>
      <c r="H321" s="173" t="s">
        <v>40</v>
      </c>
      <c r="I321" s="174">
        <v>10.14</v>
      </c>
      <c r="J321" s="175">
        <v>3.27E-6</v>
      </c>
      <c r="K321" s="175" t="s">
        <v>40</v>
      </c>
      <c r="L321" s="176">
        <v>0.17</v>
      </c>
      <c r="M321" s="177">
        <v>-0.14000000000000001</v>
      </c>
      <c r="N321" s="177">
        <v>0</v>
      </c>
    </row>
    <row r="322" spans="1:14" x14ac:dyDescent="0.2">
      <c r="A322" s="169">
        <v>44538.973194444443</v>
      </c>
      <c r="B322" s="170" t="s">
        <v>35</v>
      </c>
      <c r="C322" s="171">
        <v>537.13095873999998</v>
      </c>
      <c r="D322" s="171" t="s">
        <v>67</v>
      </c>
      <c r="E322" s="180">
        <f ca="1"/>
        <v>1.8226467569408676E-2</v>
      </c>
      <c r="F322" s="172">
        <v>9.7899999999999991</v>
      </c>
      <c r="G322" s="173">
        <v>1.9799999999999999E-4</v>
      </c>
      <c r="H322" s="173" t="s">
        <v>40</v>
      </c>
      <c r="I322" s="174">
        <v>10.130000000000001</v>
      </c>
      <c r="M322" s="177">
        <v>-0.34</v>
      </c>
    </row>
    <row r="323" spans="1:14" x14ac:dyDescent="0.2">
      <c r="A323" s="169">
        <v>44535.816423611112</v>
      </c>
      <c r="B323" s="170" t="s">
        <v>35</v>
      </c>
      <c r="C323" s="171">
        <v>5.2260519999999998E-2</v>
      </c>
      <c r="D323" s="171" t="s">
        <v>33</v>
      </c>
      <c r="E323" s="180">
        <f ca="1"/>
        <v>187.13935490882983</v>
      </c>
      <c r="F323" s="172">
        <v>9.7799999999999994</v>
      </c>
      <c r="G323" s="173">
        <v>2.0599999999999999E-4</v>
      </c>
      <c r="H323" s="173" t="s">
        <v>40</v>
      </c>
      <c r="I323" s="174">
        <v>10.54</v>
      </c>
      <c r="M323" s="177">
        <v>-0.76</v>
      </c>
    </row>
    <row r="324" spans="1:14" x14ac:dyDescent="0.2">
      <c r="A324" s="169">
        <v>44535.142013888893</v>
      </c>
      <c r="B324" s="170" t="s">
        <v>35</v>
      </c>
      <c r="C324" s="171">
        <v>7.0809999999999996E-3</v>
      </c>
      <c r="D324" s="171" t="s">
        <v>39</v>
      </c>
      <c r="E324" s="180">
        <f ca="1"/>
        <v>4160.4293178929529</v>
      </c>
      <c r="F324" s="172">
        <v>29.46</v>
      </c>
      <c r="G324" s="173">
        <v>6.0800000000000003E-4</v>
      </c>
      <c r="H324" s="173" t="s">
        <v>40</v>
      </c>
      <c r="I324" s="174">
        <v>32.28</v>
      </c>
      <c r="M324" s="177">
        <v>-2.82</v>
      </c>
    </row>
    <row r="325" spans="1:14" x14ac:dyDescent="0.2">
      <c r="A325" s="169">
        <v>44534.986828703702</v>
      </c>
      <c r="B325" s="170" t="s">
        <v>35</v>
      </c>
      <c r="C325" s="171">
        <v>5.9500000000000003E-5</v>
      </c>
      <c r="D325" s="171" t="s">
        <v>40</v>
      </c>
      <c r="E325" s="180">
        <f ca="1"/>
        <v>50252.100840336134</v>
      </c>
      <c r="F325" s="172">
        <v>2.99</v>
      </c>
      <c r="G325" s="173">
        <v>56.653711680000001</v>
      </c>
      <c r="H325" s="173" t="s">
        <v>63</v>
      </c>
      <c r="I325" s="174">
        <v>3</v>
      </c>
      <c r="M325" s="177">
        <v>-0.01</v>
      </c>
    </row>
    <row r="326" spans="1:14" x14ac:dyDescent="0.2">
      <c r="A326" s="169">
        <v>44534.985694444447</v>
      </c>
      <c r="B326" s="170" t="s">
        <v>35</v>
      </c>
      <c r="C326" s="171">
        <v>5.948E-5</v>
      </c>
      <c r="D326" s="171" t="s">
        <v>40</v>
      </c>
      <c r="E326" s="180">
        <f ca="1"/>
        <v>50268.997982515139</v>
      </c>
      <c r="F326" s="172">
        <v>2.99</v>
      </c>
      <c r="G326" s="173">
        <v>4.4508185500000002</v>
      </c>
      <c r="H326" s="173" t="s">
        <v>70</v>
      </c>
      <c r="I326" s="174">
        <v>3</v>
      </c>
      <c r="M326" s="177">
        <v>-0.01</v>
      </c>
    </row>
    <row r="327" spans="1:14" x14ac:dyDescent="0.2">
      <c r="A327" s="169">
        <v>44534.984884259262</v>
      </c>
      <c r="B327" s="170" t="s">
        <v>35</v>
      </c>
      <c r="C327" s="171">
        <v>7.9140000000000005E-5</v>
      </c>
      <c r="D327" s="171" t="s">
        <v>40</v>
      </c>
      <c r="E327" s="180">
        <f ca="1"/>
        <v>50164.265857973209</v>
      </c>
      <c r="F327" s="172">
        <v>3.97</v>
      </c>
      <c r="G327" s="173">
        <v>5.4322023799999997</v>
      </c>
      <c r="H327" s="173" t="s">
        <v>55</v>
      </c>
      <c r="I327" s="174">
        <v>4</v>
      </c>
      <c r="M327" s="177">
        <v>-0.03</v>
      </c>
    </row>
    <row r="328" spans="1:14" x14ac:dyDescent="0.2">
      <c r="A328" s="169">
        <v>44534.98333333333</v>
      </c>
      <c r="B328" s="170" t="s">
        <v>35</v>
      </c>
      <c r="C328" s="171">
        <v>1.9903E-4</v>
      </c>
      <c r="D328" s="171" t="s">
        <v>40</v>
      </c>
      <c r="E328" s="180">
        <f ca="1"/>
        <v>49992.463447721449</v>
      </c>
      <c r="F328" s="172">
        <v>9.9499999999999993</v>
      </c>
      <c r="G328" s="173">
        <v>34.119233299999998</v>
      </c>
      <c r="H328" s="173" t="s">
        <v>44</v>
      </c>
      <c r="I328" s="174">
        <v>10</v>
      </c>
      <c r="M328" s="177">
        <v>-0.05</v>
      </c>
    </row>
    <row r="329" spans="1:14" x14ac:dyDescent="0.2">
      <c r="A329" s="169">
        <v>44534.981944444437</v>
      </c>
      <c r="B329" s="170" t="s">
        <v>30</v>
      </c>
      <c r="C329" s="171">
        <v>18.910741300000002</v>
      </c>
      <c r="D329" s="171" t="s">
        <v>63</v>
      </c>
      <c r="E329" s="180">
        <f ca="1"/>
        <v>5.2880000002961274E-2</v>
      </c>
      <c r="F329" s="172">
        <v>1</v>
      </c>
    </row>
    <row r="330" spans="1:14" x14ac:dyDescent="0.2">
      <c r="A330" s="169">
        <v>44534.981840277767</v>
      </c>
      <c r="B330" s="170" t="s">
        <v>30</v>
      </c>
      <c r="C330" s="171">
        <v>18.871485190000001</v>
      </c>
      <c r="D330" s="171" t="s">
        <v>63</v>
      </c>
      <c r="E330" s="180">
        <f ca="1"/>
        <v>5.2989999988442879E-2</v>
      </c>
      <c r="F330" s="172">
        <v>1</v>
      </c>
    </row>
    <row r="331" spans="1:14" x14ac:dyDescent="0.2">
      <c r="A331" s="169">
        <v>44534.981620370367</v>
      </c>
      <c r="B331" s="170" t="s">
        <v>30</v>
      </c>
      <c r="C331" s="171">
        <v>18.871485190000001</v>
      </c>
      <c r="D331" s="171" t="s">
        <v>63</v>
      </c>
      <c r="E331" s="180">
        <f ca="1"/>
        <v>5.2989999988442879E-2</v>
      </c>
      <c r="F331" s="172">
        <v>1</v>
      </c>
    </row>
    <row r="332" spans="1:14" x14ac:dyDescent="0.2">
      <c r="A332" s="169">
        <v>44534.980543981481</v>
      </c>
      <c r="B332" s="170" t="s">
        <v>30</v>
      </c>
      <c r="C332" s="171">
        <v>1.35869565</v>
      </c>
      <c r="D332" s="171" t="s">
        <v>55</v>
      </c>
      <c r="E332" s="180">
        <f ca="1"/>
        <v>0.73600000117760001</v>
      </c>
      <c r="F332" s="172">
        <v>1</v>
      </c>
    </row>
    <row r="333" spans="1:14" x14ac:dyDescent="0.2">
      <c r="A333" s="169">
        <v>44534.980370370373</v>
      </c>
      <c r="B333" s="170" t="s">
        <v>30</v>
      </c>
      <c r="C333" s="171">
        <v>1.35869565</v>
      </c>
      <c r="D333" s="171" t="s">
        <v>55</v>
      </c>
      <c r="E333" s="180">
        <f ca="1"/>
        <v>0.73600000117760001</v>
      </c>
      <c r="F333" s="172">
        <v>1</v>
      </c>
    </row>
    <row r="334" spans="1:14" x14ac:dyDescent="0.2">
      <c r="A334" s="169">
        <v>44534.979143518518</v>
      </c>
      <c r="B334" s="170" t="s">
        <v>30</v>
      </c>
      <c r="C334" s="171">
        <v>1.35630001</v>
      </c>
      <c r="D334" s="171" t="s">
        <v>55</v>
      </c>
      <c r="E334" s="180">
        <f ca="1"/>
        <v>0.73730000193688705</v>
      </c>
      <c r="F334" s="172">
        <v>1</v>
      </c>
    </row>
    <row r="335" spans="1:14" x14ac:dyDescent="0.2">
      <c r="A335" s="169">
        <v>44534.978692129633</v>
      </c>
      <c r="B335" s="170" t="s">
        <v>30</v>
      </c>
      <c r="C335" s="171">
        <v>1.35851107</v>
      </c>
      <c r="D335" s="171" t="s">
        <v>55</v>
      </c>
      <c r="E335" s="180">
        <f ca="1"/>
        <v>0.73610000101066531</v>
      </c>
      <c r="F335" s="172">
        <v>1</v>
      </c>
    </row>
    <row r="336" spans="1:14" x14ac:dyDescent="0.2">
      <c r="A336" s="169">
        <v>44534.978148148148</v>
      </c>
      <c r="B336" s="170" t="s">
        <v>30</v>
      </c>
      <c r="C336" s="171">
        <v>1.4838996900000001</v>
      </c>
      <c r="D336" s="171" t="s">
        <v>70</v>
      </c>
      <c r="E336" s="180">
        <f ca="1"/>
        <v>0.67389999926477506</v>
      </c>
      <c r="F336" s="172">
        <v>1</v>
      </c>
    </row>
    <row r="337" spans="1:13" x14ac:dyDescent="0.2">
      <c r="A337" s="169">
        <v>44534.977453703701</v>
      </c>
      <c r="B337" s="170" t="s">
        <v>30</v>
      </c>
      <c r="C337" s="171">
        <v>1.4834594299999999</v>
      </c>
      <c r="D337" s="171" t="s">
        <v>70</v>
      </c>
      <c r="E337" s="180">
        <f ca="1"/>
        <v>0.6740999988115618</v>
      </c>
      <c r="F337" s="172">
        <v>1</v>
      </c>
    </row>
    <row r="338" spans="1:13" x14ac:dyDescent="0.2">
      <c r="A338" s="169">
        <v>44534.976979166669</v>
      </c>
      <c r="B338" s="170" t="s">
        <v>30</v>
      </c>
      <c r="C338" s="171">
        <v>1.4834594299999999</v>
      </c>
      <c r="D338" s="171" t="s">
        <v>70</v>
      </c>
      <c r="E338" s="180">
        <f ca="1"/>
        <v>0.6740999988115618</v>
      </c>
      <c r="F338" s="172">
        <v>1</v>
      </c>
    </row>
    <row r="339" spans="1:13" x14ac:dyDescent="0.2">
      <c r="A339" s="169">
        <v>44534.975821759261</v>
      </c>
      <c r="B339" s="170" t="s">
        <v>30</v>
      </c>
      <c r="C339" s="171">
        <v>6.8210031999999998</v>
      </c>
      <c r="D339" s="171" t="s">
        <v>44</v>
      </c>
      <c r="E339" s="180">
        <f ca="1"/>
        <v>0.29321200142524489</v>
      </c>
      <c r="F339" s="172">
        <v>2</v>
      </c>
    </row>
    <row r="340" spans="1:13" x14ac:dyDescent="0.2">
      <c r="A340" s="169">
        <v>44534.973506944443</v>
      </c>
      <c r="B340" s="170" t="s">
        <v>30</v>
      </c>
      <c r="C340" s="171">
        <v>6.8223992999999998</v>
      </c>
      <c r="D340" s="171" t="s">
        <v>44</v>
      </c>
      <c r="E340" s="180">
        <f ca="1"/>
        <v>0.29315200005956848</v>
      </c>
      <c r="F340" s="172">
        <v>2</v>
      </c>
    </row>
    <row r="341" spans="1:13" x14ac:dyDescent="0.2">
      <c r="A341" s="169">
        <v>44534.971331018518</v>
      </c>
      <c r="B341" s="170" t="s">
        <v>30</v>
      </c>
      <c r="C341" s="171">
        <v>6.8175156000000001</v>
      </c>
      <c r="D341" s="171" t="s">
        <v>44</v>
      </c>
      <c r="E341" s="180">
        <f ca="1"/>
        <v>0.29336199832091325</v>
      </c>
      <c r="F341" s="172">
        <v>2</v>
      </c>
    </row>
    <row r="342" spans="1:13" x14ac:dyDescent="0.2">
      <c r="A342" s="169">
        <v>44534.969849537039</v>
      </c>
      <c r="B342" s="170" t="s">
        <v>30</v>
      </c>
      <c r="C342" s="171">
        <v>6.8333000000000001E-4</v>
      </c>
      <c r="D342" s="171" t="s">
        <v>40</v>
      </c>
      <c r="E342" s="180">
        <f ca="1"/>
        <v>49244.142654354408</v>
      </c>
      <c r="F342" s="172">
        <v>33.65</v>
      </c>
    </row>
    <row r="343" spans="1:13" x14ac:dyDescent="0.2">
      <c r="A343" s="169">
        <v>44534.96979166667</v>
      </c>
      <c r="B343" s="170" t="s">
        <v>30</v>
      </c>
      <c r="C343" s="171">
        <v>6.8249601999999996</v>
      </c>
      <c r="D343" s="171" t="s">
        <v>44</v>
      </c>
      <c r="E343" s="180">
        <f ca="1"/>
        <v>0.29304200191526392</v>
      </c>
      <c r="F343" s="172">
        <v>2</v>
      </c>
    </row>
    <row r="344" spans="1:13" x14ac:dyDescent="0.2">
      <c r="A344" s="169">
        <v>44534.967650462961</v>
      </c>
      <c r="B344" s="170" t="s">
        <v>30</v>
      </c>
      <c r="C344" s="171">
        <v>6.8333550000000001</v>
      </c>
      <c r="D344" s="171" t="s">
        <v>44</v>
      </c>
      <c r="E344" s="180">
        <f ca="1"/>
        <v>0.29268199881317447</v>
      </c>
      <c r="F344" s="172">
        <v>2</v>
      </c>
    </row>
    <row r="345" spans="1:13" x14ac:dyDescent="0.2">
      <c r="A345" s="169">
        <v>44534.897731481477</v>
      </c>
      <c r="B345" s="170" t="s">
        <v>30</v>
      </c>
      <c r="C345" s="171">
        <v>2.19871E-3</v>
      </c>
      <c r="D345" s="171" t="s">
        <v>39</v>
      </c>
      <c r="E345" s="180">
        <f ca="1"/>
        <v>2915.3458164105318</v>
      </c>
      <c r="F345" s="172">
        <v>6.41</v>
      </c>
      <c r="G345" s="173">
        <v>9.01</v>
      </c>
      <c r="H345" s="173" t="s">
        <v>31</v>
      </c>
      <c r="J345" s="175">
        <v>0.99</v>
      </c>
      <c r="K345" s="175" t="s">
        <v>31</v>
      </c>
      <c r="L345" s="176">
        <v>0.99</v>
      </c>
    </row>
    <row r="346" spans="1:13" x14ac:dyDescent="0.2">
      <c r="A346" s="169">
        <v>44534.896886574083</v>
      </c>
      <c r="B346" s="170" t="s">
        <v>30</v>
      </c>
      <c r="C346" s="171">
        <v>1.4659899999999999E-3</v>
      </c>
      <c r="D346" s="171" t="s">
        <v>40</v>
      </c>
      <c r="E346" s="180">
        <f ca="1"/>
        <v>49120.389634308565</v>
      </c>
      <c r="F346" s="172">
        <v>72.010000000000005</v>
      </c>
      <c r="G346" s="173">
        <v>72.010000000000005</v>
      </c>
      <c r="H346" s="173" t="s">
        <v>31</v>
      </c>
      <c r="J346" s="175">
        <v>2.99</v>
      </c>
      <c r="K346" s="175" t="s">
        <v>31</v>
      </c>
      <c r="L346" s="176">
        <v>2.99</v>
      </c>
    </row>
    <row r="347" spans="1:13" x14ac:dyDescent="0.2">
      <c r="A347" s="169">
        <v>44530.81994212963</v>
      </c>
      <c r="B347" s="170" t="s">
        <v>35</v>
      </c>
      <c r="C347" s="171">
        <v>6.5289999999999993E-5</v>
      </c>
      <c r="D347" s="171" t="s">
        <v>40</v>
      </c>
      <c r="E347" s="180">
        <f ca="1"/>
        <v>59120.84545872263</v>
      </c>
      <c r="F347" s="172">
        <v>3.86</v>
      </c>
      <c r="G347" s="173">
        <v>25.615779329999999</v>
      </c>
      <c r="H347" s="173" t="s">
        <v>71</v>
      </c>
      <c r="I347" s="174">
        <v>4</v>
      </c>
      <c r="M347" s="177">
        <v>-0.14000000000000001</v>
      </c>
    </row>
    <row r="348" spans="1:13" x14ac:dyDescent="0.2">
      <c r="A348" s="169">
        <v>44530.819386574083</v>
      </c>
      <c r="B348" s="170" t="s">
        <v>35</v>
      </c>
      <c r="C348" s="171">
        <v>8.2349999999999996E-5</v>
      </c>
      <c r="D348" s="171" t="s">
        <v>40</v>
      </c>
      <c r="E348" s="180">
        <f ca="1"/>
        <v>59259.259259259263</v>
      </c>
      <c r="F348" s="172">
        <v>4.88</v>
      </c>
      <c r="G348" s="173">
        <v>4.3668122199999999</v>
      </c>
      <c r="H348" s="173" t="s">
        <v>72</v>
      </c>
      <c r="I348" s="174">
        <v>5</v>
      </c>
      <c r="M348" s="177">
        <v>-0.13</v>
      </c>
    </row>
    <row r="349" spans="1:13" x14ac:dyDescent="0.2">
      <c r="A349" s="169">
        <v>44530.036087962973</v>
      </c>
      <c r="B349" s="170" t="s">
        <v>30</v>
      </c>
      <c r="C349" s="171">
        <v>6.4036885200000002</v>
      </c>
      <c r="D349" s="171" t="s">
        <v>71</v>
      </c>
      <c r="E349" s="180">
        <f ca="1"/>
        <v>0.15616000011193548</v>
      </c>
      <c r="F349" s="172">
        <v>1</v>
      </c>
    </row>
    <row r="350" spans="1:13" x14ac:dyDescent="0.2">
      <c r="A350" s="169">
        <v>44530.035891203697</v>
      </c>
      <c r="B350" s="170" t="s">
        <v>30</v>
      </c>
      <c r="C350" s="171">
        <v>6.4040986200000001</v>
      </c>
      <c r="D350" s="171" t="s">
        <v>71</v>
      </c>
      <c r="E350" s="180">
        <f ca="1"/>
        <v>0.15615000007604504</v>
      </c>
      <c r="F350" s="172">
        <v>1</v>
      </c>
    </row>
    <row r="351" spans="1:13" x14ac:dyDescent="0.2">
      <c r="A351" s="169">
        <v>44530.03565972222</v>
      </c>
      <c r="B351" s="170" t="s">
        <v>30</v>
      </c>
      <c r="C351" s="171">
        <v>6.4040986200000001</v>
      </c>
      <c r="D351" s="171" t="s">
        <v>71</v>
      </c>
      <c r="E351" s="180">
        <f ca="1"/>
        <v>0.15615000007604504</v>
      </c>
      <c r="F351" s="172">
        <v>1</v>
      </c>
    </row>
    <row r="352" spans="1:13" x14ac:dyDescent="0.2">
      <c r="A352" s="169">
        <v>44530.035254629627</v>
      </c>
      <c r="B352" s="170" t="s">
        <v>30</v>
      </c>
      <c r="C352" s="171">
        <v>6.4038935600000002</v>
      </c>
      <c r="D352" s="171" t="s">
        <v>71</v>
      </c>
      <c r="E352" s="180">
        <f ca="1"/>
        <v>0.15615500017773562</v>
      </c>
      <c r="F352" s="172">
        <v>1</v>
      </c>
    </row>
    <row r="353" spans="1:6" x14ac:dyDescent="0.2">
      <c r="A353" s="169">
        <v>44530.03434027778</v>
      </c>
      <c r="B353" s="170" t="s">
        <v>30</v>
      </c>
      <c r="C353" s="171">
        <v>0.87336243999999996</v>
      </c>
      <c r="D353" s="171" t="s">
        <v>72</v>
      </c>
      <c r="E353" s="180">
        <f ca="1"/>
        <v>1.1450000070990001</v>
      </c>
      <c r="F353" s="172">
        <v>1</v>
      </c>
    </row>
    <row r="354" spans="1:6" x14ac:dyDescent="0.2">
      <c r="A354" s="169">
        <v>44530.033622685187</v>
      </c>
      <c r="B354" s="170" t="s">
        <v>30</v>
      </c>
      <c r="C354" s="171">
        <v>0.87336243999999996</v>
      </c>
      <c r="D354" s="171" t="s">
        <v>72</v>
      </c>
      <c r="E354" s="180">
        <f ca="1"/>
        <v>1.1450000070990001</v>
      </c>
      <c r="F354" s="172">
        <v>1</v>
      </c>
    </row>
    <row r="355" spans="1:6" x14ac:dyDescent="0.2">
      <c r="A355" s="169">
        <v>44530.032777777778</v>
      </c>
      <c r="B355" s="170" t="s">
        <v>30</v>
      </c>
      <c r="C355" s="171">
        <v>0.87336243999999996</v>
      </c>
      <c r="D355" s="171" t="s">
        <v>72</v>
      </c>
      <c r="E355" s="180">
        <f ca="1"/>
        <v>1.1450000070990001</v>
      </c>
      <c r="F355" s="172">
        <v>1</v>
      </c>
    </row>
    <row r="356" spans="1:6" x14ac:dyDescent="0.2">
      <c r="A356" s="169">
        <v>44530.032430555562</v>
      </c>
      <c r="B356" s="170" t="s">
        <v>30</v>
      </c>
      <c r="C356" s="171">
        <v>0.87336243999999996</v>
      </c>
      <c r="D356" s="171" t="s">
        <v>72</v>
      </c>
      <c r="E356" s="180">
        <f ca="1"/>
        <v>1.1450000070990001</v>
      </c>
      <c r="F356" s="172">
        <v>1</v>
      </c>
    </row>
    <row r="357" spans="1:6" x14ac:dyDescent="0.2">
      <c r="A357" s="169">
        <v>44530.032152777778</v>
      </c>
      <c r="B357" s="170" t="s">
        <v>30</v>
      </c>
      <c r="C357" s="171">
        <v>0.87336243999999996</v>
      </c>
      <c r="D357" s="171" t="s">
        <v>72</v>
      </c>
      <c r="E357" s="180">
        <f ca="1"/>
        <v>1.1450000070990001</v>
      </c>
      <c r="F357" s="172">
        <v>1</v>
      </c>
    </row>
    <row r="375" spans="4:6" x14ac:dyDescent="0.2">
      <c r="D375" s="172"/>
      <c r="F375" s="171"/>
    </row>
  </sheetData>
  <autoFilter ref="A1:N357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C464-F458-1C48-98FE-32C32A1DAE44}">
  <sheetPr codeName="Sheet8"/>
  <dimension ref="B1:W46"/>
  <sheetViews>
    <sheetView tabSelected="1" zoomScaleNormal="150" workbookViewId="0">
      <selection activeCell="J25" sqref="J25"/>
    </sheetView>
  </sheetViews>
  <sheetFormatPr baseColWidth="10" defaultRowHeight="16" x14ac:dyDescent="0.2"/>
  <cols>
    <col min="1" max="1" width="10.7109375" style="1"/>
    <col min="2" max="2" width="9.85546875" style="131" customWidth="1"/>
    <col min="3" max="3" width="13.85546875" style="2" customWidth="1"/>
    <col min="4" max="4" width="17.7109375" style="137" customWidth="1"/>
    <col min="5" max="5" width="16.7109375" style="139" customWidth="1"/>
    <col min="6" max="6" width="16.7109375" style="126" customWidth="1"/>
    <col min="7" max="7" width="19.5703125" style="126" customWidth="1"/>
    <col min="8" max="8" width="21.42578125" style="126" customWidth="1"/>
    <col min="9" max="9" width="10.7109375" style="1"/>
    <col min="10" max="10" width="10.7109375" style="107"/>
    <col min="11" max="11" width="12.7109375" style="185" customWidth="1"/>
    <col min="12" max="12" width="12.7109375" style="11" customWidth="1"/>
    <col min="13" max="13" width="13.85546875" style="11" customWidth="1"/>
    <col min="14" max="14" width="14.5703125" style="11" customWidth="1"/>
    <col min="15" max="15" width="14.42578125" style="109" customWidth="1"/>
    <col min="16" max="17" width="13.85546875" style="11" customWidth="1"/>
    <col min="18" max="18" width="14.42578125" style="11" customWidth="1"/>
    <col min="19" max="16384" width="10.7109375" style="1"/>
  </cols>
  <sheetData>
    <row r="1" spans="2:23" s="106" customFormat="1" ht="23" customHeight="1" x14ac:dyDescent="0.4">
      <c r="B1" s="142" t="s">
        <v>16</v>
      </c>
      <c r="C1" s="143" t="s">
        <v>73</v>
      </c>
      <c r="D1" s="140" t="s">
        <v>151</v>
      </c>
      <c r="E1" s="144" t="s">
        <v>83</v>
      </c>
      <c r="F1" s="141" t="s">
        <v>81</v>
      </c>
      <c r="G1" s="141" t="s">
        <v>149</v>
      </c>
      <c r="H1" s="141" t="s">
        <v>84</v>
      </c>
      <c r="J1" s="127"/>
      <c r="K1" s="181"/>
      <c r="L1" s="114"/>
      <c r="M1" s="114"/>
      <c r="N1" s="114"/>
      <c r="O1" s="115"/>
      <c r="P1" s="116"/>
      <c r="Q1" s="116"/>
      <c r="R1" s="117"/>
    </row>
    <row r="2" spans="2:23" ht="19" customHeight="1" x14ac:dyDescent="0.2">
      <c r="B2" s="131" cm="1">
        <f t="array" ref="B2:F46">After_Sales__4[]</f>
        <v>45345</v>
      </c>
      <c r="C2" s="2" t="str">
        <v>XRP</v>
      </c>
      <c r="D2" s="137">
        <v>0.54487881695644946</v>
      </c>
      <c r="E2" s="138">
        <v>3616.6573899999999</v>
      </c>
      <c r="F2" s="130">
        <v>2000</v>
      </c>
      <c r="G2" s="130" cm="1">
        <f t="array" aca="1" ref="G2:G46" ca="1">AFTER_SALES_QUANTITY * INDEX(PRICES, MATCH(AFTER_SALES_CURRENCY, PRICES_SYMBOL, 0))</f>
        <v>1773.8255664999565</v>
      </c>
      <c r="H2" s="130" cm="1">
        <f t="array" aca="1" ref="H2:H46" ca="1">AFTER_SALES_CURRENT_VALUE-AFTER_SALES_COST_BASIS</f>
        <v>-226.17443350004351</v>
      </c>
      <c r="J2" s="128"/>
      <c r="K2" s="205" t="s">
        <v>81</v>
      </c>
      <c r="L2" s="205"/>
      <c r="M2" s="205"/>
      <c r="N2" s="205"/>
      <c r="O2" s="217" t="s">
        <v>81</v>
      </c>
      <c r="P2" s="217"/>
      <c r="Q2" s="217"/>
      <c r="R2" s="217"/>
    </row>
    <row r="3" spans="2:23" ht="14" customHeight="1" x14ac:dyDescent="0.2">
      <c r="B3" s="131">
        <v>45328</v>
      </c>
      <c r="C3" s="2" t="str">
        <v>HBAR</v>
      </c>
      <c r="D3" s="137">
        <v>6.8034869028808814E-2</v>
      </c>
      <c r="E3" s="138">
        <v>10.87677555</v>
      </c>
      <c r="F3" s="130">
        <v>0.74</v>
      </c>
      <c r="G3" s="130">
        <f ca="1"/>
        <v>0.88626719005614141</v>
      </c>
      <c r="H3" s="130">
        <f ca="1"/>
        <v>0.14626719005614142</v>
      </c>
      <c r="J3" s="128"/>
      <c r="K3" s="213">
        <f ca="1">SUM(LONG_TERM_COST_BASIS)</f>
        <v>4406.6499999999996</v>
      </c>
      <c r="L3" s="213"/>
      <c r="M3" s="213"/>
      <c r="N3" s="213"/>
      <c r="O3" s="218">
        <f ca="1">SUM(SHORT_TERM_COST_BASIS)</f>
        <v>7706.65</v>
      </c>
      <c r="P3" s="218"/>
      <c r="Q3" s="218"/>
      <c r="R3" s="218"/>
    </row>
    <row r="4" spans="2:23" ht="16" customHeight="1" x14ac:dyDescent="0.2">
      <c r="B4" s="131">
        <v>45320</v>
      </c>
      <c r="C4" s="2" t="str">
        <v>HBAR</v>
      </c>
      <c r="D4" s="137">
        <v>7.333113036895253E-2</v>
      </c>
      <c r="E4" s="138">
        <v>72.684001640000005</v>
      </c>
      <c r="F4" s="130">
        <v>5.33</v>
      </c>
      <c r="G4" s="130">
        <f ca="1"/>
        <v>5.9224763441513497</v>
      </c>
      <c r="H4" s="130">
        <f ca="1"/>
        <v>0.59247634415134964</v>
      </c>
      <c r="J4" s="128"/>
      <c r="K4" s="213"/>
      <c r="L4" s="213"/>
      <c r="M4" s="213"/>
      <c r="N4" s="213"/>
      <c r="O4" s="218"/>
      <c r="P4" s="218"/>
      <c r="Q4" s="218"/>
      <c r="R4" s="218"/>
    </row>
    <row r="5" spans="2:23" ht="17" customHeight="1" x14ac:dyDescent="0.2">
      <c r="B5" s="131">
        <v>45282</v>
      </c>
      <c r="C5" s="2" t="str">
        <v>HBAR</v>
      </c>
      <c r="D5" s="137">
        <v>8.7021140267113453E-2</v>
      </c>
      <c r="E5" s="138">
        <v>34.129637819999999</v>
      </c>
      <c r="F5" s="130">
        <v>2.97</v>
      </c>
      <c r="G5" s="130">
        <f ca="1"/>
        <v>2.7809692375572843</v>
      </c>
      <c r="H5" s="130">
        <f ca="1"/>
        <v>-0.18903076244271588</v>
      </c>
      <c r="J5" s="128"/>
      <c r="K5" s="182"/>
      <c r="L5" s="113"/>
      <c r="M5" s="113"/>
      <c r="N5" s="108"/>
      <c r="O5" s="118"/>
      <c r="P5" s="119"/>
      <c r="Q5" s="119"/>
      <c r="R5" s="111"/>
    </row>
    <row r="6" spans="2:23" ht="21" customHeight="1" x14ac:dyDescent="0.25">
      <c r="B6" s="131">
        <v>45267</v>
      </c>
      <c r="C6" s="2" t="str">
        <v>HBAR</v>
      </c>
      <c r="D6" s="137">
        <v>6.583444599568089E-2</v>
      </c>
      <c r="E6" s="138">
        <v>48.302981090000003</v>
      </c>
      <c r="F6" s="130">
        <v>3.18</v>
      </c>
      <c r="G6" s="130">
        <f ca="1"/>
        <v>3.935849105755358</v>
      </c>
      <c r="H6" s="130">
        <f ca="1"/>
        <v>0.7558491057553578</v>
      </c>
      <c r="J6" s="128"/>
      <c r="K6" s="214" t="s">
        <v>149</v>
      </c>
      <c r="L6" s="214"/>
      <c r="M6" s="214"/>
      <c r="N6" s="214"/>
      <c r="O6" s="219" t="s">
        <v>149</v>
      </c>
      <c r="P6" s="219"/>
      <c r="Q6" s="219"/>
      <c r="R6" s="219"/>
    </row>
    <row r="7" spans="2:23" ht="16" customHeight="1" x14ac:dyDescent="0.2">
      <c r="B7" s="131">
        <v>45248</v>
      </c>
      <c r="C7" s="2" t="str">
        <v>HBAR</v>
      </c>
      <c r="D7" s="137">
        <v>6.109126144076911E-2</v>
      </c>
      <c r="E7" s="138">
        <v>10.96719865</v>
      </c>
      <c r="F7" s="130">
        <v>0.67</v>
      </c>
      <c r="G7" s="130">
        <f ca="1"/>
        <v>0.89363509301458455</v>
      </c>
      <c r="H7" s="130">
        <f ca="1"/>
        <v>0.22363509301458451</v>
      </c>
      <c r="J7" s="128"/>
      <c r="K7" s="215">
        <f ca="1">SUM(LONG_TERM_CURRENT_VALUE)</f>
        <v>5144.0250588463114</v>
      </c>
      <c r="L7" s="215"/>
      <c r="M7" s="215"/>
      <c r="N7" s="215"/>
      <c r="O7" s="212">
        <f ca="1">SUM(SHORT_TERM_CURRENT_VALUE)</f>
        <v>7519.3510970906473</v>
      </c>
      <c r="P7" s="212"/>
      <c r="Q7" s="212"/>
      <c r="R7" s="212"/>
    </row>
    <row r="8" spans="2:23" ht="16" customHeight="1" x14ac:dyDescent="0.2">
      <c r="B8" s="131">
        <v>45244</v>
      </c>
      <c r="C8" s="2" t="str">
        <v>HBAR</v>
      </c>
      <c r="D8" s="137">
        <v>6.2205769711990357E-2</v>
      </c>
      <c r="E8" s="138">
        <v>55.782606919999999</v>
      </c>
      <c r="F8" s="130">
        <v>3.47</v>
      </c>
      <c r="G8" s="130">
        <f ca="1"/>
        <v>4.5453079418371072</v>
      </c>
      <c r="H8" s="130">
        <f ca="1"/>
        <v>1.075307941837107</v>
      </c>
      <c r="J8" s="128"/>
      <c r="K8" s="215"/>
      <c r="L8" s="215"/>
      <c r="M8" s="215"/>
      <c r="N8" s="215"/>
      <c r="O8" s="212"/>
      <c r="P8" s="212"/>
      <c r="Q8" s="212"/>
      <c r="R8" s="212"/>
    </row>
    <row r="9" spans="2:23" ht="19" x14ac:dyDescent="0.2">
      <c r="B9" s="131">
        <v>45230</v>
      </c>
      <c r="C9" s="2" t="str">
        <v>USDC</v>
      </c>
      <c r="D9" s="137">
        <v>1.0002875826800199</v>
      </c>
      <c r="E9" s="138">
        <v>0.15995400000000001</v>
      </c>
      <c r="F9" s="130">
        <v>0.16</v>
      </c>
      <c r="G9" s="130">
        <f ca="1"/>
        <v>0.15987436210248002</v>
      </c>
      <c r="H9" s="130">
        <f ca="1"/>
        <v>-1.2563789751998677E-4</v>
      </c>
      <c r="J9" s="128"/>
      <c r="K9" s="182"/>
      <c r="L9" s="113"/>
      <c r="M9" s="113"/>
      <c r="N9" s="110"/>
      <c r="O9" s="118"/>
      <c r="P9" s="119"/>
      <c r="Q9" s="119"/>
      <c r="R9" s="111"/>
    </row>
    <row r="10" spans="2:23" ht="17" customHeight="1" x14ac:dyDescent="0.2">
      <c r="B10" s="131">
        <v>45225</v>
      </c>
      <c r="C10" s="2" t="str">
        <v>HBAR</v>
      </c>
      <c r="D10" s="137">
        <v>5.1646783449931323E-2</v>
      </c>
      <c r="E10" s="138">
        <v>15.683454920000001</v>
      </c>
      <c r="F10" s="130">
        <v>0.81</v>
      </c>
      <c r="G10" s="130">
        <f ca="1"/>
        <v>1.2779275860225476</v>
      </c>
      <c r="H10" s="130">
        <f ca="1"/>
        <v>0.46792758602254758</v>
      </c>
      <c r="J10" s="128"/>
      <c r="K10" s="216" t="s">
        <v>84</v>
      </c>
      <c r="L10" s="216"/>
      <c r="M10" s="216"/>
      <c r="N10" s="216"/>
      <c r="O10" s="220" t="s">
        <v>84</v>
      </c>
      <c r="P10" s="220"/>
      <c r="Q10" s="220"/>
      <c r="R10" s="220"/>
    </row>
    <row r="11" spans="2:23" ht="16" customHeight="1" x14ac:dyDescent="0.2">
      <c r="B11" s="131">
        <v>45220</v>
      </c>
      <c r="C11" s="2" t="str">
        <v>HBAR</v>
      </c>
      <c r="D11" s="137">
        <v>4.5819901100180707E-2</v>
      </c>
      <c r="E11" s="138">
        <v>297.4689965</v>
      </c>
      <c r="F11" s="130">
        <v>13.63</v>
      </c>
      <c r="G11" s="130">
        <f ca="1"/>
        <v>24.238526431381146</v>
      </c>
      <c r="H11" s="130">
        <f ca="1"/>
        <v>10.608526431381145</v>
      </c>
      <c r="J11" s="128"/>
      <c r="K11" s="215">
        <f ca="1">K7-K3</f>
        <v>737.37505884631173</v>
      </c>
      <c r="L11" s="215"/>
      <c r="M11" s="215"/>
      <c r="N11" s="215"/>
      <c r="O11" s="212">
        <f ca="1">O7-O3</f>
        <v>-187.29890290935236</v>
      </c>
      <c r="P11" s="212"/>
      <c r="Q11" s="212"/>
      <c r="R11" s="212"/>
    </row>
    <row r="12" spans="2:23" ht="16" customHeight="1" x14ac:dyDescent="0.2">
      <c r="B12" s="131">
        <v>45146</v>
      </c>
      <c r="C12" s="2" t="str">
        <v>HBAR</v>
      </c>
      <c r="D12" s="137">
        <v>5.6457970710042847E-2</v>
      </c>
      <c r="E12" s="138">
        <v>470.261323</v>
      </c>
      <c r="F12" s="130">
        <v>26.55</v>
      </c>
      <c r="G12" s="130">
        <f ca="1"/>
        <v>38.318082359187187</v>
      </c>
      <c r="H12" s="130">
        <f ca="1"/>
        <v>11.768082359187186</v>
      </c>
      <c r="J12" s="128"/>
      <c r="K12" s="215"/>
      <c r="L12" s="215"/>
      <c r="M12" s="215"/>
      <c r="N12" s="215"/>
      <c r="O12" s="212"/>
      <c r="P12" s="212"/>
      <c r="Q12" s="212"/>
      <c r="R12" s="212"/>
    </row>
    <row r="13" spans="2:23" x14ac:dyDescent="0.2">
      <c r="B13" s="131">
        <v>45146</v>
      </c>
      <c r="C13" s="2" t="str">
        <v>HBAR</v>
      </c>
      <c r="D13" s="137">
        <v>5.8489929271262703E-2</v>
      </c>
      <c r="E13" s="138">
        <v>43834.383661319996</v>
      </c>
      <c r="F13" s="130">
        <v>2563.87</v>
      </c>
      <c r="G13" s="130">
        <f ca="1"/>
        <v>3571.7364817150165</v>
      </c>
      <c r="H13" s="130">
        <f ca="1"/>
        <v>1007.8664817150166</v>
      </c>
      <c r="J13" s="128"/>
      <c r="K13" s="209" t="s">
        <v>145</v>
      </c>
      <c r="L13" s="209"/>
      <c r="M13" s="209"/>
      <c r="N13" s="209"/>
      <c r="O13" s="206" t="s">
        <v>146</v>
      </c>
      <c r="P13" s="206"/>
      <c r="Q13" s="206"/>
      <c r="R13" s="206"/>
    </row>
    <row r="14" spans="2:23" x14ac:dyDescent="0.2">
      <c r="B14" s="131">
        <v>45146</v>
      </c>
      <c r="C14" s="2" t="str">
        <v>HBAR</v>
      </c>
      <c r="D14" s="137">
        <v>5.9090909086672583E-2</v>
      </c>
      <c r="E14" s="138">
        <v>53.646153849999997</v>
      </c>
      <c r="F14" s="130">
        <v>3.17</v>
      </c>
      <c r="G14" s="130">
        <f ca="1"/>
        <v>4.37122434046724</v>
      </c>
      <c r="H14" s="130">
        <f ca="1"/>
        <v>1.20122434046724</v>
      </c>
      <c r="J14" s="128"/>
      <c r="K14" s="210"/>
      <c r="L14" s="210"/>
      <c r="M14" s="210"/>
      <c r="N14" s="210"/>
      <c r="O14" s="207"/>
      <c r="P14" s="207"/>
      <c r="Q14" s="207"/>
      <c r="R14" s="207"/>
      <c r="U14" s="132"/>
      <c r="V14" s="132"/>
      <c r="W14" s="132"/>
    </row>
    <row r="15" spans="2:23" x14ac:dyDescent="0.2">
      <c r="B15" s="131">
        <v>45131</v>
      </c>
      <c r="C15" s="2" t="str">
        <v>XRP</v>
      </c>
      <c r="D15" s="137">
        <v>0.70484848483225204</v>
      </c>
      <c r="E15" s="138">
        <v>1418.7446259999999</v>
      </c>
      <c r="F15" s="130">
        <v>1000</v>
      </c>
      <c r="G15" s="130">
        <f ca="1"/>
        <v>695.83740414328236</v>
      </c>
      <c r="H15" s="130">
        <f ca="1"/>
        <v>-304.16259585671764</v>
      </c>
      <c r="J15" s="129"/>
      <c r="K15" s="211"/>
      <c r="L15" s="211"/>
      <c r="M15" s="211"/>
      <c r="N15" s="211"/>
      <c r="O15" s="208"/>
      <c r="P15" s="208"/>
      <c r="Q15" s="208"/>
      <c r="R15" s="208"/>
      <c r="U15" s="132"/>
      <c r="V15" s="132"/>
      <c r="W15" s="132"/>
    </row>
    <row r="16" spans="2:23" ht="18" x14ac:dyDescent="0.2">
      <c r="B16" s="131">
        <v>45125</v>
      </c>
      <c r="C16" s="2" t="str">
        <v>XRP</v>
      </c>
      <c r="D16" s="137">
        <v>0.73129949359238566</v>
      </c>
      <c r="E16" s="138">
        <v>922.76831300000003</v>
      </c>
      <c r="F16" s="130">
        <v>674.82</v>
      </c>
      <c r="G16" s="130">
        <f ca="1"/>
        <v>452.58089142788123</v>
      </c>
      <c r="H16" s="130">
        <f ca="1"/>
        <v>-222.23910857211882</v>
      </c>
      <c r="J16" s="120" t="s">
        <v>147</v>
      </c>
      <c r="K16" s="183" t="s">
        <v>148</v>
      </c>
      <c r="L16" s="122" t="s">
        <v>81</v>
      </c>
      <c r="M16" s="123" t="s">
        <v>149</v>
      </c>
      <c r="N16" s="30" t="s">
        <v>141</v>
      </c>
      <c r="O16" s="121" t="s">
        <v>148</v>
      </c>
      <c r="P16" s="122" t="s">
        <v>81</v>
      </c>
      <c r="Q16" s="124" t="s">
        <v>149</v>
      </c>
      <c r="R16" s="30" t="s">
        <v>141</v>
      </c>
      <c r="U16" s="132"/>
      <c r="V16" s="132"/>
      <c r="W16" s="132"/>
    </row>
    <row r="17" spans="2:23" ht="18" x14ac:dyDescent="0.2">
      <c r="B17" s="131">
        <v>45125</v>
      </c>
      <c r="C17" s="2" t="str">
        <v>XRP</v>
      </c>
      <c r="D17" s="137">
        <v>0.7241962123126896</v>
      </c>
      <c r="E17" s="138">
        <v>941.04330900000002</v>
      </c>
      <c r="F17" s="130">
        <v>681.5</v>
      </c>
      <c r="G17" s="130">
        <f ca="1"/>
        <v>461.54404486954144</v>
      </c>
      <c r="H17" s="130">
        <f ca="1"/>
        <v>-219.95595513045856</v>
      </c>
      <c r="J17" s="125" t="str" cm="1">
        <f t="array" ref="J17:J19">_xlfn._xlws.FILTER(_xlfn.UNIQUE(C:C), NOT((_xlfn.UNIQUE(C:C)=0) + (_xlfn.UNIQUE(C:C)="Currency")+ (_xlfn.UNIQUE(C:C)="USDC")))</f>
        <v>XRP</v>
      </c>
      <c r="K17" s="184" cm="1">
        <f t="array" aca="1" ref="K17:K19" ca="1">IFERROR(SUMIFS(AFTER_SALES_QUANTITY, AFTER_SALES_DATES, "&lt;" &amp; DATE(YEAR(TODAY())-1, MONTH(TODAY()), DAY(TODAY())), AFTER_SALES_CURRENCY, AFTER_SALES_UNIQUE_CURRENCY), "")</f>
        <v>4402.3779860000004</v>
      </c>
      <c r="L17" s="110" cm="1">
        <f t="array" aca="1" ref="L17:L19" ca="1">IFERROR(SUMIFS(AFTER_SALES_COST_BASIS, AFTER_SALES_DATES, "&lt;" &amp; DATE(YEAR(TODAY())-1, MONTH(TODAY()), DAY(TODAY())), AFTER_SALES_CURRENCY, AFTER_SALES_UNIQUE_CURRENCY), "")</f>
        <v>2027.8</v>
      </c>
      <c r="M17" s="110" cm="1">
        <f t="array" aca="1" ref="M17:M19" ca="1">LONG_TERM_QUANTITY * INDEX(PRICES, MATCH(AFTER_SALES_UNIQUE_CURRENCY, PRICES_SYMBOL, 0))</f>
        <v>2159.1900428708809</v>
      </c>
      <c r="N17" s="110" cm="1">
        <f t="array" aca="1" ref="N17:N19" ca="1">LONG_TERM_CURRENT_VALUE-LONG_TERM_COST_BASIS</f>
        <v>131.39004287088096</v>
      </c>
      <c r="O17" s="112" cm="1">
        <f t="array" aca="1" ref="O17:O19" ca="1">IFERROR(SUMIFS(AFTER_SALES_QUANTITY, AFTER_SALES_DATES, "&gt;=" &amp; DATE(YEAR(TODAY())-1, MONTH(TODAY()), DAY(TODAY())), AFTER_SALES_CURRENCY, AFTER_SALES_UNIQUE_CURRENCY), "")</f>
        <v>7871.0696530000005</v>
      </c>
      <c r="P17" s="111" cm="1">
        <f t="array" aca="1" ref="P17:P19" ca="1">IFERROR(SUMIFS(AFTER_SALES_COST_BASIS, AFTER_SALES_DATES, "&gt;=" &amp; DATE(YEAR(TODAY())-1, MONTH(TODAY()), DAY(TODAY())), AFTER_SALES_CURRENCY, AFTER_SALES_UNIQUE_CURRENCY), "")</f>
        <v>5082.26</v>
      </c>
      <c r="Q17" s="111" cm="1">
        <f t="array" aca="1" ref="Q17:Q19" ca="1">SHORT_TERM_QUANTITY * INDEX(PRICES, MATCH(AFTER_SALES_UNIQUE_CURRENCY, PRICES_SYMBOL, 0))</f>
        <v>3860.4443497462007</v>
      </c>
      <c r="R17" s="111" cm="1">
        <f t="array" aca="1" ref="R17:R19" ca="1">SHORT_TERM_CURRENT_VALUE-SHORT_TERM_COST_BASIS</f>
        <v>-1221.8156502537995</v>
      </c>
      <c r="U17" s="133"/>
      <c r="V17" s="133"/>
      <c r="W17" s="133"/>
    </row>
    <row r="18" spans="2:23" ht="18" x14ac:dyDescent="0.2">
      <c r="B18" s="131">
        <v>45125</v>
      </c>
      <c r="C18" s="2" t="str">
        <v>XRP</v>
      </c>
      <c r="D18" s="137">
        <v>0.74696250143597664</v>
      </c>
      <c r="E18" s="138">
        <v>971.85601499999996</v>
      </c>
      <c r="F18" s="130">
        <v>725.94</v>
      </c>
      <c r="G18" s="130">
        <f ca="1"/>
        <v>476.65644280553909</v>
      </c>
      <c r="H18" s="130">
        <f ca="1"/>
        <v>-249.28355719446097</v>
      </c>
      <c r="J18" s="125" t="str">
        <v>HBAR</v>
      </c>
      <c r="K18" s="184">
        <f ca="1"/>
        <v>36617.986217649996</v>
      </c>
      <c r="L18" s="110">
        <f ca="1"/>
        <v>2378.4999999999995</v>
      </c>
      <c r="M18" s="110">
        <f ca="1"/>
        <v>2983.7261605192521</v>
      </c>
      <c r="N18" s="110">
        <f ca="1"/>
        <v>605.22616051925252</v>
      </c>
      <c r="O18" s="112">
        <f ca="1"/>
        <v>44904.186791259999</v>
      </c>
      <c r="P18" s="111">
        <f ca="1"/>
        <v>2624.39</v>
      </c>
      <c r="Q18" s="111">
        <f ca="1"/>
        <v>3658.9067473444466</v>
      </c>
      <c r="R18" s="111">
        <f ca="1"/>
        <v>1034.5167473444467</v>
      </c>
      <c r="U18" s="133"/>
      <c r="V18" s="133"/>
      <c r="W18" s="133"/>
    </row>
    <row r="19" spans="2:23" ht="18" x14ac:dyDescent="0.2">
      <c r="B19" s="131">
        <v>45087</v>
      </c>
      <c r="C19" s="2" t="str">
        <v>HBAR</v>
      </c>
      <c r="D19" s="137">
        <v>4.8447403302334401E-2</v>
      </c>
      <c r="E19" s="138">
        <v>130.24433859999999</v>
      </c>
      <c r="F19" s="130">
        <v>6.31</v>
      </c>
      <c r="G19" s="130">
        <f ca="1"/>
        <v>10.612638227304657</v>
      </c>
      <c r="H19" s="130">
        <f ca="1"/>
        <v>4.3026382273046577</v>
      </c>
      <c r="J19" s="125" t="str">
        <v>ETH</v>
      </c>
      <c r="K19" s="184">
        <f ca="1"/>
        <v>3.1578000000000161E-4</v>
      </c>
      <c r="L19" s="110">
        <f ca="1"/>
        <v>0.34999999999999792</v>
      </c>
      <c r="M19" s="110">
        <f ca="1"/>
        <v>1.1088554561783204</v>
      </c>
      <c r="N19" s="110">
        <f ca="1"/>
        <v>0.75885545617832251</v>
      </c>
      <c r="O19" s="112">
        <f ca="1"/>
        <v>0</v>
      </c>
      <c r="P19" s="111">
        <f ca="1"/>
        <v>0</v>
      </c>
      <c r="Q19" s="111">
        <f ca="1"/>
        <v>0</v>
      </c>
      <c r="R19" s="111">
        <f ca="1"/>
        <v>0</v>
      </c>
      <c r="U19" s="133"/>
      <c r="V19" s="133"/>
      <c r="W19" s="133"/>
    </row>
    <row r="20" spans="2:23" x14ac:dyDescent="0.2">
      <c r="B20" s="131">
        <v>45067</v>
      </c>
      <c r="C20" s="2" t="str">
        <v>HBAR</v>
      </c>
      <c r="D20" s="137">
        <v>5.3018887936754418E-2</v>
      </c>
      <c r="E20" s="138">
        <v>58.46972882</v>
      </c>
      <c r="F20" s="130">
        <v>3.1</v>
      </c>
      <c r="G20" s="130">
        <f ca="1"/>
        <v>4.7642614326675146</v>
      </c>
      <c r="H20" s="130">
        <f ca="1"/>
        <v>1.6642614326675145</v>
      </c>
    </row>
    <row r="21" spans="2:23" x14ac:dyDescent="0.2">
      <c r="B21" s="131">
        <v>45058</v>
      </c>
      <c r="C21" s="2" t="str">
        <v>HBAR</v>
      </c>
      <c r="D21" s="137">
        <v>5.1395018419514903E-2</v>
      </c>
      <c r="E21" s="138">
        <v>283.87965309999998</v>
      </c>
      <c r="F21" s="130">
        <v>14.59</v>
      </c>
      <c r="G21" s="130">
        <f ca="1"/>
        <v>23.131232350110341</v>
      </c>
      <c r="H21" s="130">
        <f ca="1"/>
        <v>8.5412323501103415</v>
      </c>
    </row>
    <row r="22" spans="2:23" x14ac:dyDescent="0.2">
      <c r="B22" s="131">
        <v>45058</v>
      </c>
      <c r="C22" s="2" t="str">
        <v>XRP</v>
      </c>
      <c r="D22" s="137">
        <v>0.42897662457040397</v>
      </c>
      <c r="E22" s="138">
        <v>44.590986000000001</v>
      </c>
      <c r="F22" s="130">
        <v>19.13</v>
      </c>
      <c r="G22" s="130">
        <f ca="1"/>
        <v>21.870092318100841</v>
      </c>
      <c r="H22" s="130">
        <f ca="1"/>
        <v>2.7400923181008423</v>
      </c>
    </row>
    <row r="23" spans="2:23" x14ac:dyDescent="0.2">
      <c r="B23" s="131">
        <v>45055</v>
      </c>
      <c r="C23" s="2" t="str">
        <v>XRP</v>
      </c>
      <c r="D23" s="137">
        <v>0.45036058859357209</v>
      </c>
      <c r="E23" s="138">
        <v>113.28700000000001</v>
      </c>
      <c r="F23" s="130">
        <v>51.02</v>
      </c>
      <c r="G23" s="130">
        <f ca="1"/>
        <v>55.562735222779999</v>
      </c>
      <c r="H23" s="130">
        <f ca="1"/>
        <v>4.5427352227799958</v>
      </c>
    </row>
    <row r="24" spans="2:23" x14ac:dyDescent="0.2">
      <c r="B24" s="131">
        <v>45015</v>
      </c>
      <c r="C24" s="2" t="str">
        <v>HBAR</v>
      </c>
      <c r="D24" s="137">
        <v>5.8909231035266761E-2</v>
      </c>
      <c r="E24" s="138">
        <v>6.4506019400000003</v>
      </c>
      <c r="F24" s="130">
        <v>0.38</v>
      </c>
      <c r="G24" s="130">
        <f ca="1"/>
        <v>0.52561136609410819</v>
      </c>
      <c r="H24" s="130">
        <f ca="1"/>
        <v>0.14561136609410819</v>
      </c>
    </row>
    <row r="25" spans="2:23" x14ac:dyDescent="0.2">
      <c r="B25" s="131">
        <v>45013</v>
      </c>
      <c r="C25" s="2" t="str">
        <v>XRP</v>
      </c>
      <c r="D25" s="137">
        <v>0.48013752958173128</v>
      </c>
      <c r="E25" s="138">
        <v>2066.6995160000001</v>
      </c>
      <c r="F25" s="130">
        <v>992.3</v>
      </c>
      <c r="G25" s="130">
        <f ca="1"/>
        <v>1013.633320615389</v>
      </c>
      <c r="H25" s="130">
        <f ca="1"/>
        <v>21.333320615389084</v>
      </c>
    </row>
    <row r="26" spans="2:23" x14ac:dyDescent="0.2">
      <c r="B26" s="131">
        <v>45012</v>
      </c>
      <c r="C26" s="2" t="str">
        <v>XRP</v>
      </c>
      <c r="D26" s="137">
        <v>0.44883567144050418</v>
      </c>
      <c r="E26" s="138">
        <v>805.48410699999999</v>
      </c>
      <c r="F26" s="130">
        <v>361.53</v>
      </c>
      <c r="G26" s="130">
        <f ca="1"/>
        <v>395.05768679017359</v>
      </c>
      <c r="H26" s="130">
        <f ca="1"/>
        <v>33.527686790173618</v>
      </c>
    </row>
    <row r="27" spans="2:23" x14ac:dyDescent="0.2">
      <c r="B27" s="131">
        <v>45011</v>
      </c>
      <c r="C27" s="2" t="str">
        <v>XRP</v>
      </c>
      <c r="D27" s="137">
        <v>0.45467270916997471</v>
      </c>
      <c r="E27" s="138">
        <v>219.93842599999999</v>
      </c>
      <c r="F27" s="130">
        <v>100</v>
      </c>
      <c r="G27" s="130">
        <f ca="1"/>
        <v>107.87098721965444</v>
      </c>
      <c r="H27" s="130">
        <f ca="1"/>
        <v>7.8709872196544381</v>
      </c>
    </row>
    <row r="28" spans="2:23" x14ac:dyDescent="0.2">
      <c r="B28" s="131">
        <v>45007</v>
      </c>
      <c r="C28" s="2" t="str">
        <v>XRP</v>
      </c>
      <c r="D28" s="137">
        <v>0.43719464067456321</v>
      </c>
      <c r="E28" s="138">
        <v>1152.3779509999999</v>
      </c>
      <c r="F28" s="130">
        <v>503.82</v>
      </c>
      <c r="G28" s="130">
        <f ca="1"/>
        <v>565.19522070478286</v>
      </c>
      <c r="H28" s="130">
        <f ca="1"/>
        <v>61.375220704782862</v>
      </c>
    </row>
    <row r="29" spans="2:23" x14ac:dyDescent="0.2">
      <c r="B29" s="131">
        <v>45006</v>
      </c>
      <c r="C29" s="2" t="str">
        <v>HBAR</v>
      </c>
      <c r="D29" s="137">
        <v>6.3005025125087058E-2</v>
      </c>
      <c r="E29" s="138">
        <v>317.43499760999998</v>
      </c>
      <c r="F29" s="130">
        <v>20</v>
      </c>
      <c r="G29" s="130">
        <f ca="1"/>
        <v>25.865406715806753</v>
      </c>
      <c r="H29" s="130">
        <f ca="1"/>
        <v>5.8654067158067527</v>
      </c>
    </row>
    <row r="30" spans="2:23" x14ac:dyDescent="0.2">
      <c r="B30" s="131">
        <v>44999</v>
      </c>
      <c r="C30" s="2" t="str">
        <v>HBAR</v>
      </c>
      <c r="D30" s="137">
        <v>6.4582914572131514E-2</v>
      </c>
      <c r="E30" s="138">
        <v>309.67942733000001</v>
      </c>
      <c r="F30" s="130">
        <v>20</v>
      </c>
      <c r="G30" s="130">
        <f ca="1"/>
        <v>25.233463227799543</v>
      </c>
      <c r="H30" s="130">
        <f ca="1"/>
        <v>5.2334632277995432</v>
      </c>
    </row>
    <row r="31" spans="2:23" x14ac:dyDescent="0.2">
      <c r="B31" s="131">
        <v>44996</v>
      </c>
      <c r="C31" s="2" t="str">
        <v>HBAR</v>
      </c>
      <c r="D31" s="137">
        <v>5.9242424242433971E-2</v>
      </c>
      <c r="E31" s="138">
        <v>10127.87723785</v>
      </c>
      <c r="F31" s="130">
        <v>600</v>
      </c>
      <c r="G31" s="130">
        <f ca="1"/>
        <v>825.24506086942972</v>
      </c>
      <c r="H31" s="130">
        <f ca="1"/>
        <v>225.24506086942972</v>
      </c>
    </row>
    <row r="32" spans="2:23" x14ac:dyDescent="0.2">
      <c r="B32" s="131">
        <v>44992</v>
      </c>
      <c r="C32" s="2" t="str">
        <v>HBAR</v>
      </c>
      <c r="D32" s="137">
        <v>6.4110552764432172E-2</v>
      </c>
      <c r="E32" s="138">
        <v>311.96112242999999</v>
      </c>
      <c r="F32" s="130">
        <v>20</v>
      </c>
      <c r="G32" s="130">
        <f ca="1"/>
        <v>25.419381517236147</v>
      </c>
      <c r="H32" s="130">
        <f ca="1"/>
        <v>5.4193815172361468</v>
      </c>
    </row>
    <row r="33" spans="2:8" x14ac:dyDescent="0.2">
      <c r="B33" s="131">
        <v>44987</v>
      </c>
      <c r="C33" s="2" t="str">
        <v>HBAR</v>
      </c>
      <c r="D33" s="137">
        <v>6.9024293018328603E-2</v>
      </c>
      <c r="E33" s="138">
        <v>12639.46303323</v>
      </c>
      <c r="F33" s="130">
        <v>872.43</v>
      </c>
      <c r="G33" s="130">
        <f ca="1"/>
        <v>1029.8954257890546</v>
      </c>
      <c r="H33" s="130">
        <f ca="1"/>
        <v>157.46542578905462</v>
      </c>
    </row>
    <row r="34" spans="2:8" x14ac:dyDescent="0.2">
      <c r="B34" s="131">
        <v>44985</v>
      </c>
      <c r="C34" s="2" t="str">
        <v>HBAR</v>
      </c>
      <c r="D34" s="137">
        <v>7.2904522614038361E-2</v>
      </c>
      <c r="E34" s="138">
        <v>274.33140336000002</v>
      </c>
      <c r="F34" s="130">
        <v>20</v>
      </c>
      <c r="G34" s="130">
        <f ca="1"/>
        <v>22.353216804223301</v>
      </c>
      <c r="H34" s="130">
        <f ca="1"/>
        <v>2.353216804223301</v>
      </c>
    </row>
    <row r="35" spans="2:8" x14ac:dyDescent="0.2">
      <c r="B35" s="131">
        <v>44964</v>
      </c>
      <c r="C35" s="2" t="str">
        <v>HBAR</v>
      </c>
      <c r="D35" s="137">
        <v>7.0109189212948994E-2</v>
      </c>
      <c r="E35" s="138">
        <v>264.01674599</v>
      </c>
      <c r="F35" s="130">
        <v>20</v>
      </c>
      <c r="G35" s="130">
        <f ca="1"/>
        <v>21.512752425632556</v>
      </c>
      <c r="H35" s="130">
        <f ca="1"/>
        <v>1.5127524256325557</v>
      </c>
    </row>
    <row r="36" spans="2:8" x14ac:dyDescent="0.2">
      <c r="B36" s="131">
        <v>44957</v>
      </c>
      <c r="C36" s="2" t="str">
        <v>HBAR</v>
      </c>
      <c r="D36" s="137">
        <v>6.4170854271170377E-2</v>
      </c>
      <c r="E36" s="138">
        <v>288.44870791</v>
      </c>
      <c r="F36" s="130">
        <v>20</v>
      </c>
      <c r="G36" s="130">
        <f ca="1"/>
        <v>23.50353049573781</v>
      </c>
      <c r="H36" s="130">
        <f ca="1"/>
        <v>3.5035304957378095</v>
      </c>
    </row>
    <row r="37" spans="2:8" x14ac:dyDescent="0.2">
      <c r="B37" s="131">
        <v>44950</v>
      </c>
      <c r="C37" s="2" t="str">
        <v>HBAR</v>
      </c>
      <c r="D37" s="137">
        <v>6.9748743718411194E-2</v>
      </c>
      <c r="E37" s="138">
        <v>265.38112391999999</v>
      </c>
      <c r="F37" s="130">
        <v>20</v>
      </c>
      <c r="G37" s="130">
        <f ca="1"/>
        <v>21.623925391245116</v>
      </c>
      <c r="H37" s="130">
        <f ca="1"/>
        <v>1.6239253912451161</v>
      </c>
    </row>
    <row r="38" spans="2:8" x14ac:dyDescent="0.2">
      <c r="B38" s="131">
        <v>44947</v>
      </c>
      <c r="C38" s="2" t="str">
        <v>HBAR</v>
      </c>
      <c r="D38" s="137">
        <v>7.6083655655577107E-2</v>
      </c>
      <c r="E38" s="138">
        <v>6661.4007984700002</v>
      </c>
      <c r="F38" s="130">
        <v>506.82</v>
      </c>
      <c r="G38" s="130">
        <f ca="1"/>
        <v>542.78779040335576</v>
      </c>
      <c r="H38" s="130">
        <f ca="1"/>
        <v>35.967790403355764</v>
      </c>
    </row>
    <row r="39" spans="2:8" x14ac:dyDescent="0.2">
      <c r="B39" s="131">
        <v>44943</v>
      </c>
      <c r="C39" s="2" t="str">
        <v>HBAR</v>
      </c>
      <c r="D39" s="137">
        <v>5.367839196031339E-2</v>
      </c>
      <c r="E39" s="138">
        <v>372.58940273000002</v>
      </c>
      <c r="F39" s="130">
        <v>20</v>
      </c>
      <c r="G39" s="130">
        <f ca="1"/>
        <v>30.359527185629307</v>
      </c>
      <c r="H39" s="130">
        <f ca="1"/>
        <v>10.359527185629307</v>
      </c>
    </row>
    <row r="40" spans="2:8" x14ac:dyDescent="0.2">
      <c r="B40" s="131">
        <v>44938</v>
      </c>
      <c r="C40" s="2" t="str">
        <v>HBAR</v>
      </c>
      <c r="D40" s="137">
        <v>4.459995351554337E-2</v>
      </c>
      <c r="E40" s="138">
        <v>872.76773120999997</v>
      </c>
      <c r="F40" s="130">
        <v>38.93</v>
      </c>
      <c r="G40" s="130">
        <f ca="1"/>
        <v>71.115322841350761</v>
      </c>
      <c r="H40" s="130">
        <f ca="1"/>
        <v>32.185322841350761</v>
      </c>
    </row>
    <row r="41" spans="2:8" x14ac:dyDescent="0.2">
      <c r="B41" s="131">
        <v>44938</v>
      </c>
      <c r="C41" s="2" t="str">
        <v>HBAR</v>
      </c>
      <c r="D41" s="137">
        <v>4.4591449237700823E-2</v>
      </c>
      <c r="E41" s="138">
        <v>655.50684043000001</v>
      </c>
      <c r="F41" s="130">
        <v>29.23</v>
      </c>
      <c r="G41" s="130">
        <f ca="1"/>
        <v>53.412355790542691</v>
      </c>
      <c r="H41" s="130">
        <f ca="1"/>
        <v>24.18235579054269</v>
      </c>
    </row>
    <row r="42" spans="2:8" x14ac:dyDescent="0.2">
      <c r="B42" s="131">
        <v>44938</v>
      </c>
      <c r="C42" s="2" t="str">
        <v>HBAR</v>
      </c>
      <c r="D42" s="137">
        <v>4.4558681012117143E-2</v>
      </c>
      <c r="E42" s="138">
        <v>656.21331996000004</v>
      </c>
      <c r="F42" s="130">
        <v>29.24</v>
      </c>
      <c r="G42" s="130">
        <f ca="1"/>
        <v>53.469921530040303</v>
      </c>
      <c r="H42" s="130">
        <f ca="1"/>
        <v>24.229921530040304</v>
      </c>
    </row>
    <row r="43" spans="2:8" x14ac:dyDescent="0.2">
      <c r="B43" s="131">
        <v>44936</v>
      </c>
      <c r="C43" s="2" t="str">
        <v>HBAR</v>
      </c>
      <c r="D43" s="137">
        <v>4.5135678392002887E-2</v>
      </c>
      <c r="E43" s="138">
        <v>443.1084391</v>
      </c>
      <c r="F43" s="130">
        <v>20</v>
      </c>
      <c r="G43" s="130">
        <f ca="1"/>
        <v>36.105596682218923</v>
      </c>
      <c r="H43" s="130">
        <f ca="1"/>
        <v>16.105596682218923</v>
      </c>
    </row>
    <row r="44" spans="2:8" x14ac:dyDescent="0.2">
      <c r="B44" s="131">
        <v>44893</v>
      </c>
      <c r="C44" s="2" t="str">
        <v>ETH</v>
      </c>
      <c r="D44" s="137">
        <v>1178.442052468954</v>
      </c>
      <c r="E44" s="138">
        <v>3.1578000000000161E-4</v>
      </c>
      <c r="F44" s="130">
        <v>0.34999999999999792</v>
      </c>
      <c r="G44" s="130">
        <f ca="1"/>
        <v>1.1088554561783204</v>
      </c>
      <c r="H44" s="130">
        <f ca="1"/>
        <v>0.75885545617832251</v>
      </c>
    </row>
    <row r="45" spans="2:8" x14ac:dyDescent="0.2">
      <c r="B45" s="131">
        <v>44867</v>
      </c>
      <c r="C45" s="2" t="str">
        <v>HBAR</v>
      </c>
      <c r="D45" s="137">
        <v>5.8070726470762647E-2</v>
      </c>
      <c r="E45" s="139">
        <v>839.14913694999996</v>
      </c>
      <c r="F45" s="126">
        <v>48.73</v>
      </c>
      <c r="G45" s="126">
        <f ca="1"/>
        <v>68.375994726002475</v>
      </c>
      <c r="H45" s="126">
        <f ca="1"/>
        <v>19.645994726002478</v>
      </c>
    </row>
    <row r="46" spans="2:8" x14ac:dyDescent="0.2">
      <c r="B46" s="131">
        <v>44867</v>
      </c>
      <c r="C46" s="2" t="str">
        <v>HBAR</v>
      </c>
      <c r="D46" s="137">
        <v>5.8050593880543733E-2</v>
      </c>
      <c r="E46" s="139">
        <v>839.61242671000002</v>
      </c>
      <c r="F46" s="126">
        <v>48.74</v>
      </c>
      <c r="G46" s="126">
        <f ca="1"/>
        <v>68.41374474777038</v>
      </c>
      <c r="H46" s="126">
        <f ca="1"/>
        <v>19.673744747770378</v>
      </c>
    </row>
  </sheetData>
  <mergeCells count="14">
    <mergeCell ref="K2:N2"/>
    <mergeCell ref="O13:R15"/>
    <mergeCell ref="K13:N15"/>
    <mergeCell ref="O11:R12"/>
    <mergeCell ref="K3:N4"/>
    <mergeCell ref="K6:N6"/>
    <mergeCell ref="K7:N8"/>
    <mergeCell ref="K10:N10"/>
    <mergeCell ref="K11:N12"/>
    <mergeCell ref="O2:R2"/>
    <mergeCell ref="O3:R4"/>
    <mergeCell ref="O6:R6"/>
    <mergeCell ref="O7:R8"/>
    <mergeCell ref="O10:R10"/>
  </mergeCells>
  <conditionalFormatting sqref="B1:H46 B50:H55 B47:D49 H47:H49 B56:D58 H56:H58 B59:H60 B61:D63 B64:H1048576">
    <cfRule type="containsBlanks" dxfId="16" priority="1">
      <formula>LEN(TRIM(B1))=0</formula>
    </cfRule>
    <cfRule type="expression" dxfId="15" priority="3">
      <formula>DATEDIF($B1, TODAY(), "Y") &gt;= 1</formula>
    </cfRule>
    <cfRule type="expression" dxfId="14" priority="4">
      <formula>DATEDIF($B1, TODAY(), "Y") &lt; 1</formula>
    </cfRule>
  </conditionalFormatting>
  <conditionalFormatting sqref="U14:W16">
    <cfRule type="containsBlanks" dxfId="13" priority="17">
      <formula>LEN(TRIM(U14))=0</formula>
    </cfRule>
    <cfRule type="expression" dxfId="12" priority="18">
      <formula>DATEDIF($B47, TODAY(), "Y") &gt;= 1</formula>
    </cfRule>
    <cfRule type="expression" dxfId="11" priority="19">
      <formula>DATEDIF($B47, TODAY(), "Y") &lt; 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zoomScale="110" zoomScaleNormal="100" workbookViewId="0">
      <selection activeCell="E2" sqref="E2"/>
    </sheetView>
  </sheetViews>
  <sheetFormatPr baseColWidth="10" defaultRowHeight="16" x14ac:dyDescent="0.2"/>
  <cols>
    <col min="1" max="1" width="13.7109375" style="2" customWidth="1"/>
    <col min="2" max="2" width="13.7109375" style="136" customWidth="1"/>
    <col min="3" max="3" width="19.5703125" style="2" customWidth="1"/>
    <col min="4" max="4" width="17" style="2" customWidth="1"/>
    <col min="5" max="5" width="18.140625" style="2" customWidth="1"/>
    <col min="6" max="6" width="20.140625" style="7" customWidth="1"/>
    <col min="7" max="7" width="17.140625" style="7" customWidth="1"/>
    <col min="8" max="9" width="20" style="2" customWidth="1"/>
    <col min="10" max="10" width="19.5703125" style="11" customWidth="1"/>
    <col min="11" max="11" width="18.7109375" style="11" customWidth="1"/>
    <col min="12" max="31" width="10.7109375" style="2" customWidth="1"/>
    <col min="32" max="16384" width="10.7109375" style="2"/>
  </cols>
  <sheetData>
    <row r="1" spans="1:11" s="4" customFormat="1" ht="18" customHeight="1" x14ac:dyDescent="0.2">
      <c r="A1" s="12" t="s">
        <v>73</v>
      </c>
      <c r="B1" s="134" t="s">
        <v>88</v>
      </c>
      <c r="C1" s="12" t="s">
        <v>74</v>
      </c>
      <c r="D1" s="12" t="s">
        <v>75</v>
      </c>
      <c r="E1" s="12" t="s">
        <v>76</v>
      </c>
      <c r="F1" s="13" t="s">
        <v>77</v>
      </c>
      <c r="G1" s="13" t="s">
        <v>78</v>
      </c>
      <c r="H1" s="12" t="s">
        <v>79</v>
      </c>
      <c r="I1" s="12" t="s">
        <v>80</v>
      </c>
      <c r="J1" s="13" t="s">
        <v>84</v>
      </c>
      <c r="K1" s="30" t="s">
        <v>89</v>
      </c>
    </row>
    <row r="2" spans="1:11" x14ac:dyDescent="0.2">
      <c r="A2" s="9" t="str" cm="1">
        <f t="array" aca="1" ref="A2:A42" ca="1">_xlfn._xlws.FILTER(_xlfn.UNIQUE(RECEIVED_CURRENCY), (_xlfn.UNIQUE(RECEIVED_CURRENCY) &lt;&gt; 0)*(_xlfn.UNIQUE(RECEIVED_CURRENCY) &lt;&gt; "USD"))</f>
        <v>XRP</v>
      </c>
      <c r="B2" s="135" cm="1">
        <f t="array" aca="1" ref="B2:B42" ca="1">INDEX(PRICES, MATCH(CURRENCY, PRICES_SYMBOL, 0))</f>
        <v>0.49045993999999998</v>
      </c>
      <c r="C2" s="10" cm="1">
        <f t="array" aca="1" ref="C2:C42" ca="1">SUMIFS(RECEIVED_QUANTITY, RECEIVED_CURRENCY, CURRENCY)</f>
        <v>35946.249569</v>
      </c>
      <c r="D2" s="9" cm="1">
        <f t="array" aca="1" ref="D2:D42" ca="1">SUMIFS(SENT_QUANTITY, SENT_CURRENCY, CURRENCY) + SUMIFS(FEE_QUANTITY, FEE_CURRENCY, CURRENCY)</f>
        <v>23672.803952000002</v>
      </c>
      <c r="E2" s="8" cm="1">
        <f t="array" aca="1" ref="E2:E42" ca="1">IF(QUANTITY_BOUGHT-QUANTITY_SOLD &gt; 0, QUANTITY_BOUGHT-QUANTITY_SOLD, 0)</f>
        <v>12273.445616999998</v>
      </c>
      <c r="F2" s="11" cm="1">
        <f t="array" aca="1" ref="F2:F42" ca="1">SUMIFS(RECEIVED_COST_BASIS, RECEIVED_CURRENCY, CURRENCY)+ SUMIFS(FEE_COST_BASIS, SENT_CURRENCY, CURRENCY)</f>
        <v>15616.109999999999</v>
      </c>
      <c r="G2" s="11" cm="1">
        <f t="array" aca="1" ref="G2:G42" ca="1">SUMIFS(SENT_COST_BASIS, SENT_CURRENCY, CURRENCY)+SUMIFS(FEE_COST_BASIS, SENT_CURRENCY, CURRENCY)</f>
        <v>8543.2999999999993</v>
      </c>
      <c r="H2" s="11" cm="1">
        <f t="array" aca="1" ref="H2:H42" ca="1">IF(COST_BASIS_BOUGHT-COST_BASIS_SOLD &gt; 0, COST_BASIS_BOUGHT-COST_BASIS_SOLD, 0)</f>
        <v>7072.8099999999995</v>
      </c>
      <c r="I2" s="11" cm="1">
        <f t="array" aca="1" ref="I2:I42" ca="1">CURRENT_QUANTITY * INDEX(PRICES, MATCH(CURRENCY, PRICES_SYMBOL, 0))</f>
        <v>6019.6334009070815</v>
      </c>
      <c r="J2" s="11" cm="1">
        <f t="array" aca="1" ref="J2:J42" ca="1">CURRENCY_VALUE-CURRENT_COST_BASIS</f>
        <v>-1053.176599092918</v>
      </c>
      <c r="K2" s="11" cm="1">
        <f t="array" aca="1" ref="K2:K42" ca="1">SUMIFS(REALIZED_RETURN, SENT_CURRENCY, CURRENCY) + SUMIFS(FEE_REALIZED_RETURN, FEE_CURRENCY, CURRENCY)</f>
        <v>12.4</v>
      </c>
    </row>
    <row r="3" spans="1:11" x14ac:dyDescent="0.2">
      <c r="A3" s="9" t="str">
        <f ca="1"/>
        <v>HBAR</v>
      </c>
      <c r="B3" s="135">
        <f ca="1"/>
        <v>8.1482529999999997E-2</v>
      </c>
      <c r="C3" s="10">
        <f ca="1"/>
        <v>250054.15522695999</v>
      </c>
      <c r="D3" s="9">
        <f ca="1"/>
        <v>168534.01330344999</v>
      </c>
      <c r="E3" s="8">
        <f ca="1"/>
        <v>81520.141923510004</v>
      </c>
      <c r="F3" s="11">
        <f ca="1"/>
        <v>15275.199999999995</v>
      </c>
      <c r="G3" s="11">
        <f ca="1"/>
        <v>10270.799999999999</v>
      </c>
      <c r="H3" s="11">
        <f ca="1"/>
        <v>5004.399999999996</v>
      </c>
      <c r="I3" s="11">
        <f ca="1"/>
        <v>6642.4674098866617</v>
      </c>
      <c r="J3" s="11">
        <f ca="1"/>
        <v>1638.0674098866657</v>
      </c>
      <c r="K3" s="11">
        <f ca="1"/>
        <v>-26.89</v>
      </c>
    </row>
    <row r="4" spans="1:11" x14ac:dyDescent="0.2">
      <c r="A4" s="9" t="str">
        <f ca="1"/>
        <v>ATOM</v>
      </c>
      <c r="B4" s="135">
        <f ca="1"/>
        <v>6.8682803300000002</v>
      </c>
      <c r="C4" s="10">
        <f ca="1"/>
        <v>314.50559499999991</v>
      </c>
      <c r="D4" s="9">
        <f ca="1"/>
        <v>314.913118</v>
      </c>
      <c r="E4" s="8">
        <f ca="1"/>
        <v>0</v>
      </c>
      <c r="F4" s="11">
        <f ca="1"/>
        <v>1879.18</v>
      </c>
      <c r="G4" s="11">
        <f ca="1"/>
        <v>1881.78</v>
      </c>
      <c r="H4" s="11">
        <f ca="1"/>
        <v>0</v>
      </c>
      <c r="I4" s="11">
        <f ca="1"/>
        <v>0</v>
      </c>
      <c r="J4" s="11">
        <f ca="1"/>
        <v>0</v>
      </c>
      <c r="K4" s="11">
        <f ca="1"/>
        <v>-132.68</v>
      </c>
    </row>
    <row r="5" spans="1:11" x14ac:dyDescent="0.2">
      <c r="A5" s="9" t="str">
        <f ca="1"/>
        <v>SOL</v>
      </c>
      <c r="B5" s="135">
        <f ca="1"/>
        <v>133.20307276</v>
      </c>
      <c r="C5" s="10">
        <f ca="1"/>
        <v>15.34091162</v>
      </c>
      <c r="D5" s="9">
        <f ca="1"/>
        <v>15.38473508</v>
      </c>
      <c r="E5" s="8">
        <f ca="1"/>
        <v>0</v>
      </c>
      <c r="F5" s="11">
        <f ca="1"/>
        <v>602.2600000000001</v>
      </c>
      <c r="G5" s="11">
        <f ca="1"/>
        <v>602.25999999999988</v>
      </c>
      <c r="H5" s="11">
        <f ca="1"/>
        <v>2.2737367544323206E-13</v>
      </c>
      <c r="I5" s="11">
        <f ca="1"/>
        <v>0</v>
      </c>
      <c r="J5" s="11">
        <f ca="1"/>
        <v>-2.2737367544323206E-13</v>
      </c>
      <c r="K5" s="11">
        <f ca="1"/>
        <v>-163.41</v>
      </c>
    </row>
    <row r="6" spans="1:11" x14ac:dyDescent="0.2">
      <c r="A6" s="9" t="str">
        <f ca="1"/>
        <v>ADA</v>
      </c>
      <c r="B6" s="135">
        <f ca="1"/>
        <v>0.38178376000000003</v>
      </c>
      <c r="C6" s="10">
        <f ca="1"/>
        <v>7780.1755000000003</v>
      </c>
      <c r="D6" s="9">
        <f ca="1"/>
        <v>7817.4406089999993</v>
      </c>
      <c r="E6" s="8">
        <f ca="1"/>
        <v>0</v>
      </c>
      <c r="F6" s="11">
        <f ca="1"/>
        <v>1311.52</v>
      </c>
      <c r="G6" s="11">
        <f ca="1"/>
        <v>1326.1299999999999</v>
      </c>
      <c r="H6" s="11">
        <f ca="1"/>
        <v>0</v>
      </c>
      <c r="I6" s="11">
        <f ca="1"/>
        <v>0</v>
      </c>
      <c r="J6" s="11">
        <f ca="1"/>
        <v>0</v>
      </c>
      <c r="K6" s="11">
        <f ca="1"/>
        <v>-154.29</v>
      </c>
    </row>
    <row r="7" spans="1:11" x14ac:dyDescent="0.2">
      <c r="A7" s="9" t="str">
        <f ca="1"/>
        <v>USDC</v>
      </c>
      <c r="B7" s="135">
        <f ca="1"/>
        <v>0.99950212000000005</v>
      </c>
      <c r="C7" s="10">
        <f ca="1"/>
        <v>2500.1205420000001</v>
      </c>
      <c r="D7" s="9">
        <f ca="1"/>
        <v>2499.9605879999999</v>
      </c>
      <c r="E7" s="8">
        <f ca="1"/>
        <v>0.15995400000019799</v>
      </c>
      <c r="F7" s="11">
        <f ca="1"/>
        <v>1502.8200000000002</v>
      </c>
      <c r="G7" s="11">
        <f ca="1"/>
        <v>1502.66</v>
      </c>
      <c r="H7" s="11">
        <f ca="1"/>
        <v>0.16000000000008185</v>
      </c>
      <c r="I7" s="11">
        <f ca="1"/>
        <v>0.15987436210267791</v>
      </c>
      <c r="J7" s="11">
        <f ca="1"/>
        <v>-1.2563789740394071E-4</v>
      </c>
      <c r="K7" s="11">
        <f ca="1"/>
        <v>-13.149999999999999</v>
      </c>
    </row>
    <row r="8" spans="1:11" x14ac:dyDescent="0.2">
      <c r="A8" s="9" t="str">
        <f ca="1"/>
        <v>ETH</v>
      </c>
      <c r="B8" s="135">
        <f ca="1"/>
        <v>3511.4809556599998</v>
      </c>
      <c r="C8" s="10">
        <f ca="1"/>
        <v>6.9329730500000002</v>
      </c>
      <c r="D8" s="9">
        <f ca="1"/>
        <v>6.932657279999999</v>
      </c>
      <c r="E8" s="8">
        <f ca="1"/>
        <v>3.1577000000115873E-4</v>
      </c>
      <c r="F8" s="11">
        <f ca="1"/>
        <v>6066.2900000000036</v>
      </c>
      <c r="G8" s="11">
        <f ca="1"/>
        <v>6123.3900000000012</v>
      </c>
      <c r="H8" s="11">
        <f ca="1"/>
        <v>0</v>
      </c>
      <c r="I8" s="11">
        <f ca="1"/>
        <v>1.108820341372827</v>
      </c>
      <c r="J8" s="11">
        <f ca="1"/>
        <v>1.108820341372827</v>
      </c>
      <c r="K8" s="11">
        <f ca="1"/>
        <v>168.14999999999984</v>
      </c>
    </row>
    <row r="9" spans="1:11" x14ac:dyDescent="0.2">
      <c r="A9" s="9" t="str">
        <f ca="1"/>
        <v>BTC</v>
      </c>
      <c r="B9" s="135">
        <f ca="1"/>
        <v>64756.061903939997</v>
      </c>
      <c r="C9" s="10">
        <f ca="1"/>
        <v>1.1118220000000002E-2</v>
      </c>
      <c r="D9" s="9">
        <f ca="1"/>
        <v>1.1118230000000002E-2</v>
      </c>
      <c r="E9" s="8">
        <f ca="1"/>
        <v>0</v>
      </c>
      <c r="F9" s="11">
        <f ca="1"/>
        <v>457.29999999999995</v>
      </c>
      <c r="G9" s="11">
        <f ca="1"/>
        <v>459.33</v>
      </c>
      <c r="H9" s="11">
        <f ca="1"/>
        <v>0</v>
      </c>
      <c r="I9" s="11">
        <f ca="1"/>
        <v>0</v>
      </c>
      <c r="J9" s="11">
        <f ca="1"/>
        <v>0</v>
      </c>
      <c r="K9" s="11">
        <f ca="1"/>
        <v>-29.310000000000002</v>
      </c>
    </row>
    <row r="10" spans="1:11" x14ac:dyDescent="0.2">
      <c r="A10" s="9" t="str">
        <f ca="1"/>
        <v>CSPR</v>
      </c>
      <c r="B10" s="135">
        <f ca="1"/>
        <v>2.11299E-2</v>
      </c>
      <c r="C10" s="10">
        <f ca="1"/>
        <v>21143.138177159999</v>
      </c>
      <c r="D10" s="9">
        <f ca="1"/>
        <v>21143.13817717</v>
      </c>
      <c r="E10" s="8">
        <f ca="1"/>
        <v>0</v>
      </c>
      <c r="F10" s="11">
        <f ca="1"/>
        <v>900.28</v>
      </c>
      <c r="G10" s="11">
        <f ca="1"/>
        <v>900.28</v>
      </c>
      <c r="H10" s="11">
        <f ca="1"/>
        <v>0</v>
      </c>
      <c r="I10" s="11">
        <f ca="1"/>
        <v>0</v>
      </c>
      <c r="J10" s="11">
        <f ca="1"/>
        <v>0</v>
      </c>
      <c r="K10" s="11">
        <f ca="1"/>
        <v>-164.51</v>
      </c>
    </row>
    <row r="11" spans="1:11" x14ac:dyDescent="0.2">
      <c r="A11" s="9" t="str">
        <f ca="1"/>
        <v>DOGE</v>
      </c>
      <c r="B11" s="135">
        <f ca="1"/>
        <v>0.12315153</v>
      </c>
      <c r="C11" s="10">
        <f ca="1"/>
        <v>2.36</v>
      </c>
      <c r="D11" s="9">
        <f ca="1"/>
        <v>2.3085714300000002</v>
      </c>
      <c r="E11" s="8">
        <f ca="1"/>
        <v>5.1428569999999674E-2</v>
      </c>
      <c r="F11" s="11">
        <f ca="1"/>
        <v>0.16</v>
      </c>
      <c r="G11" s="11">
        <f ca="1"/>
        <v>0.16</v>
      </c>
      <c r="H11" s="11">
        <f ca="1"/>
        <v>0</v>
      </c>
      <c r="I11" s="11">
        <f ca="1"/>
        <v>6.3335070812120592E-3</v>
      </c>
      <c r="J11" s="11">
        <f ca="1"/>
        <v>6.3335070812120592E-3</v>
      </c>
      <c r="K11" s="11">
        <f ca="1"/>
        <v>0</v>
      </c>
    </row>
    <row r="12" spans="1:11" x14ac:dyDescent="0.2">
      <c r="A12" s="9" t="str">
        <f ca="1"/>
        <v>LINK</v>
      </c>
      <c r="B12" s="135">
        <f ca="1"/>
        <v>14.276041230000001</v>
      </c>
      <c r="C12" s="10">
        <f ca="1"/>
        <v>416.48075627999998</v>
      </c>
      <c r="D12" s="9">
        <f ca="1"/>
        <v>416.48075628000004</v>
      </c>
      <c r="E12" s="8">
        <f ca="1"/>
        <v>0</v>
      </c>
      <c r="F12" s="11">
        <f ca="1"/>
        <v>2492.900000000001</v>
      </c>
      <c r="G12" s="11">
        <f ca="1"/>
        <v>2503.2099999999996</v>
      </c>
      <c r="H12" s="11">
        <f ca="1"/>
        <v>0</v>
      </c>
      <c r="I12" s="11">
        <f ca="1"/>
        <v>0</v>
      </c>
      <c r="J12" s="11">
        <f ca="1"/>
        <v>0</v>
      </c>
      <c r="K12" s="11">
        <f ca="1"/>
        <v>-220.98000000000002</v>
      </c>
    </row>
    <row r="13" spans="1:11" x14ac:dyDescent="0.2">
      <c r="A13" s="9" t="str">
        <f ca="1"/>
        <v>ALGO</v>
      </c>
      <c r="B13" s="135">
        <f ca="1"/>
        <v>0.13958271999999999</v>
      </c>
      <c r="C13" s="10">
        <f ca="1"/>
        <v>10996.823197999998</v>
      </c>
      <c r="D13" s="9">
        <f ca="1"/>
        <v>11007.762099</v>
      </c>
      <c r="E13" s="8">
        <f ca="1"/>
        <v>0</v>
      </c>
      <c r="F13" s="11">
        <f ca="1"/>
        <v>2496.83</v>
      </c>
      <c r="G13" s="11">
        <f ca="1"/>
        <v>2499.8199999999997</v>
      </c>
      <c r="H13" s="11">
        <f ca="1"/>
        <v>0</v>
      </c>
      <c r="I13" s="11">
        <f ca="1"/>
        <v>0</v>
      </c>
      <c r="J13" s="11">
        <f ca="1"/>
        <v>0</v>
      </c>
      <c r="K13" s="11">
        <f ca="1"/>
        <v>-74.48</v>
      </c>
    </row>
    <row r="14" spans="1:11" x14ac:dyDescent="0.2">
      <c r="A14" s="9" t="str">
        <f ca="1"/>
        <v>ARB</v>
      </c>
      <c r="B14" s="135">
        <f ca="1"/>
        <v>0.81154302</v>
      </c>
      <c r="C14" s="10">
        <f ca="1"/>
        <v>314.03690116000001</v>
      </c>
      <c r="D14" s="9">
        <f ca="1"/>
        <v>314.03690116000001</v>
      </c>
      <c r="E14" s="8">
        <f ca="1"/>
        <v>0</v>
      </c>
      <c r="F14" s="11">
        <f ca="1"/>
        <v>389.68</v>
      </c>
      <c r="G14" s="11">
        <f ca="1"/>
        <v>389.68</v>
      </c>
      <c r="H14" s="11">
        <f ca="1"/>
        <v>0</v>
      </c>
      <c r="I14" s="11">
        <f ca="1"/>
        <v>0</v>
      </c>
      <c r="J14" s="11">
        <f ca="1"/>
        <v>0</v>
      </c>
      <c r="K14" s="11">
        <f ca="1"/>
        <v>-26.45</v>
      </c>
    </row>
    <row r="15" spans="1:11" x14ac:dyDescent="0.2">
      <c r="A15" s="9" t="str">
        <f ca="1"/>
        <v>OP</v>
      </c>
      <c r="B15" s="135">
        <f ca="1"/>
        <v>1.8633397</v>
      </c>
      <c r="C15" s="10">
        <f ca="1"/>
        <v>288.75017883999999</v>
      </c>
      <c r="D15" s="9">
        <f ca="1"/>
        <v>288.75017883999999</v>
      </c>
      <c r="E15" s="8">
        <f ca="1"/>
        <v>0</v>
      </c>
      <c r="F15" s="11">
        <f ca="1"/>
        <v>765.76</v>
      </c>
      <c r="G15" s="11">
        <f ca="1"/>
        <v>765.76</v>
      </c>
      <c r="H15" s="11">
        <f ca="1"/>
        <v>0</v>
      </c>
      <c r="I15" s="11">
        <f ca="1"/>
        <v>0</v>
      </c>
      <c r="J15" s="11">
        <f ca="1"/>
        <v>0</v>
      </c>
      <c r="K15" s="11">
        <f ca="1"/>
        <v>-172.53</v>
      </c>
    </row>
    <row r="16" spans="1:11" x14ac:dyDescent="0.2">
      <c r="A16" s="9" t="str">
        <f ca="1"/>
        <v>FIL</v>
      </c>
      <c r="B16" s="135">
        <f ca="1"/>
        <v>4.3942195899999996</v>
      </c>
      <c r="C16" s="10">
        <f ca="1"/>
        <v>33.367037410000002</v>
      </c>
      <c r="D16" s="9">
        <f ca="1"/>
        <v>33.367037410000002</v>
      </c>
      <c r="E16" s="8">
        <f ca="1"/>
        <v>0</v>
      </c>
      <c r="F16" s="11">
        <f ca="1"/>
        <v>200</v>
      </c>
      <c r="G16" s="11">
        <f ca="1"/>
        <v>200</v>
      </c>
      <c r="H16" s="11">
        <f ca="1"/>
        <v>0</v>
      </c>
      <c r="I16" s="11">
        <f ca="1"/>
        <v>0</v>
      </c>
      <c r="J16" s="11">
        <f ca="1"/>
        <v>0</v>
      </c>
      <c r="K16" s="11">
        <f ca="1"/>
        <v>-5.61</v>
      </c>
    </row>
    <row r="17" spans="1:11" x14ac:dyDescent="0.2">
      <c r="A17" s="9" t="str">
        <f ca="1"/>
        <v>XLM</v>
      </c>
      <c r="B17" s="135">
        <f ca="1"/>
        <v>9.3683900000000001E-2</v>
      </c>
      <c r="C17" s="10">
        <f ca="1"/>
        <v>4970.8263010000001</v>
      </c>
      <c r="D17" s="9">
        <f ca="1"/>
        <v>4970.826301000001</v>
      </c>
      <c r="E17" s="8">
        <f ca="1"/>
        <v>0</v>
      </c>
      <c r="F17" s="11">
        <f ca="1"/>
        <v>473.23</v>
      </c>
      <c r="G17" s="11">
        <f ca="1"/>
        <v>476.22</v>
      </c>
      <c r="H17" s="11">
        <f ca="1"/>
        <v>0</v>
      </c>
      <c r="I17" s="11">
        <f ca="1"/>
        <v>0</v>
      </c>
      <c r="J17" s="11">
        <f ca="1"/>
        <v>0</v>
      </c>
      <c r="K17" s="11">
        <f ca="1"/>
        <v>-26.740000000000006</v>
      </c>
    </row>
    <row r="18" spans="1:11" x14ac:dyDescent="0.2">
      <c r="A18" s="9" t="str">
        <f ca="1"/>
        <v>QNT</v>
      </c>
      <c r="B18" s="135">
        <f ca="1"/>
        <v>77.943886169999999</v>
      </c>
      <c r="C18" s="10">
        <f ca="1"/>
        <v>5.8445141200000004</v>
      </c>
      <c r="D18" s="9">
        <f ca="1"/>
        <v>5.8445141199999995</v>
      </c>
      <c r="E18" s="8">
        <f ca="1"/>
        <v>8.8817841970012523E-16</v>
      </c>
      <c r="F18" s="11">
        <f ca="1"/>
        <v>778.57999999999993</v>
      </c>
      <c r="G18" s="11">
        <f ca="1"/>
        <v>783.06000000000006</v>
      </c>
      <c r="H18" s="11">
        <f ca="1"/>
        <v>0</v>
      </c>
      <c r="I18" s="11">
        <f ca="1"/>
        <v>6.9228077643757046E-14</v>
      </c>
      <c r="J18" s="11">
        <f ca="1"/>
        <v>6.9228077643757046E-14</v>
      </c>
      <c r="K18" s="11">
        <f ca="1"/>
        <v>-43.75</v>
      </c>
    </row>
    <row r="19" spans="1:11" x14ac:dyDescent="0.2">
      <c r="A19" s="9" t="str">
        <f ca="1"/>
        <v>AVAX</v>
      </c>
      <c r="B19" s="135">
        <f ca="1"/>
        <v>27.477787159999998</v>
      </c>
      <c r="C19" s="10">
        <f ca="1"/>
        <v>4.5437105100000004</v>
      </c>
      <c r="D19" s="9">
        <f ca="1"/>
        <v>4.5437105100000004</v>
      </c>
      <c r="E19" s="8">
        <f ca="1"/>
        <v>0</v>
      </c>
      <c r="F19" s="11">
        <f ca="1"/>
        <v>58.510000000000005</v>
      </c>
      <c r="G19" s="11">
        <f ca="1"/>
        <v>60</v>
      </c>
      <c r="H19" s="11">
        <f ca="1"/>
        <v>0</v>
      </c>
      <c r="I19" s="11">
        <f ca="1"/>
        <v>0</v>
      </c>
      <c r="J19" s="11">
        <f ca="1"/>
        <v>0</v>
      </c>
      <c r="K19" s="11">
        <f ca="1"/>
        <v>20.53</v>
      </c>
    </row>
    <row r="20" spans="1:11" x14ac:dyDescent="0.2">
      <c r="A20" s="9" t="str">
        <f ca="1"/>
        <v>MATIC</v>
      </c>
      <c r="B20" s="135">
        <f ca="1"/>
        <v>0.57479535000000004</v>
      </c>
      <c r="C20" s="10">
        <f ca="1"/>
        <v>342.91233002000001</v>
      </c>
      <c r="D20" s="9">
        <f ca="1"/>
        <v>342.91233002000001</v>
      </c>
      <c r="E20" s="8">
        <f ca="1"/>
        <v>0</v>
      </c>
      <c r="F20" s="11">
        <f ca="1"/>
        <v>380.62</v>
      </c>
      <c r="G20" s="11">
        <f ca="1"/>
        <v>383.61</v>
      </c>
      <c r="H20" s="11">
        <f ca="1"/>
        <v>0</v>
      </c>
      <c r="I20" s="11">
        <f ca="1"/>
        <v>0</v>
      </c>
      <c r="J20" s="11">
        <f ca="1"/>
        <v>0</v>
      </c>
      <c r="K20" s="11">
        <f ca="1"/>
        <v>-12.11</v>
      </c>
    </row>
    <row r="21" spans="1:11" x14ac:dyDescent="0.2">
      <c r="A21" s="9" t="str">
        <f ca="1"/>
        <v>GALA</v>
      </c>
      <c r="B21" s="135">
        <f ca="1"/>
        <v>2.8055469999999999E-2</v>
      </c>
      <c r="C21" s="10">
        <f ca="1"/>
        <v>56.116802880000002</v>
      </c>
      <c r="D21" s="9">
        <f ca="1"/>
        <v>56.116802880000002</v>
      </c>
      <c r="E21" s="8">
        <f ca="1"/>
        <v>0</v>
      </c>
      <c r="F21" s="11">
        <f ca="1"/>
        <v>19.37</v>
      </c>
      <c r="G21" s="11">
        <f ca="1"/>
        <v>19.37</v>
      </c>
      <c r="H21" s="11">
        <f ca="1"/>
        <v>0</v>
      </c>
      <c r="I21" s="11">
        <f ca="1"/>
        <v>0</v>
      </c>
      <c r="J21" s="11">
        <f ca="1"/>
        <v>0</v>
      </c>
      <c r="K21" s="11">
        <f ca="1"/>
        <v>-0.49</v>
      </c>
    </row>
    <row r="22" spans="1:11" x14ac:dyDescent="0.2">
      <c r="A22" s="9" t="str">
        <f ca="1"/>
        <v>FIDA</v>
      </c>
      <c r="B22" s="135">
        <f ca="1"/>
        <v>0.30460986000000001</v>
      </c>
      <c r="C22" s="10">
        <f ca="1"/>
        <v>3.853386</v>
      </c>
      <c r="D22" s="9">
        <f ca="1"/>
        <v>3.853386</v>
      </c>
      <c r="E22" s="8">
        <f ca="1"/>
        <v>0</v>
      </c>
      <c r="F22" s="11">
        <f ca="1"/>
        <v>13.74</v>
      </c>
      <c r="G22" s="11">
        <f ca="1"/>
        <v>13.74</v>
      </c>
      <c r="H22" s="11">
        <f ca="1"/>
        <v>0</v>
      </c>
      <c r="I22" s="11">
        <f ca="1"/>
        <v>0</v>
      </c>
      <c r="J22" s="11">
        <f ca="1"/>
        <v>0</v>
      </c>
      <c r="K22" s="11">
        <f ca="1"/>
        <v>-1.6</v>
      </c>
    </row>
    <row r="23" spans="1:11" x14ac:dyDescent="0.2">
      <c r="A23" s="9" t="str">
        <f ca="1"/>
        <v>RNDR</v>
      </c>
      <c r="B23" s="135">
        <f ca="1"/>
        <v>7.66581373</v>
      </c>
      <c r="C23" s="10">
        <f ca="1"/>
        <v>0.80862630000000002</v>
      </c>
      <c r="D23" s="9">
        <f ca="1"/>
        <v>0.80862630999999996</v>
      </c>
      <c r="E23" s="8">
        <f ca="1"/>
        <v>0</v>
      </c>
      <c r="F23" s="11">
        <f ca="1"/>
        <v>2.98</v>
      </c>
      <c r="G23" s="11">
        <f ca="1"/>
        <v>2.98</v>
      </c>
      <c r="H23" s="11">
        <f ca="1"/>
        <v>0</v>
      </c>
      <c r="I23" s="11">
        <f ca="1"/>
        <v>0</v>
      </c>
      <c r="J23" s="11">
        <f ca="1"/>
        <v>0</v>
      </c>
      <c r="K23" s="11">
        <f ca="1"/>
        <v>-1.08</v>
      </c>
    </row>
    <row r="24" spans="1:11" x14ac:dyDescent="0.2">
      <c r="A24" s="9" t="str">
        <f ca="1"/>
        <v>NKN</v>
      </c>
      <c r="B24" s="135">
        <f ca="1"/>
        <v>8.1055429999999998E-2</v>
      </c>
      <c r="C24" s="10">
        <f ca="1"/>
        <v>36.42306705</v>
      </c>
      <c r="D24" s="9">
        <f ca="1"/>
        <v>36.42306705</v>
      </c>
      <c r="E24" s="8">
        <f ca="1"/>
        <v>0</v>
      </c>
      <c r="F24" s="11">
        <f ca="1"/>
        <v>9.8699999999999992</v>
      </c>
      <c r="G24" s="11">
        <f ca="1"/>
        <v>9.8699999999999992</v>
      </c>
      <c r="H24" s="11">
        <f ca="1"/>
        <v>0</v>
      </c>
      <c r="I24" s="11">
        <f ca="1"/>
        <v>0</v>
      </c>
      <c r="J24" s="11">
        <f ca="1"/>
        <v>0</v>
      </c>
      <c r="K24" s="11">
        <f ca="1"/>
        <v>-0.55000000000000004</v>
      </c>
    </row>
    <row r="25" spans="1:11" x14ac:dyDescent="0.2">
      <c r="A25" s="9" t="str">
        <f ca="1"/>
        <v>SHPING</v>
      </c>
      <c r="B25" s="135">
        <f ca="1"/>
        <v>6.7994400000000003E-3</v>
      </c>
      <c r="C25" s="10">
        <f ca="1"/>
        <v>1442.9762798199999</v>
      </c>
      <c r="D25" s="9">
        <f ca="1"/>
        <v>1442.9762798199999</v>
      </c>
      <c r="E25" s="8">
        <f ca="1"/>
        <v>0</v>
      </c>
      <c r="F25" s="11">
        <f ca="1"/>
        <v>52.39</v>
      </c>
      <c r="G25" s="11">
        <f ca="1"/>
        <v>52.39</v>
      </c>
      <c r="H25" s="11">
        <f ca="1"/>
        <v>0</v>
      </c>
      <c r="I25" s="11">
        <f ca="1"/>
        <v>0</v>
      </c>
      <c r="J25" s="11">
        <f ca="1"/>
        <v>0</v>
      </c>
      <c r="K25" s="11">
        <f ca="1"/>
        <v>-1.22</v>
      </c>
    </row>
    <row r="26" spans="1:11" x14ac:dyDescent="0.2">
      <c r="A26" s="9" t="str">
        <f ca="1"/>
        <v>TRAC</v>
      </c>
      <c r="B26" s="135">
        <f ca="1"/>
        <v>1.3913740299999999</v>
      </c>
      <c r="C26" s="10">
        <f ca="1"/>
        <v>37.85224736</v>
      </c>
      <c r="D26" s="9">
        <f ca="1"/>
        <v>37.85224736</v>
      </c>
      <c r="E26" s="8">
        <f ca="1"/>
        <v>0</v>
      </c>
      <c r="F26" s="11">
        <f ca="1"/>
        <v>24.45</v>
      </c>
      <c r="G26" s="11">
        <f ca="1"/>
        <v>24.45</v>
      </c>
      <c r="H26" s="11">
        <f ca="1"/>
        <v>0</v>
      </c>
      <c r="I26" s="11">
        <f ca="1"/>
        <v>0</v>
      </c>
      <c r="J26" s="11">
        <f ca="1"/>
        <v>0</v>
      </c>
      <c r="K26" s="11">
        <f ca="1"/>
        <v>-2.4700000000000002</v>
      </c>
    </row>
    <row r="27" spans="1:11" x14ac:dyDescent="0.2">
      <c r="A27" s="9" t="str">
        <f ca="1"/>
        <v>SUKU</v>
      </c>
      <c r="B27" s="135">
        <f ca="1"/>
        <v>8.2315319999999997E-2</v>
      </c>
      <c r="C27" s="10">
        <f ca="1"/>
        <v>52.526181739999998</v>
      </c>
      <c r="D27" s="9">
        <f ca="1"/>
        <v>52.526181739999998</v>
      </c>
      <c r="E27" s="8">
        <f ca="1"/>
        <v>0</v>
      </c>
      <c r="F27" s="11">
        <f ca="1"/>
        <v>40.04</v>
      </c>
      <c r="G27" s="11">
        <f ca="1"/>
        <v>40.04</v>
      </c>
      <c r="H27" s="11">
        <f ca="1"/>
        <v>0</v>
      </c>
      <c r="I27" s="11">
        <f ca="1"/>
        <v>0</v>
      </c>
      <c r="J27" s="11">
        <f ca="1"/>
        <v>0</v>
      </c>
      <c r="K27" s="11">
        <f ca="1"/>
        <v>-16.52</v>
      </c>
    </row>
    <row r="28" spans="1:11" x14ac:dyDescent="0.2">
      <c r="A28" s="9" t="str">
        <f ca="1"/>
        <v>FARM</v>
      </c>
      <c r="B28" s="135">
        <f ca="1"/>
        <v>50.699772369999998</v>
      </c>
      <c r="C28" s="10">
        <f ca="1"/>
        <v>0.39812682900000002</v>
      </c>
      <c r="D28" s="9">
        <f ca="1"/>
        <v>0.39812682999999999</v>
      </c>
      <c r="E28" s="8">
        <f ca="1"/>
        <v>0</v>
      </c>
      <c r="F28" s="11">
        <f ca="1"/>
        <v>58.91</v>
      </c>
      <c r="G28" s="11">
        <f ca="1"/>
        <v>58.91</v>
      </c>
      <c r="H28" s="11">
        <f ca="1"/>
        <v>0</v>
      </c>
      <c r="I28" s="11">
        <f ca="1"/>
        <v>0</v>
      </c>
      <c r="J28" s="11">
        <f ca="1"/>
        <v>0</v>
      </c>
      <c r="K28" s="11">
        <f ca="1"/>
        <v>-18.87</v>
      </c>
    </row>
    <row r="29" spans="1:11" x14ac:dyDescent="0.2">
      <c r="A29" s="9" t="str">
        <f ca="1"/>
        <v>GRT</v>
      </c>
      <c r="B29" s="135">
        <f ca="1"/>
        <v>0.22397475999999999</v>
      </c>
      <c r="C29" s="10">
        <f ca="1"/>
        <v>7.1263997500000009</v>
      </c>
      <c r="D29" s="9">
        <f ca="1"/>
        <v>7.1263997499999991</v>
      </c>
      <c r="E29" s="8">
        <f ca="1"/>
        <v>1.7763568394002505E-15</v>
      </c>
      <c r="F29" s="11">
        <f ca="1"/>
        <v>5</v>
      </c>
      <c r="G29" s="11">
        <f ca="1"/>
        <v>5</v>
      </c>
      <c r="H29" s="11">
        <f ca="1"/>
        <v>0</v>
      </c>
      <c r="I29" s="11">
        <f ca="1"/>
        <v>3.9785909677902963E-16</v>
      </c>
      <c r="J29" s="11">
        <f ca="1"/>
        <v>3.9785909677902963E-16</v>
      </c>
      <c r="K29" s="11">
        <f ca="1"/>
        <v>-0.33999999999999997</v>
      </c>
    </row>
    <row r="30" spans="1:11" x14ac:dyDescent="0.2">
      <c r="A30" s="9" t="str">
        <f ca="1"/>
        <v>POWR</v>
      </c>
      <c r="B30" s="135">
        <f ca="1"/>
        <v>0.2106035</v>
      </c>
      <c r="C30" s="10">
        <f ca="1"/>
        <v>78.847219999999993</v>
      </c>
      <c r="D30" s="9">
        <f ca="1"/>
        <v>78.847219999999993</v>
      </c>
      <c r="E30" s="8">
        <f ca="1"/>
        <v>0</v>
      </c>
      <c r="F30" s="11">
        <f ca="1"/>
        <v>49.04</v>
      </c>
      <c r="G30" s="11">
        <f ca="1"/>
        <v>49.04</v>
      </c>
      <c r="H30" s="11">
        <f ca="1"/>
        <v>0</v>
      </c>
      <c r="I30" s="11">
        <f ca="1"/>
        <v>0</v>
      </c>
      <c r="J30" s="11">
        <f ca="1"/>
        <v>0</v>
      </c>
      <c r="K30" s="11">
        <f ca="1"/>
        <v>-3.09</v>
      </c>
    </row>
    <row r="31" spans="1:11" x14ac:dyDescent="0.2">
      <c r="A31" s="9" t="str">
        <f ca="1"/>
        <v>GODS</v>
      </c>
      <c r="B31" s="135">
        <f ca="1"/>
        <v>0.17703627999999999</v>
      </c>
      <c r="C31" s="10">
        <f ca="1"/>
        <v>13.196624590000001</v>
      </c>
      <c r="D31" s="9">
        <f ca="1"/>
        <v>13.196624590000001</v>
      </c>
      <c r="E31" s="8">
        <f ca="1"/>
        <v>0</v>
      </c>
      <c r="F31" s="11">
        <f ca="1"/>
        <v>49.03</v>
      </c>
      <c r="G31" s="11">
        <f ca="1"/>
        <v>49.03</v>
      </c>
      <c r="H31" s="11">
        <f ca="1"/>
        <v>0</v>
      </c>
      <c r="I31" s="11">
        <f ca="1"/>
        <v>0</v>
      </c>
      <c r="J31" s="11">
        <f ca="1"/>
        <v>0</v>
      </c>
      <c r="K31" s="11">
        <f ca="1"/>
        <v>-7.53</v>
      </c>
    </row>
    <row r="32" spans="1:11" x14ac:dyDescent="0.2">
      <c r="A32" s="9" t="str">
        <f ca="1"/>
        <v>ASM</v>
      </c>
      <c r="B32" s="135">
        <f ca="1"/>
        <v>2.8427330000000001E-2</v>
      </c>
      <c r="C32" s="10">
        <f ca="1"/>
        <v>242.62441733</v>
      </c>
      <c r="D32" s="9">
        <f ca="1"/>
        <v>242.62441733</v>
      </c>
      <c r="E32" s="8">
        <f ca="1"/>
        <v>0</v>
      </c>
      <c r="F32" s="11">
        <f ca="1"/>
        <v>23.77</v>
      </c>
      <c r="G32" s="11">
        <f ca="1"/>
        <v>23.77</v>
      </c>
      <c r="H32" s="11">
        <f ca="1"/>
        <v>0</v>
      </c>
      <c r="I32" s="11">
        <f ca="1"/>
        <v>0</v>
      </c>
      <c r="J32" s="11">
        <f ca="1"/>
        <v>0</v>
      </c>
      <c r="K32" s="11">
        <f ca="1"/>
        <v>-3.05</v>
      </c>
    </row>
    <row r="33" spans="1:11" x14ac:dyDescent="0.2">
      <c r="A33" s="9" t="str">
        <f ca="1"/>
        <v>AMP</v>
      </c>
      <c r="B33" s="135">
        <f ca="1"/>
        <v>4.7876100000000003E-3</v>
      </c>
      <c r="C33" s="10">
        <f ca="1"/>
        <v>625.34742832000018</v>
      </c>
      <c r="D33" s="9">
        <f ca="1"/>
        <v>625.34742832000006</v>
      </c>
      <c r="E33" s="8">
        <f ca="1"/>
        <v>1.1368683772161603E-13</v>
      </c>
      <c r="F33" s="11">
        <f ca="1"/>
        <v>30.25</v>
      </c>
      <c r="G33" s="11">
        <f ca="1"/>
        <v>30.25</v>
      </c>
      <c r="H33" s="11">
        <f ca="1"/>
        <v>0</v>
      </c>
      <c r="I33" s="11">
        <f ca="1"/>
        <v>5.4428824114438615E-16</v>
      </c>
      <c r="J33" s="11">
        <f ca="1"/>
        <v>5.4428824114438615E-16</v>
      </c>
      <c r="K33" s="11">
        <f ca="1"/>
        <v>-3.4899999999999998</v>
      </c>
    </row>
    <row r="34" spans="1:11" x14ac:dyDescent="0.2">
      <c r="A34" s="9" t="str">
        <f ca="1"/>
        <v>ACH</v>
      </c>
      <c r="B34" s="135">
        <f ca="1"/>
        <v>2.3966080000000001E-2</v>
      </c>
      <c r="C34" s="10">
        <f ca="1"/>
        <v>465.85208393000005</v>
      </c>
      <c r="D34" s="9">
        <f ca="1"/>
        <v>465.85208394</v>
      </c>
      <c r="E34" s="8">
        <f ca="1"/>
        <v>0</v>
      </c>
      <c r="F34" s="11">
        <f ca="1"/>
        <v>29.380000000000003</v>
      </c>
      <c r="G34" s="11">
        <f ca="1"/>
        <v>29.38</v>
      </c>
      <c r="H34" s="11">
        <f ca="1"/>
        <v>3.5527136788005009E-15</v>
      </c>
      <c r="I34" s="11">
        <f ca="1"/>
        <v>0</v>
      </c>
      <c r="J34" s="11">
        <f ca="1"/>
        <v>-3.5527136788005009E-15</v>
      </c>
      <c r="K34" s="11">
        <f ca="1"/>
        <v>0.6</v>
      </c>
    </row>
    <row r="35" spans="1:11" x14ac:dyDescent="0.2">
      <c r="A35" s="9" t="str">
        <f ca="1"/>
        <v>MDT</v>
      </c>
      <c r="B35" s="135">
        <f ca="1"/>
        <v>4.7742550000000002E-2</v>
      </c>
      <c r="C35" s="10">
        <f ca="1"/>
        <v>132.27014911999999</v>
      </c>
      <c r="D35" s="9">
        <f ca="1"/>
        <v>132.27014912000001</v>
      </c>
      <c r="E35" s="8">
        <f ca="1"/>
        <v>0</v>
      </c>
      <c r="F35" s="11">
        <f ca="1"/>
        <v>19.670000000000002</v>
      </c>
      <c r="G35" s="11">
        <f ca="1"/>
        <v>19.670000000000002</v>
      </c>
      <c r="H35" s="11">
        <f ca="1"/>
        <v>0</v>
      </c>
      <c r="I35" s="11">
        <f ca="1"/>
        <v>0</v>
      </c>
      <c r="J35" s="11">
        <f ca="1"/>
        <v>0</v>
      </c>
      <c r="K35" s="11">
        <f ca="1"/>
        <v>-4.46</v>
      </c>
    </row>
    <row r="36" spans="1:11" x14ac:dyDescent="0.2">
      <c r="A36" s="9" t="str">
        <f ca="1"/>
        <v>COVAL</v>
      </c>
      <c r="B36" s="135">
        <f ca="1"/>
        <v>6.9155800000000002E-3</v>
      </c>
      <c r="C36" s="10">
        <f ca="1"/>
        <v>256.62583760999996</v>
      </c>
      <c r="D36" s="9">
        <f ca="1"/>
        <v>256.62583761000002</v>
      </c>
      <c r="E36" s="8">
        <f ca="1"/>
        <v>0</v>
      </c>
      <c r="F36" s="11">
        <f ca="1"/>
        <v>43.400000000000006</v>
      </c>
      <c r="G36" s="11">
        <f ca="1"/>
        <v>43.4</v>
      </c>
      <c r="H36" s="11">
        <f ca="1"/>
        <v>7.1054273576010019E-15</v>
      </c>
      <c r="I36" s="11">
        <f ca="1"/>
        <v>0</v>
      </c>
      <c r="J36" s="11">
        <f ca="1"/>
        <v>-7.1054273576010019E-15</v>
      </c>
      <c r="K36" s="11">
        <f ca="1"/>
        <v>3.69</v>
      </c>
    </row>
    <row r="37" spans="1:11" x14ac:dyDescent="0.2">
      <c r="A37" s="9" t="str">
        <f ca="1"/>
        <v>SPELL</v>
      </c>
      <c r="B37" s="135">
        <f ca="1"/>
        <v>7.0748999999999996E-4</v>
      </c>
      <c r="C37" s="10">
        <f ca="1"/>
        <v>2853.6429327400001</v>
      </c>
      <c r="D37" s="9">
        <f ca="1"/>
        <v>2853.6429327400001</v>
      </c>
      <c r="E37" s="8">
        <f ca="1"/>
        <v>0</v>
      </c>
      <c r="F37" s="11">
        <f ca="1"/>
        <v>51.66</v>
      </c>
      <c r="G37" s="11">
        <f ca="1"/>
        <v>51.66</v>
      </c>
      <c r="H37" s="11">
        <f ca="1"/>
        <v>0</v>
      </c>
      <c r="I37" s="11">
        <f ca="1"/>
        <v>0</v>
      </c>
      <c r="J37" s="11">
        <f ca="1"/>
        <v>0</v>
      </c>
      <c r="K37" s="11">
        <f ca="1"/>
        <v>-11.29</v>
      </c>
    </row>
    <row r="38" spans="1:11" x14ac:dyDescent="0.2">
      <c r="A38" s="9" t="str">
        <f ca="1"/>
        <v>IDEX</v>
      </c>
      <c r="B38" s="135">
        <f ca="1"/>
        <v>4.4426399999999998E-2</v>
      </c>
      <c r="C38" s="10">
        <f ca="1"/>
        <v>27.310846389999998</v>
      </c>
      <c r="D38" s="9">
        <f ca="1"/>
        <v>27.310846389999998</v>
      </c>
      <c r="E38" s="8">
        <f ca="1"/>
        <v>0</v>
      </c>
      <c r="F38" s="11">
        <f ca="1"/>
        <v>9.6999999999999993</v>
      </c>
      <c r="G38" s="11">
        <f ca="1"/>
        <v>9.6999999999999993</v>
      </c>
      <c r="H38" s="11">
        <f ca="1"/>
        <v>0</v>
      </c>
      <c r="I38" s="11">
        <f ca="1"/>
        <v>0</v>
      </c>
      <c r="J38" s="11">
        <f ca="1"/>
        <v>0</v>
      </c>
      <c r="K38" s="11">
        <f ca="1"/>
        <v>-0.23</v>
      </c>
    </row>
    <row r="39" spans="1:11" x14ac:dyDescent="0.2">
      <c r="A39" s="9" t="str">
        <f ca="1"/>
        <v>IOTX</v>
      </c>
      <c r="B39" s="135">
        <f ca="1"/>
        <v>4.5981220000000003E-2</v>
      </c>
      <c r="C39" s="10">
        <f ca="1"/>
        <v>16.80154576</v>
      </c>
      <c r="D39" s="9">
        <f ca="1"/>
        <v>16.801545770000001</v>
      </c>
      <c r="E39" s="8">
        <f ca="1"/>
        <v>0</v>
      </c>
      <c r="F39" s="11">
        <f ca="1"/>
        <v>2.98</v>
      </c>
      <c r="G39" s="11">
        <f ca="1"/>
        <v>2.98</v>
      </c>
      <c r="H39" s="11">
        <f ca="1"/>
        <v>0</v>
      </c>
      <c r="I39" s="11">
        <f ca="1"/>
        <v>0</v>
      </c>
      <c r="J39" s="11">
        <f ca="1"/>
        <v>0</v>
      </c>
      <c r="K39" s="11">
        <f ca="1"/>
        <v>0.02</v>
      </c>
    </row>
    <row r="40" spans="1:11" x14ac:dyDescent="0.2">
      <c r="A40" s="9" t="str">
        <f ca="1"/>
        <v>FET</v>
      </c>
      <c r="B40" s="135">
        <f ca="1"/>
        <v>1.5799763099999999</v>
      </c>
      <c r="C40" s="10">
        <f ca="1"/>
        <v>4.4508185500000002</v>
      </c>
      <c r="D40" s="9">
        <f ca="1"/>
        <v>4.4508185500000002</v>
      </c>
      <c r="E40" s="8">
        <f ca="1"/>
        <v>0</v>
      </c>
      <c r="F40" s="11">
        <f ca="1"/>
        <v>3</v>
      </c>
      <c r="G40" s="11">
        <f ca="1"/>
        <v>3</v>
      </c>
      <c r="H40" s="11">
        <f ca="1"/>
        <v>0</v>
      </c>
      <c r="I40" s="11">
        <f ca="1"/>
        <v>0</v>
      </c>
      <c r="J40" s="11">
        <f ca="1"/>
        <v>0</v>
      </c>
      <c r="K40" s="11">
        <f ca="1"/>
        <v>-0.01</v>
      </c>
    </row>
    <row r="41" spans="1:11" x14ac:dyDescent="0.2">
      <c r="A41" s="9" t="str">
        <f ca="1"/>
        <v>ANKR</v>
      </c>
      <c r="B41" s="135">
        <f ca="1"/>
        <v>3.1823249999999997E-2</v>
      </c>
      <c r="C41" s="10">
        <f ca="1"/>
        <v>25.615779320000001</v>
      </c>
      <c r="D41" s="9">
        <f ca="1"/>
        <v>25.615779329999999</v>
      </c>
      <c r="E41" s="8">
        <f ca="1"/>
        <v>0</v>
      </c>
      <c r="F41" s="11">
        <f ca="1"/>
        <v>4</v>
      </c>
      <c r="G41" s="11">
        <f ca="1"/>
        <v>4</v>
      </c>
      <c r="H41" s="11">
        <f ca="1"/>
        <v>0</v>
      </c>
      <c r="I41" s="11">
        <f ca="1"/>
        <v>0</v>
      </c>
      <c r="J41" s="11">
        <f ca="1"/>
        <v>0</v>
      </c>
      <c r="K41" s="11">
        <f ca="1"/>
        <v>-0.14000000000000001</v>
      </c>
    </row>
    <row r="42" spans="1:11" x14ac:dyDescent="0.2">
      <c r="A42" s="9" t="str">
        <f ca="1"/>
        <v>CLV</v>
      </c>
      <c r="B42" s="135">
        <f ca="1"/>
        <v>5.2275120000000001E-2</v>
      </c>
      <c r="C42" s="10">
        <f ca="1"/>
        <v>4.3668122</v>
      </c>
      <c r="D42" s="9">
        <f ca="1"/>
        <v>4.3668122199999999</v>
      </c>
      <c r="E42" s="8">
        <f ca="1"/>
        <v>0</v>
      </c>
      <c r="F42" s="11">
        <f ca="1"/>
        <v>5</v>
      </c>
      <c r="G42" s="11">
        <f ca="1"/>
        <v>5</v>
      </c>
      <c r="H42" s="11">
        <f ca="1"/>
        <v>0</v>
      </c>
      <c r="I42" s="11">
        <f ca="1"/>
        <v>0</v>
      </c>
      <c r="J42" s="11">
        <f ca="1"/>
        <v>0</v>
      </c>
      <c r="K42" s="11">
        <f ca="1"/>
        <v>-0.13</v>
      </c>
    </row>
    <row r="43" spans="1:11" x14ac:dyDescent="0.2">
      <c r="D43" s="3"/>
    </row>
  </sheetData>
  <conditionalFormatting sqref="C1:E1048576">
    <cfRule type="notContainsBlanks" dxfId="10" priority="5">
      <formula>LEN(TRIM(C1))&gt;0</formula>
    </cfRule>
  </conditionalFormatting>
  <conditionalFormatting sqref="F1:I1048576">
    <cfRule type="notContainsBlanks" dxfId="9" priority="8">
      <formula>LEN(TRIM(F1))&gt;0</formula>
    </cfRule>
  </conditionalFormatting>
  <conditionalFormatting sqref="J1:J42">
    <cfRule type="notContainsBlanks" dxfId="8" priority="7">
      <formula>LEN(TRIM(J1))&gt;0</formula>
    </cfRule>
  </conditionalFormatting>
  <conditionalFormatting sqref="A1:B1048576">
    <cfRule type="notContainsBlanks" dxfId="7" priority="2">
      <formula>LEN(TRIM(A1))&gt;0</formula>
    </cfRule>
  </conditionalFormatting>
  <conditionalFormatting sqref="K1:K1048576">
    <cfRule type="notContainsBlanks" dxfId="6" priority="1">
      <formula>LEN(TRIM(K1))&gt;0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activeCell="E53" sqref="E53"/>
    </sheetView>
  </sheetViews>
  <sheetFormatPr baseColWidth="10" defaultRowHeight="16" x14ac:dyDescent="0.2"/>
  <cols>
    <col min="1" max="1" width="12.140625" style="14" customWidth="1"/>
    <col min="2" max="2" width="10.7109375" style="1" customWidth="1"/>
    <col min="3" max="3" width="19.85546875" style="1" customWidth="1"/>
    <col min="4" max="4" width="20.5703125" style="1" customWidth="1"/>
    <col min="5" max="5" width="28.140625" style="1" customWidth="1"/>
    <col min="6" max="6" width="15.85546875" style="1" customWidth="1"/>
    <col min="7" max="7" width="16" style="1" customWidth="1"/>
    <col min="8" max="8" width="23.28515625" style="1" customWidth="1"/>
    <col min="9" max="9" width="13.28515625" style="1" customWidth="1"/>
    <col min="10" max="10" width="15.140625" style="1" customWidth="1"/>
    <col min="11" max="11" width="22" style="1" customWidth="1"/>
    <col min="12" max="12" width="23.28515625" style="1" customWidth="1"/>
    <col min="13" max="13" width="27.5703125" style="1" customWidth="1"/>
    <col min="14" max="34" width="10.7109375" style="1" customWidth="1"/>
    <col min="35" max="16384" width="10.7109375" style="1"/>
  </cols>
  <sheetData>
    <row r="1" spans="1:13" x14ac:dyDescent="0.2">
      <c r="A1" s="221" t="s">
        <v>15</v>
      </c>
      <c r="B1" s="222"/>
      <c r="C1" s="222"/>
    </row>
    <row r="2" spans="1:13" x14ac:dyDescent="0.2">
      <c r="A2" s="223"/>
      <c r="B2" s="222"/>
      <c r="C2" s="222"/>
    </row>
    <row r="3" spans="1:13" x14ac:dyDescent="0.2">
      <c r="A3" s="223"/>
      <c r="B3" s="222"/>
      <c r="C3" s="222"/>
    </row>
    <row r="4" spans="1:13" x14ac:dyDescent="0.2">
      <c r="A4" s="223"/>
      <c r="B4" s="222"/>
      <c r="C4" s="222"/>
    </row>
    <row r="6" spans="1:13" s="10" customFormat="1" ht="19" customHeight="1" x14ac:dyDescent="0.2">
      <c r="A6" s="15" t="s">
        <v>16</v>
      </c>
      <c r="B6" s="16" t="s">
        <v>17</v>
      </c>
      <c r="C6" s="17" t="s">
        <v>18</v>
      </c>
      <c r="D6" s="17" t="s">
        <v>19</v>
      </c>
      <c r="E6" s="18" t="s">
        <v>20</v>
      </c>
      <c r="F6" s="19" t="s">
        <v>21</v>
      </c>
      <c r="G6" s="19" t="s">
        <v>22</v>
      </c>
      <c r="H6" s="20" t="s">
        <v>23</v>
      </c>
      <c r="I6" s="21" t="s">
        <v>24</v>
      </c>
      <c r="J6" s="21" t="s">
        <v>25</v>
      </c>
      <c r="K6" s="22" t="s">
        <v>26</v>
      </c>
      <c r="L6" s="23" t="s">
        <v>27</v>
      </c>
      <c r="M6" s="24" t="s">
        <v>28</v>
      </c>
    </row>
    <row r="7" spans="1:13" s="10" customFormat="1" x14ac:dyDescent="0.2">
      <c r="A7" s="25" cm="1">
        <f t="array" aca="1" ref="A7:M47" ca="1">_xlfn._xlws.FILTER(TRANSACTIONS, (RECEIVED_CURRENCY=A1) + (SENT_CURRENCY=A1))</f>
        <v>45407.974999999999</v>
      </c>
      <c r="B7" s="10" t="str">
        <f ca="1"/>
        <v>TRANSFER</v>
      </c>
      <c r="C7" s="10">
        <f ca="1"/>
        <v>81569.460613639996</v>
      </c>
      <c r="D7" s="10" t="str">
        <f ca="1"/>
        <v>HBAR</v>
      </c>
      <c r="E7" s="10">
        <f ca="1"/>
        <v>0.11945034240389102</v>
      </c>
      <c r="F7" s="10">
        <f ca="1"/>
        <v>9743.5</v>
      </c>
      <c r="G7" s="10">
        <f ca="1"/>
        <v>81569.462261559995</v>
      </c>
      <c r="H7" s="10" t="str">
        <f ca="1"/>
        <v>HBAR</v>
      </c>
      <c r="I7" s="10">
        <f ca="1"/>
        <v>9739.1</v>
      </c>
      <c r="J7" s="10">
        <f ca="1"/>
        <v>1.7231200000000001E-3</v>
      </c>
      <c r="K7" s="10" t="str">
        <f ca="1"/>
        <v>HBAR</v>
      </c>
      <c r="L7" s="10">
        <f ca="1"/>
        <v>0</v>
      </c>
      <c r="M7" s="10">
        <f ca="1"/>
        <v>0</v>
      </c>
    </row>
    <row r="8" spans="1:13" s="10" customFormat="1" x14ac:dyDescent="0.2">
      <c r="A8" s="25">
        <f ca="1"/>
        <v>45327.971851851849</v>
      </c>
      <c r="B8" s="10" t="str">
        <f ca="1"/>
        <v>BUY</v>
      </c>
      <c r="C8" s="10">
        <f ca="1"/>
        <v>10.87677555</v>
      </c>
      <c r="D8" s="10" t="str">
        <f ca="1"/>
        <v>HBAR</v>
      </c>
      <c r="E8" s="10">
        <f ca="1"/>
        <v>6.8034869028808814E-2</v>
      </c>
      <c r="F8" s="10">
        <f ca="1"/>
        <v>0.74</v>
      </c>
      <c r="G8" s="10">
        <f ca="1"/>
        <v>0</v>
      </c>
      <c r="H8" s="10">
        <f ca="1"/>
        <v>0</v>
      </c>
      <c r="I8" s="10">
        <f ca="1"/>
        <v>0</v>
      </c>
      <c r="J8" s="10">
        <f ca="1"/>
        <v>1.4769900000000001E-3</v>
      </c>
      <c r="K8" s="10" t="str">
        <f ca="1"/>
        <v>HBAR</v>
      </c>
      <c r="L8" s="10">
        <f ca="1"/>
        <v>0</v>
      </c>
      <c r="M8" s="10">
        <f ca="1"/>
        <v>0</v>
      </c>
    </row>
    <row r="9" spans="1:13" s="10" customFormat="1" x14ac:dyDescent="0.2">
      <c r="A9" s="25">
        <f ca="1"/>
        <v>45320.480104166672</v>
      </c>
      <c r="B9" s="10" t="str">
        <f ca="1"/>
        <v>BUY</v>
      </c>
      <c r="C9" s="10">
        <f ca="1"/>
        <v>72.684001640000005</v>
      </c>
      <c r="D9" s="10" t="str">
        <f ca="1"/>
        <v>HBAR</v>
      </c>
      <c r="E9" s="10">
        <f ca="1"/>
        <v>7.333113036895253E-2</v>
      </c>
      <c r="F9" s="10">
        <f ca="1"/>
        <v>5.33</v>
      </c>
      <c r="G9" s="10">
        <f ca="1"/>
        <v>0</v>
      </c>
      <c r="H9" s="10">
        <f ca="1"/>
        <v>0</v>
      </c>
      <c r="I9" s="10">
        <f ca="1"/>
        <v>0</v>
      </c>
      <c r="J9" s="10">
        <f ca="1"/>
        <v>1.38708E-3</v>
      </c>
      <c r="K9" s="10" t="str">
        <f ca="1"/>
        <v>HBAR</v>
      </c>
      <c r="L9" s="10">
        <f ca="1"/>
        <v>0</v>
      </c>
      <c r="M9" s="10">
        <f ca="1"/>
        <v>0</v>
      </c>
    </row>
    <row r="10" spans="1:13" s="10" customFormat="1" x14ac:dyDescent="0.2">
      <c r="A10" s="25">
        <f ca="1"/>
        <v>45281.831469907411</v>
      </c>
      <c r="B10" s="10" t="str">
        <f ca="1"/>
        <v>BUY</v>
      </c>
      <c r="C10" s="10">
        <f ca="1"/>
        <v>34.129637819999999</v>
      </c>
      <c r="D10" s="10" t="str">
        <f ca="1"/>
        <v>HBAR</v>
      </c>
      <c r="E10" s="10">
        <f ca="1"/>
        <v>8.7021140267113453E-2</v>
      </c>
      <c r="F10" s="10">
        <f ca="1"/>
        <v>2.97</v>
      </c>
      <c r="G10" s="10">
        <f ca="1"/>
        <v>0</v>
      </c>
      <c r="H10" s="10">
        <f ca="1"/>
        <v>0</v>
      </c>
      <c r="I10" s="10">
        <f ca="1"/>
        <v>0</v>
      </c>
      <c r="J10" s="10">
        <f ca="1"/>
        <v>1.12359E-3</v>
      </c>
      <c r="K10" s="10" t="str">
        <f ca="1"/>
        <v>HBAR</v>
      </c>
      <c r="L10" s="10">
        <f ca="1"/>
        <v>0</v>
      </c>
      <c r="M10" s="10">
        <f ca="1"/>
        <v>0</v>
      </c>
    </row>
    <row r="11" spans="1:13" s="10" customFormat="1" x14ac:dyDescent="0.2">
      <c r="A11" s="25">
        <f ca="1"/>
        <v>45266.919039351851</v>
      </c>
      <c r="B11" s="10" t="str">
        <f ca="1"/>
        <v>BUY</v>
      </c>
      <c r="C11" s="10">
        <f ca="1"/>
        <v>48.302981090000003</v>
      </c>
      <c r="D11" s="10" t="str">
        <f ca="1"/>
        <v>HBAR</v>
      </c>
      <c r="E11" s="10">
        <f ca="1"/>
        <v>6.583444599568089E-2</v>
      </c>
      <c r="F11" s="10">
        <f ca="1"/>
        <v>3.18</v>
      </c>
      <c r="G11" s="10">
        <f ca="1"/>
        <v>0</v>
      </c>
      <c r="H11" s="10">
        <f ca="1"/>
        <v>0</v>
      </c>
      <c r="I11" s="10">
        <f ca="1"/>
        <v>0</v>
      </c>
      <c r="J11" s="10">
        <f ca="1"/>
        <v>1.4703800000000001E-3</v>
      </c>
      <c r="K11" s="10" t="str">
        <f ca="1"/>
        <v>HBAR</v>
      </c>
      <c r="L11" s="10">
        <f ca="1"/>
        <v>0</v>
      </c>
      <c r="M11" s="10">
        <f ca="1"/>
        <v>0</v>
      </c>
    </row>
    <row r="12" spans="1:13" s="10" customFormat="1" x14ac:dyDescent="0.2">
      <c r="A12" s="25">
        <f ca="1"/>
        <v>45247.933171296303</v>
      </c>
      <c r="B12" s="10" t="str">
        <f ca="1"/>
        <v>BUY</v>
      </c>
      <c r="C12" s="10">
        <f ca="1"/>
        <v>10.96719865</v>
      </c>
      <c r="D12" s="10" t="str">
        <f ca="1"/>
        <v>HBAR</v>
      </c>
      <c r="E12" s="10">
        <f ca="1"/>
        <v>6.109126144076911E-2</v>
      </c>
      <c r="F12" s="10">
        <f ca="1"/>
        <v>0.67</v>
      </c>
      <c r="G12" s="10">
        <f ca="1"/>
        <v>0</v>
      </c>
      <c r="H12" s="10">
        <f ca="1"/>
        <v>0</v>
      </c>
      <c r="I12" s="10">
        <f ca="1"/>
        <v>0</v>
      </c>
      <c r="J12" s="10">
        <f ca="1"/>
        <v>1.6597999999999999E-3</v>
      </c>
      <c r="K12" s="10" t="str">
        <f ca="1"/>
        <v>HBAR</v>
      </c>
      <c r="L12" s="10">
        <f ca="1"/>
        <v>0</v>
      </c>
      <c r="M12" s="10">
        <f ca="1"/>
        <v>0</v>
      </c>
    </row>
    <row r="13" spans="1:13" s="10" customFormat="1" x14ac:dyDescent="0.2">
      <c r="A13" s="25">
        <f ca="1"/>
        <v>45243.922037037039</v>
      </c>
      <c r="B13" s="10" t="str">
        <f ca="1"/>
        <v>BUY</v>
      </c>
      <c r="C13" s="10">
        <f ca="1"/>
        <v>55.782606919999999</v>
      </c>
      <c r="D13" s="10" t="str">
        <f ca="1"/>
        <v>HBAR</v>
      </c>
      <c r="E13" s="10">
        <f ca="1"/>
        <v>6.2205769711990364E-2</v>
      </c>
      <c r="F13" s="10">
        <f ca="1"/>
        <v>3.47</v>
      </c>
      <c r="G13" s="10">
        <f ca="1"/>
        <v>0</v>
      </c>
      <c r="H13" s="10">
        <f ca="1"/>
        <v>0</v>
      </c>
      <c r="I13" s="10">
        <f ca="1"/>
        <v>0</v>
      </c>
      <c r="J13" s="10">
        <f ca="1"/>
        <v>1.68936E-3</v>
      </c>
      <c r="K13" s="10" t="str">
        <f ca="1"/>
        <v>HBAR</v>
      </c>
      <c r="L13" s="10">
        <f ca="1"/>
        <v>0</v>
      </c>
      <c r="M13" s="10">
        <f ca="1"/>
        <v>0</v>
      </c>
    </row>
    <row r="14" spans="1:13" s="10" customFormat="1" x14ac:dyDescent="0.2">
      <c r="A14" s="25">
        <f ca="1"/>
        <v>45224.691180555557</v>
      </c>
      <c r="B14" s="10" t="str">
        <f ca="1"/>
        <v>BUY</v>
      </c>
      <c r="C14" s="10">
        <f ca="1"/>
        <v>15.683454920000001</v>
      </c>
      <c r="D14" s="10" t="str">
        <f ca="1"/>
        <v>HBAR</v>
      </c>
      <c r="E14" s="10">
        <f ca="1"/>
        <v>5.1646783449931323E-2</v>
      </c>
      <c r="F14" s="10">
        <f ca="1"/>
        <v>0.81</v>
      </c>
      <c r="G14" s="10">
        <f ca="1"/>
        <v>0</v>
      </c>
      <c r="H14" s="10">
        <f ca="1"/>
        <v>0</v>
      </c>
      <c r="I14" s="10">
        <f ca="1"/>
        <v>0</v>
      </c>
      <c r="J14" s="10">
        <f ca="1"/>
        <v>1.9652900000000002E-3</v>
      </c>
      <c r="K14" s="10" t="str">
        <f ca="1"/>
        <v>HBAR</v>
      </c>
      <c r="L14" s="10">
        <f ca="1"/>
        <v>0</v>
      </c>
      <c r="M14" s="10">
        <f ca="1"/>
        <v>0</v>
      </c>
    </row>
    <row r="15" spans="1:13" s="10" customFormat="1" x14ac:dyDescent="0.2">
      <c r="A15" s="25">
        <f ca="1"/>
        <v>45219.758831018517</v>
      </c>
      <c r="B15" s="10" t="str">
        <f ca="1"/>
        <v>BUY</v>
      </c>
      <c r="C15" s="10">
        <f ca="1"/>
        <v>297.4689965</v>
      </c>
      <c r="D15" s="10" t="str">
        <f ca="1"/>
        <v>HBAR</v>
      </c>
      <c r="E15" s="10">
        <f ca="1"/>
        <v>4.5819901100180707E-2</v>
      </c>
      <c r="F15" s="10">
        <f ca="1"/>
        <v>13.63</v>
      </c>
      <c r="G15" s="10">
        <f ca="1"/>
        <v>0</v>
      </c>
      <c r="H15" s="10">
        <f ca="1"/>
        <v>0</v>
      </c>
      <c r="I15" s="10">
        <f ca="1"/>
        <v>0</v>
      </c>
      <c r="J15" s="10">
        <f ca="1"/>
        <v>2.1617400000000001E-3</v>
      </c>
      <c r="K15" s="10" t="str">
        <f ca="1"/>
        <v>HBAR</v>
      </c>
      <c r="L15" s="10">
        <f ca="1"/>
        <v>0</v>
      </c>
      <c r="M15" s="10">
        <f ca="1"/>
        <v>0</v>
      </c>
    </row>
    <row r="16" spans="1:13" s="10" customFormat="1" x14ac:dyDescent="0.2">
      <c r="A16" s="25">
        <f ca="1"/>
        <v>45146.037858796299</v>
      </c>
      <c r="B16" s="10" t="str">
        <f ca="1"/>
        <v>TRANSFER</v>
      </c>
      <c r="C16" s="10">
        <f ca="1"/>
        <v>43801.362979999998</v>
      </c>
      <c r="D16" s="10" t="str">
        <f ca="1"/>
        <v>HBAR</v>
      </c>
      <c r="E16" s="10" t="str">
        <f ca="1"/>
        <v/>
      </c>
      <c r="F16" s="10">
        <f ca="1"/>
        <v>0</v>
      </c>
      <c r="G16" s="10">
        <f ca="1"/>
        <v>43801.36297917</v>
      </c>
      <c r="H16" s="10" t="str">
        <f ca="1"/>
        <v>HBAR</v>
      </c>
      <c r="I16" s="10">
        <f ca="1"/>
        <v>0</v>
      </c>
      <c r="J16" s="10">
        <f ca="1"/>
        <v>1.80624E-3</v>
      </c>
      <c r="K16" s="10" t="str">
        <f ca="1"/>
        <v>HBAR</v>
      </c>
      <c r="L16" s="10">
        <f ca="1"/>
        <v>0</v>
      </c>
      <c r="M16" s="10">
        <f ca="1"/>
        <v>0</v>
      </c>
    </row>
    <row r="17" spans="1:13" s="10" customFormat="1" x14ac:dyDescent="0.2">
      <c r="A17" s="25">
        <f ca="1"/>
        <v>45146.036030092589</v>
      </c>
      <c r="B17" s="10" t="str">
        <f ca="1"/>
        <v>BUY</v>
      </c>
      <c r="C17" s="10">
        <f ca="1"/>
        <v>470.261323</v>
      </c>
      <c r="D17" s="10" t="str">
        <f ca="1"/>
        <v>HBAR</v>
      </c>
      <c r="E17" s="10">
        <f ca="1"/>
        <v>5.6457970710042854E-2</v>
      </c>
      <c r="F17" s="10">
        <f ca="1"/>
        <v>26.55</v>
      </c>
      <c r="G17" s="10">
        <f ca="1"/>
        <v>0</v>
      </c>
      <c r="H17" s="10">
        <f ca="1"/>
        <v>0</v>
      </c>
      <c r="I17" s="10">
        <f ca="1"/>
        <v>0</v>
      </c>
      <c r="J17" s="10">
        <f ca="1"/>
        <v>1.80624E-3</v>
      </c>
      <c r="K17" s="10" t="str">
        <f ca="1"/>
        <v>HBAR</v>
      </c>
      <c r="L17" s="10">
        <f ca="1"/>
        <v>0</v>
      </c>
      <c r="M17" s="10">
        <f ca="1"/>
        <v>0</v>
      </c>
    </row>
    <row r="18" spans="1:13" s="10" customFormat="1" x14ac:dyDescent="0.2">
      <c r="A18" s="25">
        <f ca="1"/>
        <v>45146.03597222222</v>
      </c>
      <c r="B18" s="10" t="str">
        <f ca="1"/>
        <v>SELL</v>
      </c>
      <c r="C18" s="10">
        <f ca="1"/>
        <v>0</v>
      </c>
      <c r="D18" s="10" t="str">
        <f ca="1"/>
        <v>USD</v>
      </c>
      <c r="E18" s="10" t="str">
        <f ca="1"/>
        <v/>
      </c>
      <c r="F18" s="10">
        <f ca="1"/>
        <v>0</v>
      </c>
      <c r="G18" s="10">
        <f ca="1"/>
        <v>84.666836000000004</v>
      </c>
      <c r="H18" s="10" t="str">
        <f ca="1"/>
        <v>HBAR</v>
      </c>
      <c r="I18" s="10">
        <f ca="1"/>
        <v>4.9800000000000004</v>
      </c>
      <c r="J18" s="10">
        <f ca="1"/>
        <v>1</v>
      </c>
      <c r="K18" s="10" t="str">
        <f ca="1"/>
        <v>HBAR</v>
      </c>
      <c r="L18" s="10">
        <f ca="1"/>
        <v>0.06</v>
      </c>
      <c r="M18" s="10">
        <f ca="1"/>
        <v>0.01</v>
      </c>
    </row>
    <row r="19" spans="1:13" s="10" customFormat="1" x14ac:dyDescent="0.2">
      <c r="A19" s="25">
        <f ca="1"/>
        <v>45146.032858796287</v>
      </c>
      <c r="B19" s="10" t="str">
        <f ca="1"/>
        <v>TRADE</v>
      </c>
      <c r="C19" s="10">
        <f ca="1"/>
        <v>43834.383661319996</v>
      </c>
      <c r="D19" s="10" t="str">
        <f ca="1"/>
        <v>HBAR</v>
      </c>
      <c r="E19" s="10">
        <f ca="1"/>
        <v>5.8489929271262703E-2</v>
      </c>
      <c r="F19" s="10">
        <f ca="1"/>
        <v>2563.87</v>
      </c>
      <c r="G19" s="10">
        <f ca="1"/>
        <v>1.44312946</v>
      </c>
      <c r="H19" s="10" t="str">
        <f ca="1"/>
        <v>ETH</v>
      </c>
      <c r="I19" s="10">
        <f ca="1"/>
        <v>2055.84</v>
      </c>
      <c r="J19" s="10">
        <f ca="1"/>
        <v>0</v>
      </c>
      <c r="K19" s="10">
        <f ca="1"/>
        <v>0</v>
      </c>
      <c r="L19" s="10">
        <f ca="1"/>
        <v>0</v>
      </c>
      <c r="M19" s="10">
        <f ca="1"/>
        <v>508.03</v>
      </c>
    </row>
    <row r="20" spans="1:13" s="10" customFormat="1" x14ac:dyDescent="0.2">
      <c r="A20" s="25">
        <f ca="1"/>
        <v>45146.030590277784</v>
      </c>
      <c r="B20" s="10" t="str">
        <f ca="1"/>
        <v>BUY</v>
      </c>
      <c r="C20" s="10">
        <f ca="1"/>
        <v>53.646153849999997</v>
      </c>
      <c r="D20" s="10" t="str">
        <f ca="1"/>
        <v>HBAR</v>
      </c>
      <c r="E20" s="10">
        <f ca="1"/>
        <v>5.9090909086672576E-2</v>
      </c>
      <c r="F20" s="10">
        <f ca="1"/>
        <v>3.17</v>
      </c>
      <c r="G20" s="10">
        <f ca="1"/>
        <v>3.17</v>
      </c>
      <c r="H20" s="10" t="str">
        <f ca="1"/>
        <v>USD</v>
      </c>
      <c r="I20" s="10">
        <f ca="1"/>
        <v>0</v>
      </c>
      <c r="J20" s="10">
        <f ca="1"/>
        <v>0</v>
      </c>
      <c r="K20" s="10">
        <f ca="1"/>
        <v>0</v>
      </c>
      <c r="L20" s="10">
        <f ca="1"/>
        <v>0</v>
      </c>
      <c r="M20" s="10">
        <f ca="1"/>
        <v>0</v>
      </c>
    </row>
    <row r="21" spans="1:13" s="10" customFormat="1" x14ac:dyDescent="0.2">
      <c r="A21" s="25">
        <f ca="1"/>
        <v>45087.117835648147</v>
      </c>
      <c r="B21" s="10" t="str">
        <f ca="1"/>
        <v>BUY</v>
      </c>
      <c r="C21" s="10">
        <f ca="1"/>
        <v>130.24433859999999</v>
      </c>
      <c r="D21" s="10" t="str">
        <f ca="1"/>
        <v>HBAR</v>
      </c>
      <c r="E21" s="10">
        <f ca="1"/>
        <v>4.8447403302334401E-2</v>
      </c>
      <c r="F21" s="10">
        <f ca="1"/>
        <v>6.31</v>
      </c>
      <c r="G21" s="10">
        <f ca="1"/>
        <v>0</v>
      </c>
      <c r="H21" s="10">
        <f ca="1"/>
        <v>0</v>
      </c>
      <c r="I21" s="10">
        <f ca="1"/>
        <v>0</v>
      </c>
      <c r="J21" s="10">
        <f ca="1"/>
        <v>2.1522300000000002E-3</v>
      </c>
      <c r="K21" s="10" t="str">
        <f ca="1"/>
        <v>HBAR</v>
      </c>
      <c r="L21" s="10">
        <f ca="1"/>
        <v>0</v>
      </c>
      <c r="M21" s="10">
        <f ca="1"/>
        <v>0</v>
      </c>
    </row>
    <row r="22" spans="1:13" s="10" customFormat="1" x14ac:dyDescent="0.2">
      <c r="A22" s="25">
        <f ca="1"/>
        <v>45067.315312500003</v>
      </c>
      <c r="B22" s="10" t="str">
        <f ca="1"/>
        <v>BUY</v>
      </c>
      <c r="C22" s="10">
        <f ca="1"/>
        <v>58.46972882</v>
      </c>
      <c r="D22" s="10" t="str">
        <f ca="1"/>
        <v>HBAR</v>
      </c>
      <c r="E22" s="10">
        <f ca="1"/>
        <v>5.3018887936754418E-2</v>
      </c>
      <c r="F22" s="10">
        <f ca="1"/>
        <v>3.1</v>
      </c>
      <c r="G22" s="10">
        <f ca="1"/>
        <v>0</v>
      </c>
      <c r="H22" s="10">
        <f ca="1"/>
        <v>0</v>
      </c>
      <c r="I22" s="10">
        <f ca="1"/>
        <v>0</v>
      </c>
      <c r="J22" s="10">
        <f ca="1"/>
        <v>1.92783E-3</v>
      </c>
      <c r="K22" s="10" t="str">
        <f ca="1"/>
        <v>HBAR</v>
      </c>
      <c r="L22" s="10">
        <f ca="1"/>
        <v>0</v>
      </c>
      <c r="M22" s="10">
        <f ca="1"/>
        <v>0</v>
      </c>
    </row>
    <row r="23" spans="1:13" s="10" customFormat="1" x14ac:dyDescent="0.2">
      <c r="A23" s="25">
        <f ca="1"/>
        <v>45058.339050925933</v>
      </c>
      <c r="B23" s="10" t="str">
        <f ca="1"/>
        <v>BUY</v>
      </c>
      <c r="C23" s="10">
        <f ca="1"/>
        <v>283.87965309999998</v>
      </c>
      <c r="D23" s="10" t="str">
        <f ca="1"/>
        <v>HBAR</v>
      </c>
      <c r="E23" s="10">
        <f ca="1"/>
        <v>5.1395018419514903E-2</v>
      </c>
      <c r="F23" s="10">
        <f ca="1"/>
        <v>14.59</v>
      </c>
      <c r="G23" s="10">
        <f ca="1"/>
        <v>0</v>
      </c>
      <c r="H23" s="10">
        <f ca="1"/>
        <v>0</v>
      </c>
      <c r="I23" s="10">
        <f ca="1"/>
        <v>0</v>
      </c>
      <c r="J23" s="10">
        <f ca="1"/>
        <v>2.0073999999999999E-3</v>
      </c>
      <c r="K23" s="10" t="str">
        <f ca="1"/>
        <v>HBAR</v>
      </c>
      <c r="L23" s="10">
        <f ca="1"/>
        <v>0</v>
      </c>
      <c r="M23" s="10">
        <f ca="1"/>
        <v>0</v>
      </c>
    </row>
    <row r="24" spans="1:13" s="10" customFormat="1" x14ac:dyDescent="0.2">
      <c r="A24" s="25">
        <f ca="1"/>
        <v>45014.812800925924</v>
      </c>
      <c r="B24" s="10" t="str">
        <f ca="1"/>
        <v>BUY</v>
      </c>
      <c r="C24" s="10">
        <f ca="1"/>
        <v>6.4506019400000003</v>
      </c>
      <c r="D24" s="10" t="str">
        <f ca="1"/>
        <v>HBAR</v>
      </c>
      <c r="E24" s="10">
        <f ca="1"/>
        <v>5.8909231035266761E-2</v>
      </c>
      <c r="F24" s="10">
        <f ca="1"/>
        <v>0.38</v>
      </c>
      <c r="G24" s="10">
        <f ca="1"/>
        <v>0</v>
      </c>
      <c r="H24" s="10">
        <f ca="1"/>
        <v>0</v>
      </c>
      <c r="I24" s="10">
        <f ca="1"/>
        <v>0</v>
      </c>
      <c r="J24" s="10">
        <f ca="1"/>
        <v>1.6043400000000001E-3</v>
      </c>
      <c r="K24" s="10" t="str">
        <f ca="1"/>
        <v>HBAR</v>
      </c>
      <c r="L24" s="10">
        <f ca="1"/>
        <v>0</v>
      </c>
      <c r="M24" s="10">
        <f ca="1"/>
        <v>0</v>
      </c>
    </row>
    <row r="25" spans="1:13" s="10" customFormat="1" x14ac:dyDescent="0.2">
      <c r="A25" s="25">
        <f ca="1"/>
        <v>45012.952685185177</v>
      </c>
      <c r="B25" s="10" t="str">
        <f ca="1"/>
        <v>TRANSFER</v>
      </c>
      <c r="C25" s="10">
        <f ca="1"/>
        <v>36189.670160000001</v>
      </c>
      <c r="D25" s="10" t="str">
        <f ca="1"/>
        <v>HBAR</v>
      </c>
      <c r="E25" s="10" t="str">
        <f ca="1"/>
        <v/>
      </c>
      <c r="F25" s="10">
        <f ca="1"/>
        <v>0</v>
      </c>
      <c r="G25" s="10">
        <f ca="1"/>
        <v>36189.670155619999</v>
      </c>
      <c r="H25" s="10" t="str">
        <f ca="1"/>
        <v>HBAR</v>
      </c>
      <c r="I25" s="10">
        <f ca="1"/>
        <v>0</v>
      </c>
      <c r="J25" s="10">
        <f ca="1"/>
        <v>1.7383399999999999E-3</v>
      </c>
      <c r="K25" s="10" t="str">
        <f ca="1"/>
        <v>HBAR</v>
      </c>
      <c r="L25" s="10">
        <f ca="1"/>
        <v>0</v>
      </c>
      <c r="M25" s="10">
        <f ca="1"/>
        <v>0</v>
      </c>
    </row>
    <row r="26" spans="1:13" s="10" customFormat="1" x14ac:dyDescent="0.2">
      <c r="A26" s="25">
        <f ca="1"/>
        <v>45012.951249999998</v>
      </c>
      <c r="B26" s="10" t="str">
        <f ca="1"/>
        <v>TRANSFER</v>
      </c>
      <c r="C26" s="10">
        <f ca="1"/>
        <v>33.938571189999998</v>
      </c>
      <c r="D26" s="10" t="str">
        <f ca="1"/>
        <v>HBAR</v>
      </c>
      <c r="E26" s="10" t="str">
        <f ca="1"/>
        <v/>
      </c>
      <c r="F26" s="10">
        <f ca="1"/>
        <v>0</v>
      </c>
      <c r="G26" s="10">
        <f ca="1"/>
        <v>33.938571189999998</v>
      </c>
      <c r="H26" s="10" t="str">
        <f ca="1"/>
        <v>HBAR</v>
      </c>
      <c r="I26" s="10">
        <f ca="1"/>
        <v>0</v>
      </c>
      <c r="J26" s="10">
        <f ca="1"/>
        <v>1.7383399999999999E-3</v>
      </c>
      <c r="K26" s="10" t="str">
        <f ca="1"/>
        <v>HBAR</v>
      </c>
      <c r="L26" s="10">
        <f ca="1"/>
        <v>0</v>
      </c>
      <c r="M26" s="10">
        <f ca="1"/>
        <v>0</v>
      </c>
    </row>
    <row r="27" spans="1:13" s="10" customFormat="1" x14ac:dyDescent="0.2">
      <c r="A27" s="25">
        <f ca="1"/>
        <v>45005.719236111108</v>
      </c>
      <c r="B27" s="10" t="str">
        <f ca="1"/>
        <v>BUY</v>
      </c>
      <c r="C27" s="10">
        <f ca="1"/>
        <v>317.43499760999998</v>
      </c>
      <c r="D27" s="10" t="str">
        <f ca="1"/>
        <v>HBAR</v>
      </c>
      <c r="E27" s="10">
        <f ca="1"/>
        <v>6.3005025125087058E-2</v>
      </c>
      <c r="F27" s="10">
        <f ca="1"/>
        <v>20</v>
      </c>
      <c r="G27" s="10">
        <f ca="1"/>
        <v>20</v>
      </c>
      <c r="H27" s="10" t="str">
        <f ca="1"/>
        <v>USD</v>
      </c>
      <c r="I27" s="10">
        <f ca="1"/>
        <v>0</v>
      </c>
      <c r="J27" s="10">
        <f ca="1"/>
        <v>0</v>
      </c>
      <c r="K27" s="10">
        <f ca="1"/>
        <v>0</v>
      </c>
      <c r="L27" s="10">
        <f ca="1"/>
        <v>0</v>
      </c>
      <c r="M27" s="10">
        <f ca="1"/>
        <v>0</v>
      </c>
    </row>
    <row r="28" spans="1:13" s="10" customFormat="1" x14ac:dyDescent="0.2">
      <c r="A28" s="25">
        <f ca="1"/>
        <v>44998.836458333331</v>
      </c>
      <c r="B28" s="10" t="str">
        <f ca="1"/>
        <v>BUY</v>
      </c>
      <c r="C28" s="10">
        <f ca="1"/>
        <v>309.67942733000001</v>
      </c>
      <c r="D28" s="10" t="str">
        <f ca="1"/>
        <v>HBAR</v>
      </c>
      <c r="E28" s="10">
        <f ca="1"/>
        <v>6.4582914572131514E-2</v>
      </c>
      <c r="F28" s="10">
        <f ca="1"/>
        <v>20</v>
      </c>
      <c r="G28" s="10">
        <f ca="1"/>
        <v>20</v>
      </c>
      <c r="H28" s="10" t="str">
        <f ca="1"/>
        <v>USD</v>
      </c>
      <c r="I28" s="10">
        <f ca="1"/>
        <v>0</v>
      </c>
      <c r="J28" s="10">
        <f ca="1"/>
        <v>0</v>
      </c>
      <c r="K28" s="10">
        <f ca="1"/>
        <v>0</v>
      </c>
      <c r="L28" s="10">
        <f ca="1"/>
        <v>0</v>
      </c>
      <c r="M28" s="10">
        <f ca="1"/>
        <v>0</v>
      </c>
    </row>
    <row r="29" spans="1:13" s="10" customFormat="1" x14ac:dyDescent="0.2">
      <c r="A29" s="25">
        <f ca="1"/>
        <v>44995.768275462957</v>
      </c>
      <c r="B29" s="10" t="str">
        <f ca="1"/>
        <v>BUY</v>
      </c>
      <c r="C29" s="10">
        <f ca="1"/>
        <v>10127.87723785</v>
      </c>
      <c r="D29" s="10" t="str">
        <f ca="1"/>
        <v>HBAR</v>
      </c>
      <c r="E29" s="10">
        <f ca="1"/>
        <v>5.9242424242433971E-2</v>
      </c>
      <c r="F29" s="10">
        <f ca="1"/>
        <v>600</v>
      </c>
      <c r="G29" s="10">
        <f ca="1"/>
        <v>600</v>
      </c>
      <c r="H29" s="10" t="str">
        <f ca="1"/>
        <v>USD</v>
      </c>
      <c r="I29" s="10">
        <f ca="1"/>
        <v>0</v>
      </c>
      <c r="J29" s="10">
        <f ca="1"/>
        <v>0</v>
      </c>
      <c r="K29" s="10">
        <f ca="1"/>
        <v>0</v>
      </c>
      <c r="L29" s="10">
        <f ca="1"/>
        <v>0</v>
      </c>
      <c r="M29" s="10">
        <f ca="1"/>
        <v>0</v>
      </c>
    </row>
    <row r="30" spans="1:13" s="10" customFormat="1" x14ac:dyDescent="0.2">
      <c r="A30" s="25">
        <f ca="1"/>
        <v>44991.707337962973</v>
      </c>
      <c r="B30" s="10" t="str">
        <f ca="1"/>
        <v>BUY</v>
      </c>
      <c r="C30" s="10">
        <f ca="1"/>
        <v>311.96112242999999</v>
      </c>
      <c r="D30" s="10" t="str">
        <f ca="1"/>
        <v>HBAR</v>
      </c>
      <c r="E30" s="10">
        <f ca="1"/>
        <v>6.4110552764432172E-2</v>
      </c>
      <c r="F30" s="10">
        <f ca="1"/>
        <v>20</v>
      </c>
      <c r="G30" s="10">
        <f ca="1"/>
        <v>20</v>
      </c>
      <c r="H30" s="10" t="str">
        <f ca="1"/>
        <v>USD</v>
      </c>
      <c r="I30" s="10">
        <f ca="1"/>
        <v>0</v>
      </c>
      <c r="J30" s="10">
        <f ca="1"/>
        <v>0</v>
      </c>
      <c r="K30" s="10">
        <f ca="1"/>
        <v>0</v>
      </c>
      <c r="L30" s="10">
        <f ca="1"/>
        <v>0</v>
      </c>
      <c r="M30" s="10">
        <f ca="1"/>
        <v>0</v>
      </c>
    </row>
    <row r="31" spans="1:13" s="10" customFormat="1" x14ac:dyDescent="0.2">
      <c r="A31" s="25">
        <f ca="1"/>
        <v>44987.098090277781</v>
      </c>
      <c r="B31" s="10" t="str">
        <f ca="1"/>
        <v>TRADE</v>
      </c>
      <c r="C31" s="10">
        <f ca="1"/>
        <v>15.381562000000001</v>
      </c>
      <c r="D31" s="10" t="str">
        <f ca="1"/>
        <v>ATOM</v>
      </c>
      <c r="E31" s="10">
        <f ca="1"/>
        <v>12.999329977020539</v>
      </c>
      <c r="F31" s="10">
        <f ca="1"/>
        <v>199.95</v>
      </c>
      <c r="G31" s="10">
        <f ca="1"/>
        <v>2900.6526468500001</v>
      </c>
      <c r="H31" s="10" t="str">
        <f ca="1"/>
        <v>HBAR</v>
      </c>
      <c r="I31" s="10">
        <f ca="1"/>
        <v>226.11</v>
      </c>
      <c r="J31" s="10">
        <f ca="1"/>
        <v>0</v>
      </c>
      <c r="K31" s="10">
        <f ca="1"/>
        <v>0</v>
      </c>
      <c r="L31" s="10">
        <f ca="1"/>
        <v>0</v>
      </c>
      <c r="M31" s="10">
        <f ca="1"/>
        <v>-26.16</v>
      </c>
    </row>
    <row r="32" spans="1:13" s="10" customFormat="1" x14ac:dyDescent="0.2">
      <c r="A32" s="25">
        <f ca="1"/>
        <v>44987.095312500001</v>
      </c>
      <c r="B32" s="10" t="str">
        <f ca="1"/>
        <v>TRADE</v>
      </c>
      <c r="C32" s="10">
        <f ca="1"/>
        <v>12639.46303323</v>
      </c>
      <c r="D32" s="10" t="str">
        <f ca="1"/>
        <v>HBAR</v>
      </c>
      <c r="E32" s="10">
        <f ca="1"/>
        <v>6.9024293018328603E-2</v>
      </c>
      <c r="F32" s="10">
        <f ca="1"/>
        <v>872.43</v>
      </c>
      <c r="G32" s="10">
        <f ca="1"/>
        <v>120.123239</v>
      </c>
      <c r="H32" s="10" t="str">
        <f ca="1"/>
        <v>LINK</v>
      </c>
      <c r="I32" s="10">
        <f ca="1"/>
        <v>863.24</v>
      </c>
      <c r="J32" s="10">
        <f ca="1"/>
        <v>0</v>
      </c>
      <c r="K32" s="10">
        <f ca="1"/>
        <v>0</v>
      </c>
      <c r="L32" s="10">
        <f ca="1"/>
        <v>0</v>
      </c>
      <c r="M32" s="10">
        <f ca="1"/>
        <v>9.19</v>
      </c>
    </row>
    <row r="33" spans="1:13" s="10" customFormat="1" x14ac:dyDescent="0.2">
      <c r="A33" s="25">
        <f ca="1"/>
        <v>44984.694976851853</v>
      </c>
      <c r="B33" s="10" t="str">
        <f ca="1"/>
        <v>BUY</v>
      </c>
      <c r="C33" s="10">
        <f ca="1"/>
        <v>274.33140336000002</v>
      </c>
      <c r="D33" s="10" t="str">
        <f ca="1"/>
        <v>HBAR</v>
      </c>
      <c r="E33" s="10">
        <f ca="1"/>
        <v>7.2904522614038361E-2</v>
      </c>
      <c r="F33" s="10">
        <f ca="1"/>
        <v>20</v>
      </c>
      <c r="G33" s="10">
        <f ca="1"/>
        <v>20</v>
      </c>
      <c r="H33" s="10" t="str">
        <f ca="1"/>
        <v>USD</v>
      </c>
      <c r="I33" s="10">
        <f ca="1"/>
        <v>0</v>
      </c>
      <c r="J33" s="10">
        <f ca="1"/>
        <v>0</v>
      </c>
      <c r="K33" s="10">
        <f ca="1"/>
        <v>0</v>
      </c>
      <c r="L33" s="10">
        <f ca="1"/>
        <v>0</v>
      </c>
      <c r="M33" s="10">
        <f ca="1"/>
        <v>0</v>
      </c>
    </row>
    <row r="34" spans="1:13" s="10" customFormat="1" x14ac:dyDescent="0.2">
      <c r="A34" s="25">
        <f ca="1"/>
        <v>44977.752233796287</v>
      </c>
      <c r="B34" s="10" t="str">
        <f ca="1"/>
        <v>BUY</v>
      </c>
      <c r="C34" s="10">
        <f ca="1"/>
        <v>227.92349100999999</v>
      </c>
      <c r="D34" s="10" t="str">
        <f ca="1"/>
        <v>HBAR</v>
      </c>
      <c r="E34" s="10">
        <f ca="1"/>
        <v>8.7748743718226538E-2</v>
      </c>
      <c r="F34" s="10">
        <f ca="1"/>
        <v>20</v>
      </c>
      <c r="G34" s="10">
        <f ca="1"/>
        <v>20</v>
      </c>
      <c r="H34" s="10" t="str">
        <f ca="1"/>
        <v>USD</v>
      </c>
      <c r="I34" s="10">
        <f ca="1"/>
        <v>0</v>
      </c>
      <c r="J34" s="10">
        <f ca="1"/>
        <v>0</v>
      </c>
      <c r="K34" s="10">
        <f ca="1"/>
        <v>0</v>
      </c>
      <c r="L34" s="10">
        <f ca="1"/>
        <v>0</v>
      </c>
      <c r="M34" s="10">
        <f ca="1"/>
        <v>0</v>
      </c>
    </row>
    <row r="35" spans="1:13" s="10" customFormat="1" x14ac:dyDescent="0.2">
      <c r="A35" s="25">
        <f ca="1"/>
        <v>44970.813946759263</v>
      </c>
      <c r="B35" s="10" t="str">
        <f ca="1"/>
        <v>BUY</v>
      </c>
      <c r="C35" s="10">
        <f ca="1"/>
        <v>226.59986336</v>
      </c>
      <c r="D35" s="10" t="str">
        <f ca="1"/>
        <v>HBAR</v>
      </c>
      <c r="E35" s="10">
        <f ca="1"/>
        <v>8.8261306531442735E-2</v>
      </c>
      <c r="F35" s="10">
        <f ca="1"/>
        <v>20</v>
      </c>
      <c r="G35" s="10">
        <f ca="1"/>
        <v>20</v>
      </c>
      <c r="H35" s="10" t="str">
        <f ca="1"/>
        <v>USD</v>
      </c>
      <c r="I35" s="10">
        <f ca="1"/>
        <v>0</v>
      </c>
      <c r="J35" s="10">
        <f ca="1"/>
        <v>0</v>
      </c>
      <c r="K35" s="10">
        <f ca="1"/>
        <v>0</v>
      </c>
      <c r="L35" s="10">
        <f ca="1"/>
        <v>0</v>
      </c>
      <c r="M35" s="10">
        <f ca="1"/>
        <v>0</v>
      </c>
    </row>
    <row r="36" spans="1:13" s="10" customFormat="1" x14ac:dyDescent="0.2">
      <c r="A36" s="25">
        <f ca="1"/>
        <v>44963.714803240742</v>
      </c>
      <c r="B36" s="10" t="str">
        <f ca="1"/>
        <v>BUY</v>
      </c>
      <c r="C36" s="10">
        <f ca="1"/>
        <v>264.01674599</v>
      </c>
      <c r="D36" s="10" t="str">
        <f ca="1"/>
        <v>HBAR</v>
      </c>
      <c r="E36" s="10">
        <f ca="1"/>
        <v>7.0109189212948994E-2</v>
      </c>
      <c r="F36" s="10">
        <f ca="1"/>
        <v>18.510000000000002</v>
      </c>
      <c r="G36" s="10">
        <f ca="1"/>
        <v>18.510000000000002</v>
      </c>
      <c r="H36" s="10" t="str">
        <f ca="1"/>
        <v>USD</v>
      </c>
      <c r="I36" s="10">
        <f ca="1"/>
        <v>0</v>
      </c>
      <c r="J36" s="10">
        <f ca="1"/>
        <v>1.49</v>
      </c>
      <c r="K36" s="10" t="str">
        <f ca="1"/>
        <v>USD</v>
      </c>
      <c r="L36" s="10">
        <f ca="1"/>
        <v>1.49</v>
      </c>
      <c r="M36" s="10">
        <f ca="1"/>
        <v>0</v>
      </c>
    </row>
    <row r="37" spans="1:13" s="10" customFormat="1" x14ac:dyDescent="0.2">
      <c r="A37" s="25">
        <f ca="1"/>
        <v>44956.843090277784</v>
      </c>
      <c r="B37" s="10" t="str">
        <f ca="1"/>
        <v>BUY</v>
      </c>
      <c r="C37" s="10">
        <f ca="1"/>
        <v>288.44870791</v>
      </c>
      <c r="D37" s="10" t="str">
        <f ca="1"/>
        <v>HBAR</v>
      </c>
      <c r="E37" s="10">
        <f ca="1"/>
        <v>6.4170854271170377E-2</v>
      </c>
      <c r="F37" s="10">
        <f ca="1"/>
        <v>18.510000000000002</v>
      </c>
      <c r="G37" s="10">
        <f ca="1"/>
        <v>18.510000000000002</v>
      </c>
      <c r="H37" s="10" t="str">
        <f ca="1"/>
        <v>USD</v>
      </c>
      <c r="I37" s="10">
        <f ca="1"/>
        <v>0</v>
      </c>
      <c r="J37" s="10">
        <f ca="1"/>
        <v>1.49</v>
      </c>
      <c r="K37" s="10" t="str">
        <f ca="1"/>
        <v>USD</v>
      </c>
      <c r="L37" s="10">
        <f ca="1"/>
        <v>1.49</v>
      </c>
      <c r="M37" s="10">
        <f ca="1"/>
        <v>0</v>
      </c>
    </row>
    <row r="38" spans="1:13" s="10" customFormat="1" x14ac:dyDescent="0.2">
      <c r="A38" s="25">
        <f ca="1"/>
        <v>44949.780578703707</v>
      </c>
      <c r="B38" s="10" t="str">
        <f ca="1"/>
        <v>BUY</v>
      </c>
      <c r="C38" s="10">
        <f ca="1"/>
        <v>265.38112391999999</v>
      </c>
      <c r="D38" s="10" t="str">
        <f ca="1"/>
        <v>HBAR</v>
      </c>
      <c r="E38" s="10">
        <f ca="1"/>
        <v>6.9748743718411194E-2</v>
      </c>
      <c r="F38" s="10">
        <f ca="1"/>
        <v>18.510000000000002</v>
      </c>
      <c r="G38" s="10">
        <f ca="1"/>
        <v>18.510000000000002</v>
      </c>
      <c r="H38" s="10" t="str">
        <f ca="1"/>
        <v>USD</v>
      </c>
      <c r="I38" s="10">
        <f ca="1"/>
        <v>0</v>
      </c>
      <c r="J38" s="10">
        <f ca="1"/>
        <v>1.49</v>
      </c>
      <c r="K38" s="10" t="str">
        <f ca="1"/>
        <v>USD</v>
      </c>
      <c r="L38" s="10">
        <f ca="1"/>
        <v>1.49</v>
      </c>
      <c r="M38" s="10">
        <f ca="1"/>
        <v>0</v>
      </c>
    </row>
    <row r="39" spans="1:13" s="10" customFormat="1" x14ac:dyDescent="0.2">
      <c r="A39" s="25">
        <f ca="1"/>
        <v>44946.914641203701</v>
      </c>
      <c r="B39" s="10" t="str">
        <f ca="1"/>
        <v>TRADE</v>
      </c>
      <c r="C39" s="10">
        <f ca="1"/>
        <v>0.17811527999999999</v>
      </c>
      <c r="D39" s="10" t="str">
        <f ca="1"/>
        <v>ETH</v>
      </c>
      <c r="E39" s="10">
        <f ca="1"/>
        <v>1683.2918545786752</v>
      </c>
      <c r="F39" s="10">
        <f ca="1"/>
        <v>299.82</v>
      </c>
      <c r="G39" s="10">
        <f ca="1"/>
        <v>3950.2304147499999</v>
      </c>
      <c r="H39" s="10" t="str">
        <f ca="1"/>
        <v>HBAR</v>
      </c>
      <c r="I39" s="10">
        <f ca="1"/>
        <v>300.55</v>
      </c>
      <c r="J39" s="10">
        <f ca="1"/>
        <v>0</v>
      </c>
      <c r="K39" s="10">
        <f ca="1"/>
        <v>0</v>
      </c>
      <c r="L39" s="10">
        <f ca="1"/>
        <v>0</v>
      </c>
      <c r="M39" s="10">
        <f ca="1"/>
        <v>-0.73</v>
      </c>
    </row>
    <row r="40" spans="1:13" s="10" customFormat="1" x14ac:dyDescent="0.2">
      <c r="A40" s="25">
        <f ca="1"/>
        <v>44946.913668981477</v>
      </c>
      <c r="B40" s="10" t="str">
        <f ca="1"/>
        <v>BUY</v>
      </c>
      <c r="C40" s="10">
        <f ca="1"/>
        <v>13143.4273417</v>
      </c>
      <c r="D40" s="10" t="str">
        <f ca="1"/>
        <v>HBAR</v>
      </c>
      <c r="E40" s="10">
        <f ca="1"/>
        <v>7.6083655655577107E-2</v>
      </c>
      <c r="F40" s="10">
        <f ca="1"/>
        <v>1000</v>
      </c>
      <c r="G40" s="10">
        <f ca="1"/>
        <v>1000</v>
      </c>
      <c r="H40" s="10" t="str">
        <f ca="1"/>
        <v>USD</v>
      </c>
      <c r="I40" s="10">
        <f ca="1"/>
        <v>0</v>
      </c>
      <c r="J40" s="10">
        <f ca="1"/>
        <v>0</v>
      </c>
      <c r="K40" s="10">
        <f ca="1"/>
        <v>0</v>
      </c>
      <c r="L40" s="10">
        <f ca="1"/>
        <v>0</v>
      </c>
      <c r="M40" s="10">
        <f ca="1"/>
        <v>0</v>
      </c>
    </row>
    <row r="41" spans="1:13" s="10" customFormat="1" x14ac:dyDescent="0.2">
      <c r="A41" s="25">
        <f ca="1"/>
        <v>44942.810347222221</v>
      </c>
      <c r="B41" s="10" t="str">
        <f ca="1"/>
        <v>BUY</v>
      </c>
      <c r="C41" s="10">
        <f ca="1"/>
        <v>372.58940273000002</v>
      </c>
      <c r="D41" s="10" t="str">
        <f ca="1"/>
        <v>HBAR</v>
      </c>
      <c r="E41" s="10">
        <f ca="1"/>
        <v>5.367839196031339E-2</v>
      </c>
      <c r="F41" s="10">
        <f ca="1"/>
        <v>20</v>
      </c>
      <c r="G41" s="10">
        <f ca="1"/>
        <v>20</v>
      </c>
      <c r="H41" s="10" t="str">
        <f ca="1"/>
        <v>USD</v>
      </c>
      <c r="I41" s="10">
        <f ca="1"/>
        <v>0</v>
      </c>
      <c r="J41" s="10">
        <f ca="1"/>
        <v>0</v>
      </c>
      <c r="K41" s="10">
        <f ca="1"/>
        <v>0</v>
      </c>
      <c r="L41" s="10">
        <f ca="1"/>
        <v>0</v>
      </c>
      <c r="M41" s="10">
        <f ca="1"/>
        <v>0</v>
      </c>
    </row>
    <row r="42" spans="1:13" s="10" customFormat="1" x14ac:dyDescent="0.2">
      <c r="A42" s="25">
        <f ca="1"/>
        <v>44937.765243055554</v>
      </c>
      <c r="B42" s="10" t="str">
        <f ca="1"/>
        <v>TRADE</v>
      </c>
      <c r="C42" s="10">
        <f ca="1"/>
        <v>873.76772683000002</v>
      </c>
      <c r="D42" s="10" t="str">
        <f ca="1"/>
        <v>HBAR</v>
      </c>
      <c r="E42" s="10">
        <f ca="1"/>
        <v>4.459995351554337E-2</v>
      </c>
      <c r="F42" s="10">
        <f ca="1"/>
        <v>38.97</v>
      </c>
      <c r="G42" s="10">
        <f ca="1"/>
        <v>128.04097300000001</v>
      </c>
      <c r="H42" s="10" t="str">
        <f ca="1"/>
        <v>ADA</v>
      </c>
      <c r="I42" s="10">
        <f ca="1"/>
        <v>55.65</v>
      </c>
      <c r="J42" s="10">
        <f ca="1"/>
        <v>0</v>
      </c>
      <c r="K42" s="10">
        <f ca="1"/>
        <v>0</v>
      </c>
      <c r="L42" s="10">
        <f ca="1"/>
        <v>0</v>
      </c>
      <c r="M42" s="10">
        <f ca="1"/>
        <v>-16.68</v>
      </c>
    </row>
    <row r="43" spans="1:13" s="10" customFormat="1" x14ac:dyDescent="0.2">
      <c r="A43" s="25">
        <f ca="1"/>
        <v>44937.765011574083</v>
      </c>
      <c r="B43" s="10" t="str">
        <f ca="1"/>
        <v>TRADE</v>
      </c>
      <c r="C43" s="10">
        <f ca="1"/>
        <v>655.50684043000001</v>
      </c>
      <c r="D43" s="10" t="str">
        <f ca="1"/>
        <v>HBAR</v>
      </c>
      <c r="E43" s="10">
        <f ca="1"/>
        <v>4.4591449237700823E-2</v>
      </c>
      <c r="F43" s="10">
        <f ca="1"/>
        <v>29.23</v>
      </c>
      <c r="G43" s="10">
        <f ca="1"/>
        <v>2.6812049999999998</v>
      </c>
      <c r="H43" s="10" t="str">
        <f ca="1"/>
        <v>ATOM</v>
      </c>
      <c r="I43" s="10">
        <f ca="1"/>
        <v>35.47</v>
      </c>
      <c r="J43" s="10">
        <f ca="1"/>
        <v>0</v>
      </c>
      <c r="K43" s="10">
        <f ca="1"/>
        <v>0</v>
      </c>
      <c r="L43" s="10">
        <f ca="1"/>
        <v>0</v>
      </c>
      <c r="M43" s="10">
        <f ca="1"/>
        <v>-6.24</v>
      </c>
    </row>
    <row r="44" spans="1:13" s="10" customFormat="1" x14ac:dyDescent="0.2">
      <c r="A44" s="25">
        <f ca="1"/>
        <v>44937.764467592591</v>
      </c>
      <c r="B44" s="10" t="str">
        <f ca="1"/>
        <v>TRADE</v>
      </c>
      <c r="C44" s="10">
        <f ca="1"/>
        <v>656.21331996000004</v>
      </c>
      <c r="D44" s="10" t="str">
        <f ca="1"/>
        <v>HBAR</v>
      </c>
      <c r="E44" s="10">
        <f ca="1"/>
        <v>4.4558681012117136E-2</v>
      </c>
      <c r="F44" s="10">
        <f ca="1"/>
        <v>29.24</v>
      </c>
      <c r="G44" s="10">
        <f ca="1"/>
        <v>374.7470457</v>
      </c>
      <c r="H44" s="10" t="str">
        <f ca="1"/>
        <v>XLM</v>
      </c>
      <c r="I44" s="10">
        <f ca="1"/>
        <v>32.9</v>
      </c>
      <c r="J44" s="10">
        <f ca="1"/>
        <v>0</v>
      </c>
      <c r="K44" s="10">
        <f ca="1"/>
        <v>0</v>
      </c>
      <c r="L44" s="10">
        <f ca="1"/>
        <v>0</v>
      </c>
      <c r="M44" s="10">
        <f ca="1"/>
        <v>-3.66</v>
      </c>
    </row>
    <row r="45" spans="1:13" s="10" customFormat="1" x14ac:dyDescent="0.2">
      <c r="A45" s="25">
        <f ca="1"/>
        <v>44935.668703703697</v>
      </c>
      <c r="B45" s="10" t="str">
        <f ca="1"/>
        <v>BUY</v>
      </c>
      <c r="C45" s="10">
        <f ca="1"/>
        <v>443.1084391</v>
      </c>
      <c r="D45" s="10" t="str">
        <f ca="1"/>
        <v>HBAR</v>
      </c>
      <c r="E45" s="10">
        <f ca="1"/>
        <v>4.5135678392002894E-2</v>
      </c>
      <c r="F45" s="10">
        <f ca="1"/>
        <v>20</v>
      </c>
      <c r="G45" s="10">
        <f ca="1"/>
        <v>20</v>
      </c>
      <c r="H45" s="10" t="str">
        <f ca="1"/>
        <v>USD</v>
      </c>
      <c r="I45" s="10">
        <f ca="1"/>
        <v>0</v>
      </c>
      <c r="J45" s="10">
        <f ca="1"/>
        <v>0</v>
      </c>
      <c r="K45" s="10">
        <f ca="1"/>
        <v>0</v>
      </c>
      <c r="L45" s="10">
        <f ca="1"/>
        <v>0</v>
      </c>
      <c r="M45" s="10">
        <f ca="1"/>
        <v>0</v>
      </c>
    </row>
    <row r="46" spans="1:13" s="10" customFormat="1" x14ac:dyDescent="0.2">
      <c r="A46" s="25">
        <f ca="1"/>
        <v>44867.116736111107</v>
      </c>
      <c r="B46" s="10" t="str">
        <f ca="1"/>
        <v>TRADE</v>
      </c>
      <c r="C46" s="10">
        <f ca="1"/>
        <v>839.14913694999996</v>
      </c>
      <c r="D46" s="10" t="str">
        <f ca="1"/>
        <v>HBAR</v>
      </c>
      <c r="E46" s="10">
        <f ca="1"/>
        <v>5.8070726470762654E-2</v>
      </c>
      <c r="F46" s="10">
        <f ca="1"/>
        <v>48.73</v>
      </c>
      <c r="G46" s="10">
        <f ca="1"/>
        <v>125.313283</v>
      </c>
      <c r="H46" s="10" t="str">
        <f ca="1"/>
        <v>ADA</v>
      </c>
      <c r="I46" s="10">
        <f ca="1"/>
        <v>54.46</v>
      </c>
      <c r="J46" s="10">
        <f ca="1"/>
        <v>0</v>
      </c>
      <c r="K46" s="10">
        <f ca="1"/>
        <v>0</v>
      </c>
      <c r="L46" s="10">
        <f ca="1"/>
        <v>0</v>
      </c>
      <c r="M46" s="10">
        <f ca="1"/>
        <v>-5.73</v>
      </c>
    </row>
    <row r="47" spans="1:13" s="10" customFormat="1" x14ac:dyDescent="0.2">
      <c r="A47" s="25">
        <f ca="1"/>
        <v>44867.116469907407</v>
      </c>
      <c r="B47" s="10" t="str">
        <f ca="1"/>
        <v>TRADE</v>
      </c>
      <c r="C47" s="10">
        <f ca="1"/>
        <v>839.61242671000002</v>
      </c>
      <c r="D47" s="10" t="str">
        <f ca="1"/>
        <v>HBAR</v>
      </c>
      <c r="E47" s="10">
        <f ca="1"/>
        <v>5.8050593880543733E-2</v>
      </c>
      <c r="F47" s="10">
        <f ca="1"/>
        <v>48.74</v>
      </c>
      <c r="G47" s="10">
        <f ca="1"/>
        <v>3.5898910000000002</v>
      </c>
      <c r="H47" s="10" t="str">
        <f ca="1"/>
        <v>ATOM</v>
      </c>
      <c r="I47" s="10">
        <f ca="1"/>
        <v>47.39</v>
      </c>
      <c r="J47" s="10">
        <f ca="1"/>
        <v>0</v>
      </c>
      <c r="K47" s="10">
        <f ca="1"/>
        <v>0</v>
      </c>
      <c r="L47" s="10">
        <f ca="1"/>
        <v>0</v>
      </c>
      <c r="M47" s="10">
        <f ca="1"/>
        <v>1.35</v>
      </c>
    </row>
    <row r="48" spans="1:13" s="10" customFormat="1" x14ac:dyDescent="0.2">
      <c r="A48" s="25"/>
    </row>
    <row r="49" spans="1:1" s="10" customFormat="1" x14ac:dyDescent="0.2">
      <c r="A49" s="25"/>
    </row>
    <row r="50" spans="1:1" s="10" customFormat="1" x14ac:dyDescent="0.2">
      <c r="A50" s="25"/>
    </row>
    <row r="51" spans="1:1" s="10" customFormat="1" x14ac:dyDescent="0.2">
      <c r="A51" s="25"/>
    </row>
    <row r="52" spans="1:1" s="10" customFormat="1" x14ac:dyDescent="0.2">
      <c r="A52" s="25"/>
    </row>
    <row r="53" spans="1:1" s="10" customFormat="1" x14ac:dyDescent="0.2">
      <c r="A53" s="25"/>
    </row>
    <row r="54" spans="1:1" s="10" customFormat="1" x14ac:dyDescent="0.2">
      <c r="A54" s="25"/>
    </row>
    <row r="55" spans="1:1" s="10" customFormat="1" x14ac:dyDescent="0.2">
      <c r="A55" s="25"/>
    </row>
    <row r="56" spans="1:1" s="10" customFormat="1" x14ac:dyDescent="0.2">
      <c r="A56" s="25"/>
    </row>
    <row r="57" spans="1:1" s="10" customFormat="1" x14ac:dyDescent="0.2">
      <c r="A57" s="25"/>
    </row>
    <row r="58" spans="1:1" s="10" customFormat="1" x14ac:dyDescent="0.2">
      <c r="A58" s="25"/>
    </row>
    <row r="59" spans="1:1" s="10" customFormat="1" x14ac:dyDescent="0.2">
      <c r="A59" s="25"/>
    </row>
    <row r="60" spans="1:1" s="10" customFormat="1" x14ac:dyDescent="0.2">
      <c r="A60" s="25"/>
    </row>
    <row r="61" spans="1:1" s="10" customFormat="1" x14ac:dyDescent="0.2">
      <c r="A61" s="25"/>
    </row>
    <row r="62" spans="1:1" s="10" customFormat="1" x14ac:dyDescent="0.2">
      <c r="A62" s="25"/>
    </row>
    <row r="63" spans="1:1" s="10" customFormat="1" x14ac:dyDescent="0.2">
      <c r="A63" s="25"/>
    </row>
    <row r="64" spans="1:1" s="10" customFormat="1" x14ac:dyDescent="0.2">
      <c r="A64" s="25"/>
    </row>
    <row r="65" spans="1:1" s="10" customFormat="1" x14ac:dyDescent="0.2">
      <c r="A65" s="25"/>
    </row>
    <row r="66" spans="1:1" s="10" customFormat="1" x14ac:dyDescent="0.2">
      <c r="A66" s="25"/>
    </row>
    <row r="67" spans="1:1" s="10" customFormat="1" x14ac:dyDescent="0.2">
      <c r="A67" s="25"/>
    </row>
    <row r="68" spans="1:1" s="10" customFormat="1" x14ac:dyDescent="0.2">
      <c r="A68" s="25"/>
    </row>
    <row r="69" spans="1:1" s="10" customFormat="1" x14ac:dyDescent="0.2">
      <c r="A69" s="25"/>
    </row>
    <row r="70" spans="1:1" s="10" customFormat="1" x14ac:dyDescent="0.2">
      <c r="A70" s="25"/>
    </row>
    <row r="71" spans="1:1" s="10" customFormat="1" x14ac:dyDescent="0.2">
      <c r="A71" s="25"/>
    </row>
    <row r="72" spans="1:1" s="10" customFormat="1" x14ac:dyDescent="0.2">
      <c r="A72" s="25"/>
    </row>
    <row r="73" spans="1:1" s="10" customFormat="1" x14ac:dyDescent="0.2">
      <c r="A73" s="25"/>
    </row>
    <row r="74" spans="1:1" s="10" customFormat="1" x14ac:dyDescent="0.2">
      <c r="A74" s="25"/>
    </row>
    <row r="75" spans="1:1" s="10" customFormat="1" x14ac:dyDescent="0.2">
      <c r="A75" s="25"/>
    </row>
    <row r="76" spans="1:1" s="10" customFormat="1" x14ac:dyDescent="0.2">
      <c r="A76" s="25"/>
    </row>
    <row r="77" spans="1:1" s="10" customFormat="1" x14ac:dyDescent="0.2">
      <c r="A77" s="25"/>
    </row>
    <row r="78" spans="1:1" s="10" customFormat="1" x14ac:dyDescent="0.2">
      <c r="A78" s="25"/>
    </row>
    <row r="79" spans="1:1" s="10" customFormat="1" x14ac:dyDescent="0.2">
      <c r="A79" s="25"/>
    </row>
    <row r="80" spans="1:1" s="10" customFormat="1" x14ac:dyDescent="0.2">
      <c r="A80" s="25"/>
    </row>
    <row r="81" spans="1:1" s="10" customFormat="1" x14ac:dyDescent="0.2">
      <c r="A81" s="25"/>
    </row>
    <row r="82" spans="1:1" s="10" customFormat="1" x14ac:dyDescent="0.2">
      <c r="A82" s="25"/>
    </row>
    <row r="83" spans="1:1" s="10" customFormat="1" x14ac:dyDescent="0.2">
      <c r="A83" s="25"/>
    </row>
    <row r="84" spans="1:1" s="10" customFormat="1" x14ac:dyDescent="0.2">
      <c r="A84" s="25"/>
    </row>
    <row r="85" spans="1:1" s="10" customFormat="1" x14ac:dyDescent="0.2">
      <c r="A85" s="25"/>
    </row>
    <row r="86" spans="1:1" s="10" customFormat="1" x14ac:dyDescent="0.2">
      <c r="A86" s="25"/>
    </row>
    <row r="87" spans="1:1" s="10" customFormat="1" x14ac:dyDescent="0.2">
      <c r="A87" s="25"/>
    </row>
    <row r="88" spans="1:1" s="10" customFormat="1" x14ac:dyDescent="0.2">
      <c r="A88" s="25"/>
    </row>
    <row r="89" spans="1:1" s="10" customFormat="1" x14ac:dyDescent="0.2">
      <c r="A89" s="25"/>
    </row>
    <row r="90" spans="1:1" s="10" customFormat="1" x14ac:dyDescent="0.2">
      <c r="A90" s="25"/>
    </row>
    <row r="91" spans="1:1" s="10" customFormat="1" x14ac:dyDescent="0.2">
      <c r="A91" s="25"/>
    </row>
    <row r="92" spans="1:1" s="10" customFormat="1" x14ac:dyDescent="0.2">
      <c r="A92" s="25"/>
    </row>
    <row r="93" spans="1:1" s="10" customFormat="1" x14ac:dyDescent="0.2">
      <c r="A93" s="25"/>
    </row>
    <row r="94" spans="1:1" s="10" customFormat="1" x14ac:dyDescent="0.2">
      <c r="A94" s="25"/>
    </row>
    <row r="95" spans="1:1" s="10" customFormat="1" x14ac:dyDescent="0.2">
      <c r="A95" s="25"/>
    </row>
    <row r="96" spans="1:1" s="10" customFormat="1" x14ac:dyDescent="0.2">
      <c r="A96" s="25"/>
    </row>
    <row r="97" spans="1:1" s="10" customFormat="1" x14ac:dyDescent="0.2">
      <c r="A97" s="25"/>
    </row>
    <row r="98" spans="1:1" s="10" customFormat="1" x14ac:dyDescent="0.2">
      <c r="A98" s="25"/>
    </row>
    <row r="99" spans="1:1" s="10" customFormat="1" x14ac:dyDescent="0.2">
      <c r="A99" s="25"/>
    </row>
    <row r="100" spans="1:1" s="10" customFormat="1" x14ac:dyDescent="0.2">
      <c r="A100" s="25"/>
    </row>
    <row r="101" spans="1:1" s="10" customFormat="1" x14ac:dyDescent="0.2">
      <c r="A101" s="25"/>
    </row>
    <row r="102" spans="1:1" s="10" customFormat="1" x14ac:dyDescent="0.2">
      <c r="A102" s="25"/>
    </row>
    <row r="103" spans="1:1" s="10" customFormat="1" x14ac:dyDescent="0.2">
      <c r="A103" s="25"/>
    </row>
    <row r="104" spans="1:1" s="10" customFormat="1" x14ac:dyDescent="0.2">
      <c r="A104" s="25"/>
    </row>
    <row r="105" spans="1:1" s="10" customFormat="1" x14ac:dyDescent="0.2">
      <c r="A105" s="25"/>
    </row>
    <row r="106" spans="1:1" s="10" customFormat="1" x14ac:dyDescent="0.2">
      <c r="A106" s="25"/>
    </row>
    <row r="107" spans="1:1" s="10" customFormat="1" x14ac:dyDescent="0.2">
      <c r="A107" s="25"/>
    </row>
    <row r="108" spans="1:1" s="10" customFormat="1" x14ac:dyDescent="0.2">
      <c r="A108" s="25"/>
    </row>
    <row r="109" spans="1:1" s="10" customFormat="1" x14ac:dyDescent="0.2">
      <c r="A109" s="25"/>
    </row>
    <row r="110" spans="1:1" s="10" customFormat="1" x14ac:dyDescent="0.2">
      <c r="A110" s="25"/>
    </row>
    <row r="111" spans="1:1" s="10" customFormat="1" x14ac:dyDescent="0.2">
      <c r="A111" s="25"/>
    </row>
    <row r="112" spans="1:1" s="10" customFormat="1" x14ac:dyDescent="0.2">
      <c r="A112" s="25"/>
    </row>
    <row r="113" spans="1:1" s="10" customFormat="1" x14ac:dyDescent="0.2">
      <c r="A113" s="25"/>
    </row>
    <row r="114" spans="1:1" s="10" customFormat="1" x14ac:dyDescent="0.2">
      <c r="A114" s="25"/>
    </row>
    <row r="115" spans="1:1" s="10" customFormat="1" x14ac:dyDescent="0.2">
      <c r="A115" s="25"/>
    </row>
    <row r="116" spans="1:1" s="10" customFormat="1" x14ac:dyDescent="0.2">
      <c r="A116" s="25"/>
    </row>
    <row r="117" spans="1:1" s="10" customFormat="1" x14ac:dyDescent="0.2">
      <c r="A117" s="25"/>
    </row>
    <row r="118" spans="1:1" s="10" customFormat="1" x14ac:dyDescent="0.2">
      <c r="A118" s="25"/>
    </row>
    <row r="119" spans="1:1" s="10" customFormat="1" x14ac:dyDescent="0.2">
      <c r="A119" s="25"/>
    </row>
    <row r="120" spans="1:1" s="10" customFormat="1" x14ac:dyDescent="0.2">
      <c r="A120" s="25"/>
    </row>
    <row r="121" spans="1:1" s="10" customFormat="1" x14ac:dyDescent="0.2">
      <c r="A121" s="25"/>
    </row>
    <row r="122" spans="1:1" s="10" customFormat="1" x14ac:dyDescent="0.2">
      <c r="A122" s="25"/>
    </row>
    <row r="123" spans="1:1" s="10" customFormat="1" x14ac:dyDescent="0.2">
      <c r="A123" s="25"/>
    </row>
    <row r="124" spans="1:1" s="10" customFormat="1" x14ac:dyDescent="0.2">
      <c r="A124" s="25"/>
    </row>
    <row r="125" spans="1:1" s="10" customFormat="1" x14ac:dyDescent="0.2">
      <c r="A125" s="25"/>
    </row>
    <row r="126" spans="1:1" s="10" customFormat="1" x14ac:dyDescent="0.2">
      <c r="A126" s="25"/>
    </row>
    <row r="127" spans="1:1" s="10" customFormat="1" x14ac:dyDescent="0.2">
      <c r="A127" s="25"/>
    </row>
    <row r="128" spans="1:1" s="10" customFormat="1" x14ac:dyDescent="0.2">
      <c r="A128" s="25"/>
    </row>
    <row r="129" spans="1:1" s="10" customFormat="1" x14ac:dyDescent="0.2">
      <c r="A129" s="25"/>
    </row>
    <row r="130" spans="1:1" s="10" customFormat="1" x14ac:dyDescent="0.2">
      <c r="A130" s="25"/>
    </row>
    <row r="131" spans="1:1" s="10" customFormat="1" x14ac:dyDescent="0.2">
      <c r="A131" s="25"/>
    </row>
    <row r="132" spans="1:1" s="10" customFormat="1" x14ac:dyDescent="0.2">
      <c r="A132" s="25"/>
    </row>
    <row r="133" spans="1:1" s="10" customFormat="1" x14ac:dyDescent="0.2">
      <c r="A133" s="25"/>
    </row>
    <row r="134" spans="1:1" s="10" customFormat="1" x14ac:dyDescent="0.2">
      <c r="A134" s="25"/>
    </row>
    <row r="135" spans="1:1" s="10" customFormat="1" x14ac:dyDescent="0.2">
      <c r="A135" s="25"/>
    </row>
    <row r="136" spans="1:1" s="10" customFormat="1" x14ac:dyDescent="0.2">
      <c r="A136" s="25"/>
    </row>
    <row r="137" spans="1:1" s="10" customFormat="1" x14ac:dyDescent="0.2">
      <c r="A137" s="25"/>
    </row>
    <row r="138" spans="1:1" s="10" customFormat="1" x14ac:dyDescent="0.2">
      <c r="A138" s="25"/>
    </row>
    <row r="139" spans="1:1" s="10" customFormat="1" x14ac:dyDescent="0.2">
      <c r="A139" s="25"/>
    </row>
    <row r="140" spans="1:1" s="10" customFormat="1" x14ac:dyDescent="0.2">
      <c r="A140" s="25"/>
    </row>
    <row r="141" spans="1:1" s="10" customFormat="1" x14ac:dyDescent="0.2">
      <c r="A141" s="25"/>
    </row>
    <row r="142" spans="1:1" s="10" customFormat="1" x14ac:dyDescent="0.2">
      <c r="A142" s="25"/>
    </row>
    <row r="143" spans="1:1" s="10" customFormat="1" x14ac:dyDescent="0.2">
      <c r="A143" s="25"/>
    </row>
    <row r="144" spans="1:1" s="10" customFormat="1" x14ac:dyDescent="0.2">
      <c r="A144" s="25"/>
    </row>
    <row r="145" spans="1:1" s="10" customFormat="1" x14ac:dyDescent="0.2">
      <c r="A145" s="25"/>
    </row>
    <row r="146" spans="1:1" s="10" customFormat="1" x14ac:dyDescent="0.2">
      <c r="A146" s="25"/>
    </row>
    <row r="147" spans="1:1" s="10" customFormat="1" x14ac:dyDescent="0.2">
      <c r="A147" s="25"/>
    </row>
    <row r="148" spans="1:1" s="10" customFormat="1" x14ac:dyDescent="0.2">
      <c r="A148" s="25"/>
    </row>
    <row r="149" spans="1:1" s="10" customFormat="1" x14ac:dyDescent="0.2">
      <c r="A149" s="25"/>
    </row>
    <row r="150" spans="1:1" s="10" customFormat="1" x14ac:dyDescent="0.2">
      <c r="A150" s="25"/>
    </row>
    <row r="151" spans="1:1" s="10" customFormat="1" x14ac:dyDescent="0.2">
      <c r="A151" s="25"/>
    </row>
    <row r="152" spans="1:1" s="10" customFormat="1" x14ac:dyDescent="0.2">
      <c r="A152" s="25"/>
    </row>
    <row r="153" spans="1:1" s="10" customFormat="1" x14ac:dyDescent="0.2">
      <c r="A153" s="25"/>
    </row>
    <row r="154" spans="1:1" s="10" customFormat="1" x14ac:dyDescent="0.2">
      <c r="A154" s="25"/>
    </row>
    <row r="155" spans="1:1" s="10" customFormat="1" x14ac:dyDescent="0.2">
      <c r="A155" s="25"/>
    </row>
    <row r="156" spans="1:1" s="10" customFormat="1" x14ac:dyDescent="0.2">
      <c r="A156" s="25"/>
    </row>
    <row r="157" spans="1:1" s="10" customFormat="1" x14ac:dyDescent="0.2">
      <c r="A157" s="25"/>
    </row>
    <row r="158" spans="1:1" s="10" customFormat="1" x14ac:dyDescent="0.2">
      <c r="A158" s="25"/>
    </row>
    <row r="159" spans="1:1" s="10" customFormat="1" x14ac:dyDescent="0.2">
      <c r="A159" s="25"/>
    </row>
    <row r="160" spans="1:1" s="10" customFormat="1" x14ac:dyDescent="0.2">
      <c r="A160" s="25"/>
    </row>
    <row r="161" spans="1:1" s="10" customFormat="1" x14ac:dyDescent="0.2">
      <c r="A161" s="25"/>
    </row>
    <row r="162" spans="1:1" s="10" customFormat="1" x14ac:dyDescent="0.2">
      <c r="A162" s="25"/>
    </row>
    <row r="163" spans="1:1" s="10" customFormat="1" x14ac:dyDescent="0.2">
      <c r="A163" s="25"/>
    </row>
    <row r="164" spans="1:1" s="10" customFormat="1" x14ac:dyDescent="0.2">
      <c r="A164" s="25"/>
    </row>
    <row r="165" spans="1:1" s="10" customFormat="1" x14ac:dyDescent="0.2">
      <c r="A165" s="25"/>
    </row>
    <row r="166" spans="1:1" s="10" customFormat="1" x14ac:dyDescent="0.2">
      <c r="A166" s="25"/>
    </row>
    <row r="167" spans="1:1" s="10" customFormat="1" x14ac:dyDescent="0.2">
      <c r="A167" s="25"/>
    </row>
    <row r="168" spans="1:1" s="10" customFormat="1" x14ac:dyDescent="0.2">
      <c r="A168" s="25"/>
    </row>
    <row r="169" spans="1:1" s="10" customFormat="1" x14ac:dyDescent="0.2">
      <c r="A169" s="25"/>
    </row>
    <row r="170" spans="1:1" s="10" customFormat="1" x14ac:dyDescent="0.2">
      <c r="A170" s="25"/>
    </row>
    <row r="171" spans="1:1" s="10" customFormat="1" x14ac:dyDescent="0.2">
      <c r="A171" s="25"/>
    </row>
    <row r="172" spans="1:1" s="10" customFormat="1" x14ac:dyDescent="0.2">
      <c r="A172" s="25"/>
    </row>
    <row r="173" spans="1:1" s="10" customFormat="1" x14ac:dyDescent="0.2">
      <c r="A173" s="25"/>
    </row>
    <row r="174" spans="1:1" s="10" customFormat="1" x14ac:dyDescent="0.2">
      <c r="A174" s="25"/>
    </row>
    <row r="175" spans="1:1" s="10" customFormat="1" x14ac:dyDescent="0.2">
      <c r="A175" s="25"/>
    </row>
    <row r="176" spans="1:1" s="10" customFormat="1" x14ac:dyDescent="0.2">
      <c r="A176" s="25"/>
    </row>
    <row r="177" spans="1:1" s="10" customFormat="1" x14ac:dyDescent="0.2">
      <c r="A177" s="25"/>
    </row>
    <row r="178" spans="1:1" s="10" customFormat="1" x14ac:dyDescent="0.2">
      <c r="A178" s="25"/>
    </row>
    <row r="179" spans="1:1" s="10" customFormat="1" x14ac:dyDescent="0.2">
      <c r="A179" s="25"/>
    </row>
    <row r="180" spans="1:1" s="10" customFormat="1" x14ac:dyDescent="0.2">
      <c r="A180" s="25"/>
    </row>
    <row r="181" spans="1:1" s="10" customFormat="1" x14ac:dyDescent="0.2">
      <c r="A181" s="25"/>
    </row>
    <row r="182" spans="1:1" s="10" customFormat="1" x14ac:dyDescent="0.2">
      <c r="A182" s="25"/>
    </row>
    <row r="183" spans="1:1" s="10" customFormat="1" x14ac:dyDescent="0.2">
      <c r="A183" s="25"/>
    </row>
    <row r="184" spans="1:1" s="10" customFormat="1" x14ac:dyDescent="0.2">
      <c r="A184" s="25"/>
    </row>
    <row r="185" spans="1:1" s="10" customFormat="1" x14ac:dyDescent="0.2">
      <c r="A185" s="25"/>
    </row>
    <row r="186" spans="1:1" s="10" customFormat="1" x14ac:dyDescent="0.2">
      <c r="A186" s="25"/>
    </row>
    <row r="187" spans="1:1" s="10" customFormat="1" x14ac:dyDescent="0.2">
      <c r="A187" s="25"/>
    </row>
    <row r="188" spans="1:1" s="10" customFormat="1" x14ac:dyDescent="0.2">
      <c r="A188" s="25"/>
    </row>
    <row r="189" spans="1:1" s="10" customFormat="1" x14ac:dyDescent="0.2">
      <c r="A189" s="25"/>
    </row>
    <row r="190" spans="1:1" s="10" customFormat="1" x14ac:dyDescent="0.2">
      <c r="A190" s="25"/>
    </row>
    <row r="191" spans="1:1" s="10" customFormat="1" x14ac:dyDescent="0.2">
      <c r="A191" s="25"/>
    </row>
    <row r="192" spans="1:1" s="10" customFormat="1" x14ac:dyDescent="0.2">
      <c r="A192" s="25"/>
    </row>
    <row r="193" spans="1:1" s="10" customFormat="1" x14ac:dyDescent="0.2">
      <c r="A193" s="25"/>
    </row>
    <row r="194" spans="1:1" s="10" customFormat="1" x14ac:dyDescent="0.2">
      <c r="A194" s="25"/>
    </row>
    <row r="195" spans="1:1" s="10" customFormat="1" x14ac:dyDescent="0.2">
      <c r="A195" s="25"/>
    </row>
    <row r="196" spans="1:1" s="10" customFormat="1" x14ac:dyDescent="0.2">
      <c r="A196" s="25"/>
    </row>
    <row r="197" spans="1:1" s="10" customFormat="1" x14ac:dyDescent="0.2">
      <c r="A197" s="25"/>
    </row>
    <row r="198" spans="1:1" s="10" customFormat="1" x14ac:dyDescent="0.2">
      <c r="A198" s="25"/>
    </row>
    <row r="199" spans="1:1" s="10" customFormat="1" x14ac:dyDescent="0.2">
      <c r="A199" s="25"/>
    </row>
    <row r="200" spans="1:1" s="10" customFormat="1" x14ac:dyDescent="0.2">
      <c r="A200" s="25"/>
    </row>
    <row r="201" spans="1:1" s="10" customFormat="1" x14ac:dyDescent="0.2">
      <c r="A201" s="25"/>
    </row>
    <row r="202" spans="1:1" s="10" customFormat="1" x14ac:dyDescent="0.2">
      <c r="A202" s="25"/>
    </row>
    <row r="203" spans="1:1" s="10" customFormat="1" x14ac:dyDescent="0.2">
      <c r="A203" s="25"/>
    </row>
    <row r="204" spans="1:1" s="10" customFormat="1" x14ac:dyDescent="0.2">
      <c r="A204" s="25"/>
    </row>
    <row r="205" spans="1:1" s="10" customFormat="1" x14ac:dyDescent="0.2">
      <c r="A205" s="25"/>
    </row>
    <row r="206" spans="1:1" s="10" customFormat="1" x14ac:dyDescent="0.2">
      <c r="A206" s="25"/>
    </row>
    <row r="207" spans="1:1" s="10" customFormat="1" x14ac:dyDescent="0.2">
      <c r="A207" s="25"/>
    </row>
    <row r="208" spans="1:1" s="10" customFormat="1" x14ac:dyDescent="0.2">
      <c r="A208" s="25"/>
    </row>
    <row r="209" spans="1:1" s="10" customFormat="1" x14ac:dyDescent="0.2">
      <c r="A209" s="25"/>
    </row>
    <row r="210" spans="1:1" s="10" customFormat="1" x14ac:dyDescent="0.2">
      <c r="A210" s="25"/>
    </row>
    <row r="211" spans="1:1" s="10" customFormat="1" x14ac:dyDescent="0.2">
      <c r="A211" s="25"/>
    </row>
    <row r="212" spans="1:1" s="10" customFormat="1" x14ac:dyDescent="0.2">
      <c r="A212" s="25"/>
    </row>
    <row r="213" spans="1:1" s="10" customFormat="1" x14ac:dyDescent="0.2">
      <c r="A213" s="25"/>
    </row>
    <row r="214" spans="1:1" s="10" customFormat="1" x14ac:dyDescent="0.2">
      <c r="A214" s="25"/>
    </row>
    <row r="215" spans="1:1" s="10" customFormat="1" x14ac:dyDescent="0.2">
      <c r="A215" s="25"/>
    </row>
    <row r="216" spans="1:1" s="10" customFormat="1" x14ac:dyDescent="0.2">
      <c r="A216" s="25"/>
    </row>
    <row r="217" spans="1:1" s="10" customFormat="1" x14ac:dyDescent="0.2">
      <c r="A217" s="25"/>
    </row>
    <row r="218" spans="1:1" s="10" customFormat="1" x14ac:dyDescent="0.2">
      <c r="A218" s="25"/>
    </row>
    <row r="219" spans="1:1" s="10" customFormat="1" x14ac:dyDescent="0.2">
      <c r="A219" s="25"/>
    </row>
    <row r="220" spans="1:1" s="10" customFormat="1" x14ac:dyDescent="0.2">
      <c r="A220" s="25"/>
    </row>
    <row r="221" spans="1:1" s="10" customFormat="1" x14ac:dyDescent="0.2">
      <c r="A221" s="25"/>
    </row>
    <row r="222" spans="1:1" s="10" customFormat="1" x14ac:dyDescent="0.2">
      <c r="A222" s="25"/>
    </row>
    <row r="223" spans="1:1" s="10" customFormat="1" x14ac:dyDescent="0.2">
      <c r="A223" s="25"/>
    </row>
    <row r="224" spans="1:1" s="10" customFormat="1" x14ac:dyDescent="0.2">
      <c r="A224" s="25"/>
    </row>
    <row r="225" spans="1:1" s="10" customFormat="1" x14ac:dyDescent="0.2">
      <c r="A225" s="25"/>
    </row>
    <row r="226" spans="1:1" s="10" customFormat="1" x14ac:dyDescent="0.2">
      <c r="A226" s="25"/>
    </row>
    <row r="227" spans="1:1" s="10" customFormat="1" x14ac:dyDescent="0.2">
      <c r="A227" s="25"/>
    </row>
    <row r="228" spans="1:1" s="10" customFormat="1" x14ac:dyDescent="0.2">
      <c r="A228" s="25"/>
    </row>
    <row r="229" spans="1:1" s="10" customFormat="1" x14ac:dyDescent="0.2">
      <c r="A229" s="25"/>
    </row>
    <row r="230" spans="1:1" s="10" customFormat="1" x14ac:dyDescent="0.2">
      <c r="A230" s="25"/>
    </row>
    <row r="231" spans="1:1" s="10" customFormat="1" x14ac:dyDescent="0.2">
      <c r="A231" s="25"/>
    </row>
    <row r="232" spans="1:1" s="10" customFormat="1" x14ac:dyDescent="0.2">
      <c r="A232" s="25"/>
    </row>
    <row r="233" spans="1:1" s="10" customFormat="1" x14ac:dyDescent="0.2">
      <c r="A233" s="25"/>
    </row>
    <row r="234" spans="1:1" s="10" customFormat="1" x14ac:dyDescent="0.2">
      <c r="A234" s="25"/>
    </row>
    <row r="235" spans="1:1" s="10" customFormat="1" x14ac:dyDescent="0.2">
      <c r="A235" s="25"/>
    </row>
    <row r="236" spans="1:1" s="10" customFormat="1" x14ac:dyDescent="0.2">
      <c r="A236" s="25"/>
    </row>
    <row r="237" spans="1:1" s="10" customFormat="1" x14ac:dyDescent="0.2">
      <c r="A237" s="25"/>
    </row>
    <row r="238" spans="1:1" s="10" customFormat="1" x14ac:dyDescent="0.2">
      <c r="A238" s="25"/>
    </row>
    <row r="239" spans="1:1" s="10" customFormat="1" x14ac:dyDescent="0.2">
      <c r="A239" s="25"/>
    </row>
    <row r="240" spans="1:1" s="10" customFormat="1" x14ac:dyDescent="0.2">
      <c r="A240" s="25"/>
    </row>
    <row r="241" spans="1:1" s="10" customFormat="1" x14ac:dyDescent="0.2">
      <c r="A241" s="25"/>
    </row>
    <row r="242" spans="1:1" s="10" customFormat="1" x14ac:dyDescent="0.2">
      <c r="A242" s="25"/>
    </row>
    <row r="243" spans="1:1" s="10" customFormat="1" x14ac:dyDescent="0.2">
      <c r="A243" s="25"/>
    </row>
    <row r="244" spans="1:1" s="10" customFormat="1" x14ac:dyDescent="0.2">
      <c r="A244" s="25"/>
    </row>
    <row r="245" spans="1:1" s="10" customFormat="1" x14ac:dyDescent="0.2">
      <c r="A245" s="25"/>
    </row>
    <row r="246" spans="1:1" s="10" customFormat="1" x14ac:dyDescent="0.2">
      <c r="A246" s="25"/>
    </row>
    <row r="247" spans="1:1" s="10" customFormat="1" x14ac:dyDescent="0.2">
      <c r="A247" s="25"/>
    </row>
    <row r="248" spans="1:1" s="10" customFormat="1" x14ac:dyDescent="0.2">
      <c r="A248" s="25"/>
    </row>
    <row r="249" spans="1:1" s="10" customFormat="1" x14ac:dyDescent="0.2">
      <c r="A249" s="25"/>
    </row>
    <row r="250" spans="1:1" s="10" customFormat="1" x14ac:dyDescent="0.2">
      <c r="A250" s="25"/>
    </row>
    <row r="251" spans="1:1" s="10" customFormat="1" x14ac:dyDescent="0.2">
      <c r="A251" s="25"/>
    </row>
    <row r="252" spans="1:1" s="10" customFormat="1" x14ac:dyDescent="0.2">
      <c r="A252" s="25"/>
    </row>
    <row r="253" spans="1:1" s="10" customFormat="1" x14ac:dyDescent="0.2">
      <c r="A253" s="25"/>
    </row>
    <row r="254" spans="1:1" s="10" customFormat="1" x14ac:dyDescent="0.2">
      <c r="A254" s="25"/>
    </row>
    <row r="255" spans="1:1" s="10" customFormat="1" x14ac:dyDescent="0.2">
      <c r="A255" s="25"/>
    </row>
    <row r="256" spans="1:1" s="10" customFormat="1" x14ac:dyDescent="0.2">
      <c r="A256" s="25"/>
    </row>
    <row r="257" spans="1:1" s="10" customFormat="1" x14ac:dyDescent="0.2">
      <c r="A257" s="25"/>
    </row>
    <row r="258" spans="1:1" s="10" customFormat="1" x14ac:dyDescent="0.2">
      <c r="A258" s="25"/>
    </row>
    <row r="259" spans="1:1" s="10" customFormat="1" x14ac:dyDescent="0.2">
      <c r="A259" s="25"/>
    </row>
    <row r="260" spans="1:1" s="10" customFormat="1" x14ac:dyDescent="0.2">
      <c r="A260" s="25"/>
    </row>
    <row r="261" spans="1:1" s="10" customFormat="1" x14ac:dyDescent="0.2">
      <c r="A261" s="25"/>
    </row>
    <row r="262" spans="1:1" s="10" customFormat="1" x14ac:dyDescent="0.2">
      <c r="A262" s="25"/>
    </row>
    <row r="263" spans="1:1" s="10" customFormat="1" x14ac:dyDescent="0.2">
      <c r="A263" s="25"/>
    </row>
    <row r="264" spans="1:1" s="10" customFormat="1" x14ac:dyDescent="0.2">
      <c r="A264" s="25"/>
    </row>
    <row r="265" spans="1:1" s="10" customFormat="1" x14ac:dyDescent="0.2">
      <c r="A265" s="25"/>
    </row>
    <row r="266" spans="1:1" s="10" customFormat="1" x14ac:dyDescent="0.2">
      <c r="A266" s="25"/>
    </row>
    <row r="267" spans="1:1" s="10" customFormat="1" x14ac:dyDescent="0.2">
      <c r="A267" s="25"/>
    </row>
    <row r="268" spans="1:1" s="10" customFormat="1" x14ac:dyDescent="0.2">
      <c r="A268" s="25"/>
    </row>
    <row r="269" spans="1:1" s="10" customFormat="1" x14ac:dyDescent="0.2">
      <c r="A269" s="25"/>
    </row>
    <row r="270" spans="1:1" s="10" customFormat="1" x14ac:dyDescent="0.2">
      <c r="A270" s="25"/>
    </row>
    <row r="271" spans="1:1" s="10" customFormat="1" x14ac:dyDescent="0.2">
      <c r="A271" s="25"/>
    </row>
    <row r="272" spans="1:1" s="10" customFormat="1" x14ac:dyDescent="0.2">
      <c r="A272" s="25"/>
    </row>
    <row r="273" spans="1:1" s="10" customFormat="1" x14ac:dyDescent="0.2">
      <c r="A273" s="25"/>
    </row>
    <row r="274" spans="1:1" s="10" customFormat="1" x14ac:dyDescent="0.2">
      <c r="A274" s="25"/>
    </row>
    <row r="275" spans="1:1" s="10" customFormat="1" x14ac:dyDescent="0.2">
      <c r="A275" s="25"/>
    </row>
    <row r="276" spans="1:1" s="10" customFormat="1" x14ac:dyDescent="0.2">
      <c r="A276" s="25"/>
    </row>
    <row r="277" spans="1:1" s="10" customFormat="1" x14ac:dyDescent="0.2">
      <c r="A277" s="25"/>
    </row>
    <row r="278" spans="1:1" s="10" customFormat="1" x14ac:dyDescent="0.2">
      <c r="A278" s="25"/>
    </row>
    <row r="279" spans="1:1" s="10" customFormat="1" x14ac:dyDescent="0.2">
      <c r="A279" s="25"/>
    </row>
    <row r="280" spans="1:1" s="10" customFormat="1" x14ac:dyDescent="0.2">
      <c r="A280" s="25"/>
    </row>
    <row r="281" spans="1:1" s="10" customFormat="1" x14ac:dyDescent="0.2">
      <c r="A281" s="25"/>
    </row>
    <row r="282" spans="1:1" s="10" customFormat="1" x14ac:dyDescent="0.2">
      <c r="A282" s="25"/>
    </row>
    <row r="283" spans="1:1" s="10" customFormat="1" x14ac:dyDescent="0.2">
      <c r="A283" s="25"/>
    </row>
    <row r="284" spans="1:1" s="10" customFormat="1" x14ac:dyDescent="0.2">
      <c r="A284" s="25"/>
    </row>
    <row r="285" spans="1:1" s="10" customFormat="1" x14ac:dyDescent="0.2">
      <c r="A285" s="25"/>
    </row>
    <row r="286" spans="1:1" s="10" customFormat="1" x14ac:dyDescent="0.2">
      <c r="A286" s="25"/>
    </row>
    <row r="287" spans="1:1" s="10" customFormat="1" x14ac:dyDescent="0.2">
      <c r="A287" s="25"/>
    </row>
    <row r="288" spans="1:1" s="10" customFormat="1" x14ac:dyDescent="0.2">
      <c r="A288" s="25"/>
    </row>
    <row r="289" spans="1:1" s="10" customFormat="1" x14ac:dyDescent="0.2">
      <c r="A289" s="25"/>
    </row>
    <row r="290" spans="1:1" s="10" customFormat="1" x14ac:dyDescent="0.2">
      <c r="A290" s="25"/>
    </row>
    <row r="291" spans="1:1" s="10" customFormat="1" x14ac:dyDescent="0.2">
      <c r="A291" s="25"/>
    </row>
    <row r="292" spans="1:1" s="10" customFormat="1" x14ac:dyDescent="0.2">
      <c r="A292" s="25"/>
    </row>
    <row r="293" spans="1:1" s="10" customFormat="1" x14ac:dyDescent="0.2">
      <c r="A293" s="25"/>
    </row>
    <row r="294" spans="1:1" s="10" customFormat="1" x14ac:dyDescent="0.2">
      <c r="A294" s="25"/>
    </row>
    <row r="295" spans="1:1" s="10" customFormat="1" x14ac:dyDescent="0.2">
      <c r="A295" s="25"/>
    </row>
    <row r="296" spans="1:1" s="10" customFormat="1" x14ac:dyDescent="0.2">
      <c r="A296" s="25"/>
    </row>
    <row r="297" spans="1:1" s="10" customFormat="1" x14ac:dyDescent="0.2">
      <c r="A297" s="25"/>
    </row>
    <row r="298" spans="1:1" s="10" customFormat="1" x14ac:dyDescent="0.2">
      <c r="A298" s="25"/>
    </row>
    <row r="299" spans="1:1" s="10" customFormat="1" x14ac:dyDescent="0.2">
      <c r="A299" s="25"/>
    </row>
    <row r="300" spans="1:1" s="10" customFormat="1" x14ac:dyDescent="0.2">
      <c r="A300" s="25"/>
    </row>
    <row r="301" spans="1:1" s="10" customFormat="1" x14ac:dyDescent="0.2">
      <c r="A301" s="25"/>
    </row>
    <row r="302" spans="1:1" s="10" customFormat="1" x14ac:dyDescent="0.2">
      <c r="A302" s="25"/>
    </row>
  </sheetData>
  <mergeCells count="1">
    <mergeCell ref="A1:C4"/>
  </mergeCells>
  <conditionalFormatting sqref="C1:E1048576">
    <cfRule type="notContainsBlanks" dxfId="5" priority="13">
      <formula>LEN(TRIM(C1))&gt;0</formula>
    </cfRule>
  </conditionalFormatting>
  <conditionalFormatting sqref="F1:H1048576">
    <cfRule type="notContainsBlanks" dxfId="4" priority="6">
      <formula>LEN(TRIM(F1))&gt;0</formula>
    </cfRule>
  </conditionalFormatting>
  <conditionalFormatting sqref="I1:K1048576">
    <cfRule type="notContainsBlanks" dxfId="3" priority="5">
      <formula>LEN(TRIM(I1))&gt;0</formula>
    </cfRule>
  </conditionalFormatting>
  <conditionalFormatting sqref="L1:M1048576">
    <cfRule type="notContainsBlanks" dxfId="2" priority="4">
      <formula>LEN(TRIM(L1))&gt;0</formula>
    </cfRule>
  </conditionalFormatting>
  <conditionalFormatting sqref="B6:B1000000">
    <cfRule type="notContainsBlanks" dxfId="1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CD883-1095-6A41-8961-72F893D33B2E}">
  <sheetPr codeName="Sheet9"/>
  <dimension ref="A3:AM36"/>
  <sheetViews>
    <sheetView zoomScale="68" workbookViewId="0"/>
  </sheetViews>
  <sheetFormatPr baseColWidth="10" defaultRowHeight="16" x14ac:dyDescent="0.2"/>
  <cols>
    <col min="1" max="1" width="10.7109375" style="1" customWidth="1"/>
    <col min="2" max="2" width="19.42578125" style="1" customWidth="1"/>
    <col min="3" max="3" width="11.85546875" style="1" customWidth="1"/>
    <col min="4" max="4" width="10.7109375" style="1"/>
    <col min="5" max="5" width="12.28515625" style="1" customWidth="1"/>
    <col min="6" max="6" width="10.7109375" style="1"/>
    <col min="7" max="7" width="9.28515625" style="1" customWidth="1"/>
    <col min="8" max="8" width="16.85546875" style="1" customWidth="1"/>
    <col min="9" max="9" width="10.85546875" style="1" customWidth="1"/>
    <col min="10" max="10" width="18.7109375" style="1" customWidth="1"/>
    <col min="11" max="11" width="12" style="1" customWidth="1"/>
    <col min="12" max="12" width="13" style="1" customWidth="1"/>
    <col min="13" max="13" width="22" style="1" customWidth="1"/>
    <col min="14" max="14" width="10.7109375" style="1"/>
    <col min="15" max="15" width="19.85546875" style="1" customWidth="1"/>
    <col min="16" max="16" width="17.140625" style="1" customWidth="1"/>
    <col min="17" max="17" width="12.28515625" style="1" customWidth="1"/>
    <col min="18" max="18" width="10.7109375" style="1"/>
    <col min="19" max="19" width="11.42578125" style="1" customWidth="1"/>
    <col min="20" max="20" width="15.42578125" style="1" customWidth="1"/>
    <col min="21" max="24" width="10.7109375" style="1"/>
    <col min="25" max="25" width="18" style="1" customWidth="1"/>
    <col min="26" max="16384" width="10.7109375" style="1"/>
  </cols>
  <sheetData>
    <row r="3" spans="1:39" ht="33" thickBot="1" x14ac:dyDescent="0.4">
      <c r="B3" s="313" t="s">
        <v>138</v>
      </c>
      <c r="C3" s="313"/>
      <c r="D3" s="313"/>
      <c r="E3" s="313"/>
      <c r="H3" s="224" t="s">
        <v>137</v>
      </c>
      <c r="I3" s="225"/>
      <c r="J3" s="225"/>
      <c r="K3" s="225"/>
      <c r="L3" s="225"/>
      <c r="M3" s="226"/>
      <c r="O3" s="105" t="s">
        <v>136</v>
      </c>
      <c r="P3" s="232">
        <f ca="1">IF(P4+T4 &gt;-3000, P4 + T4, -3000)</f>
        <v>550.07615593695937</v>
      </c>
      <c r="Q3" s="237"/>
      <c r="R3" s="231" t="s">
        <v>135</v>
      </c>
      <c r="S3" s="231"/>
      <c r="T3" s="232">
        <v>50000</v>
      </c>
      <c r="U3" s="278"/>
    </row>
    <row r="4" spans="1:39" ht="34" thickTop="1" thickBot="1" x14ac:dyDescent="0.4">
      <c r="B4" s="314" t="s">
        <v>116</v>
      </c>
      <c r="C4" s="315"/>
      <c r="D4" s="316" t="s">
        <v>115</v>
      </c>
      <c r="E4" s="317"/>
      <c r="H4" s="251" t="s">
        <v>134</v>
      </c>
      <c r="I4" s="252"/>
      <c r="J4" s="251" t="s">
        <v>133</v>
      </c>
      <c r="K4" s="252"/>
      <c r="L4" s="251" t="s">
        <v>132</v>
      </c>
      <c r="M4" s="252"/>
      <c r="N4" s="104"/>
      <c r="O4" s="103" t="s">
        <v>131</v>
      </c>
      <c r="P4" s="232">
        <f ca="1">'Transactions (After Sales)'!K11</f>
        <v>737.37505884631173</v>
      </c>
      <c r="Q4" s="232"/>
      <c r="R4" s="231" t="s">
        <v>130</v>
      </c>
      <c r="S4" s="231"/>
      <c r="T4" s="232">
        <f ca="1">'Transactions (After Sales)'!O11</f>
        <v>-187.29890290935236</v>
      </c>
      <c r="U4" s="233"/>
      <c r="Y4" s="6"/>
      <c r="AM4" s="1" t="s">
        <v>129</v>
      </c>
    </row>
    <row r="5" spans="1:39" ht="20" thickTop="1" x14ac:dyDescent="0.2">
      <c r="A5" s="1">
        <v>1</v>
      </c>
      <c r="B5" s="311" t="s">
        <v>128</v>
      </c>
      <c r="C5" s="312"/>
      <c r="D5" s="318">
        <v>0</v>
      </c>
      <c r="E5" s="319"/>
      <c r="H5" s="253">
        <v>12000</v>
      </c>
      <c r="I5" s="254"/>
      <c r="J5" s="253">
        <v>100000</v>
      </c>
      <c r="K5" s="254"/>
      <c r="L5" s="238" t="s">
        <v>127</v>
      </c>
      <c r="M5" s="239"/>
      <c r="AM5" s="1" t="s">
        <v>127</v>
      </c>
    </row>
    <row r="6" spans="1:39" ht="34" customHeight="1" x14ac:dyDescent="0.2">
      <c r="A6" s="102">
        <v>2</v>
      </c>
      <c r="B6" s="285" t="s">
        <v>126</v>
      </c>
      <c r="C6" s="286"/>
      <c r="D6" s="320">
        <v>0.15</v>
      </c>
      <c r="E6" s="321"/>
      <c r="H6" s="255"/>
      <c r="I6" s="256"/>
      <c r="J6" s="255"/>
      <c r="K6" s="256"/>
      <c r="L6" s="240"/>
      <c r="M6" s="241"/>
      <c r="O6" s="280" t="s">
        <v>112</v>
      </c>
      <c r="P6" s="281"/>
      <c r="Q6" s="281"/>
      <c r="R6" s="93"/>
      <c r="S6" s="93"/>
      <c r="T6" s="93"/>
      <c r="U6" s="92"/>
    </row>
    <row r="7" spans="1:39" ht="26" thickBot="1" x14ac:dyDescent="0.3">
      <c r="A7" s="1">
        <v>3</v>
      </c>
      <c r="B7" s="291" t="s">
        <v>125</v>
      </c>
      <c r="C7" s="292"/>
      <c r="D7" s="322">
        <v>0.2</v>
      </c>
      <c r="E7" s="323"/>
      <c r="H7" s="251" t="s">
        <v>124</v>
      </c>
      <c r="I7" s="252"/>
      <c r="J7" s="251" t="s">
        <v>123</v>
      </c>
      <c r="K7" s="252"/>
      <c r="L7" s="251" t="s">
        <v>122</v>
      </c>
      <c r="M7" s="252"/>
      <c r="O7" s="101" t="s">
        <v>104</v>
      </c>
      <c r="P7" s="235" t="s">
        <v>103</v>
      </c>
      <c r="Q7" s="235"/>
      <c r="R7" s="235" t="s">
        <v>102</v>
      </c>
      <c r="S7" s="235"/>
      <c r="T7" s="235" t="s">
        <v>101</v>
      </c>
      <c r="U7" s="236"/>
    </row>
    <row r="8" spans="1:39" ht="24" thickTop="1" x14ac:dyDescent="0.25">
      <c r="H8" s="238" t="s">
        <v>121</v>
      </c>
      <c r="I8" s="239"/>
      <c r="J8" s="227">
        <v>50000</v>
      </c>
      <c r="K8" s="228"/>
      <c r="L8" s="238" t="s">
        <v>120</v>
      </c>
      <c r="M8" s="239"/>
      <c r="O8" s="86" t="s">
        <v>98</v>
      </c>
      <c r="P8" s="248">
        <f ca="1">IF(T4=0, 0.05, 0.085)</f>
        <v>8.5000000000000006E-2</v>
      </c>
      <c r="Q8" s="248"/>
      <c r="R8" s="234">
        <f ca="1">T8/P3</f>
        <v>3.8082629048588293E-2</v>
      </c>
      <c r="S8" s="234"/>
      <c r="T8" s="246">
        <f ca="1">(0.05*P4)+(0.085*T4)</f>
        <v>20.948346195020633</v>
      </c>
      <c r="U8" s="247"/>
    </row>
    <row r="9" spans="1:39" ht="23" x14ac:dyDescent="0.25">
      <c r="H9" s="240"/>
      <c r="I9" s="241"/>
      <c r="J9" s="229"/>
      <c r="K9" s="230"/>
      <c r="L9" s="240"/>
      <c r="M9" s="241"/>
      <c r="O9" s="86" t="s">
        <v>96</v>
      </c>
      <c r="P9" s="248">
        <f ca="1">IF(O25&gt;O26,O25,O26)</f>
        <v>0</v>
      </c>
      <c r="Q9" s="248"/>
      <c r="R9" s="248">
        <f ca="1">T9/P3</f>
        <v>0</v>
      </c>
      <c r="S9" s="248"/>
      <c r="T9" s="246">
        <f ca="1">Q25+Q26</f>
        <v>0</v>
      </c>
      <c r="U9" s="247"/>
    </row>
    <row r="10" spans="1:39" ht="25" x14ac:dyDescent="0.25">
      <c r="H10" s="251" t="s">
        <v>119</v>
      </c>
      <c r="I10" s="252"/>
      <c r="J10" s="251" t="s">
        <v>116</v>
      </c>
      <c r="K10" s="252"/>
      <c r="L10" s="251" t="s">
        <v>118</v>
      </c>
      <c r="M10" s="252"/>
      <c r="O10" s="100"/>
      <c r="P10" s="99"/>
      <c r="Q10" s="99"/>
      <c r="R10" s="99"/>
      <c r="S10" s="99"/>
      <c r="T10" s="99"/>
      <c r="U10" s="98"/>
    </row>
    <row r="11" spans="1:39" ht="26" thickBot="1" x14ac:dyDescent="0.3">
      <c r="B11" s="313" t="s">
        <v>117</v>
      </c>
      <c r="C11" s="313"/>
      <c r="D11" s="313"/>
      <c r="E11" s="313"/>
      <c r="H11" s="227">
        <f>J8+J5-H5</f>
        <v>138000</v>
      </c>
      <c r="I11" s="228"/>
      <c r="J11" s="227">
        <f>H11-B22</f>
        <v>123400</v>
      </c>
      <c r="K11" s="228"/>
      <c r="L11" s="227">
        <f>J5-H5</f>
        <v>88000</v>
      </c>
      <c r="M11" s="228"/>
      <c r="O11" s="249" t="s">
        <v>94</v>
      </c>
      <c r="P11" s="250"/>
      <c r="Q11" s="77"/>
      <c r="R11" s="77"/>
      <c r="S11" s="77"/>
      <c r="T11" s="270">
        <f ca="1">T8+T9</f>
        <v>20.948346195020633</v>
      </c>
      <c r="U11" s="271"/>
    </row>
    <row r="12" spans="1:39" ht="27" thickTop="1" thickBot="1" x14ac:dyDescent="0.3">
      <c r="B12" s="326" t="s">
        <v>116</v>
      </c>
      <c r="C12" s="327"/>
      <c r="D12" s="293" t="s">
        <v>115</v>
      </c>
      <c r="E12" s="294"/>
      <c r="H12" s="229"/>
      <c r="I12" s="230"/>
      <c r="J12" s="229"/>
      <c r="K12" s="230"/>
      <c r="L12" s="229"/>
      <c r="M12" s="230"/>
      <c r="O12" s="97" t="s">
        <v>93</v>
      </c>
      <c r="P12" s="75"/>
      <c r="Q12" s="75"/>
      <c r="R12" s="75"/>
      <c r="S12" s="75"/>
      <c r="T12" s="272">
        <f ca="1">P3-T11</f>
        <v>529.12780974193879</v>
      </c>
      <c r="U12" s="273"/>
    </row>
    <row r="13" spans="1:39" ht="29" customHeight="1" thickTop="1" x14ac:dyDescent="0.2">
      <c r="A13" s="1">
        <v>1</v>
      </c>
      <c r="B13" s="311" t="s">
        <v>114</v>
      </c>
      <c r="C13" s="312"/>
      <c r="D13" s="287">
        <v>0.1</v>
      </c>
      <c r="E13" s="288"/>
      <c r="H13" s="96"/>
      <c r="I13" s="95"/>
      <c r="J13" s="94"/>
      <c r="K13" s="94"/>
      <c r="L13" s="94"/>
      <c r="M13" s="94"/>
    </row>
    <row r="14" spans="1:39" ht="32" customHeight="1" x14ac:dyDescent="0.25">
      <c r="A14" s="1">
        <v>2</v>
      </c>
      <c r="B14" s="309" t="s">
        <v>113</v>
      </c>
      <c r="C14" s="310"/>
      <c r="D14" s="289">
        <v>0.12</v>
      </c>
      <c r="E14" s="290"/>
      <c r="H14" s="297" t="s">
        <v>112</v>
      </c>
      <c r="I14" s="298"/>
      <c r="J14" s="298"/>
      <c r="K14" s="93"/>
      <c r="L14" s="93"/>
      <c r="M14" s="92"/>
      <c r="O14" s="91" t="s">
        <v>105</v>
      </c>
      <c r="P14" s="90"/>
      <c r="Q14" s="90"/>
      <c r="R14" s="73"/>
      <c r="S14" s="73"/>
      <c r="T14" s="73"/>
      <c r="U14" s="72"/>
    </row>
    <row r="15" spans="1:39" ht="23" x14ac:dyDescent="0.25">
      <c r="A15" s="1">
        <v>3</v>
      </c>
      <c r="B15" s="311" t="s">
        <v>111</v>
      </c>
      <c r="C15" s="312"/>
      <c r="D15" s="287">
        <v>0.22</v>
      </c>
      <c r="E15" s="288"/>
      <c r="H15" s="89" t="s">
        <v>104</v>
      </c>
      <c r="I15" s="284" t="s">
        <v>103</v>
      </c>
      <c r="J15" s="284"/>
      <c r="K15" s="284" t="s">
        <v>102</v>
      </c>
      <c r="L15" s="284"/>
      <c r="M15" s="88" t="s">
        <v>101</v>
      </c>
      <c r="O15" s="87" t="s">
        <v>104</v>
      </c>
      <c r="P15" s="259" t="s">
        <v>103</v>
      </c>
      <c r="Q15" s="259"/>
      <c r="R15" s="259" t="s">
        <v>102</v>
      </c>
      <c r="S15" s="259"/>
      <c r="T15" s="259" t="s">
        <v>101</v>
      </c>
      <c r="U15" s="260"/>
    </row>
    <row r="16" spans="1:39" ht="23" x14ac:dyDescent="0.25">
      <c r="A16" s="1">
        <v>4</v>
      </c>
      <c r="B16" s="309" t="s">
        <v>110</v>
      </c>
      <c r="C16" s="310"/>
      <c r="D16" s="289">
        <v>0.24</v>
      </c>
      <c r="E16" s="290"/>
      <c r="H16" s="86" t="s">
        <v>98</v>
      </c>
      <c r="I16" s="248">
        <f>IF(L5="More than a year", C25,C26)</f>
        <v>8.5000000000000006E-2</v>
      </c>
      <c r="J16" s="248"/>
      <c r="K16" s="234">
        <f>I16</f>
        <v>8.5000000000000006E-2</v>
      </c>
      <c r="L16" s="234"/>
      <c r="M16" s="85">
        <f>IF(L5="More than a year", (J5-H5)*C25,(J5-H5)*C26)</f>
        <v>7480.0000000000009</v>
      </c>
      <c r="O16" s="84" t="s">
        <v>98</v>
      </c>
      <c r="P16" s="265">
        <f>C25</f>
        <v>0.05</v>
      </c>
      <c r="Q16" s="265"/>
      <c r="R16" s="266">
        <f>C25</f>
        <v>0.05</v>
      </c>
      <c r="S16" s="267"/>
      <c r="T16" s="261">
        <f>P16*J8</f>
        <v>2500</v>
      </c>
      <c r="U16" s="262"/>
    </row>
    <row r="17" spans="1:21" ht="23" x14ac:dyDescent="0.25">
      <c r="A17" s="1">
        <v>5</v>
      </c>
      <c r="B17" s="324" t="s">
        <v>109</v>
      </c>
      <c r="C17" s="325"/>
      <c r="D17" s="287">
        <v>0.32</v>
      </c>
      <c r="E17" s="288"/>
      <c r="H17" s="86" t="s">
        <v>96</v>
      </c>
      <c r="I17" s="248">
        <f>H36</f>
        <v>0.24</v>
      </c>
      <c r="J17" s="248"/>
      <c r="K17" s="248">
        <f>I36</f>
        <v>0.21184659090909091</v>
      </c>
      <c r="L17" s="248"/>
      <c r="M17" s="85">
        <f>J36</f>
        <v>18642.5</v>
      </c>
      <c r="O17" s="84" t="s">
        <v>96</v>
      </c>
      <c r="P17" s="265">
        <f>O27</f>
        <v>0.12</v>
      </c>
      <c r="Q17" s="265"/>
      <c r="R17" s="265">
        <f>P27</f>
        <v>8.0320000000000003E-2</v>
      </c>
      <c r="S17" s="265"/>
      <c r="T17" s="263">
        <f>Q27</f>
        <v>4016</v>
      </c>
      <c r="U17" s="264"/>
    </row>
    <row r="18" spans="1:21" ht="19" x14ac:dyDescent="0.2">
      <c r="A18" s="1">
        <v>6</v>
      </c>
      <c r="B18" s="295" t="s">
        <v>108</v>
      </c>
      <c r="C18" s="296"/>
      <c r="D18" s="289">
        <v>0.35</v>
      </c>
      <c r="E18" s="290"/>
      <c r="H18" s="83"/>
      <c r="I18" s="82"/>
      <c r="J18" s="82"/>
      <c r="K18" s="82"/>
      <c r="L18" s="82"/>
      <c r="M18" s="81"/>
      <c r="O18" s="80"/>
      <c r="P18" s="79"/>
      <c r="Q18" s="79"/>
      <c r="R18" s="79"/>
      <c r="S18" s="79"/>
      <c r="T18" s="79"/>
      <c r="U18" s="78"/>
    </row>
    <row r="19" spans="1:21" ht="26" thickBot="1" x14ac:dyDescent="0.3">
      <c r="A19" s="1">
        <v>7</v>
      </c>
      <c r="B19" s="307" t="s">
        <v>107</v>
      </c>
      <c r="C19" s="308"/>
      <c r="D19" s="305">
        <v>0.37</v>
      </c>
      <c r="E19" s="306"/>
      <c r="H19" s="249" t="s">
        <v>94</v>
      </c>
      <c r="I19" s="250"/>
      <c r="J19" s="77"/>
      <c r="K19" s="77"/>
      <c r="L19" s="77"/>
      <c r="M19" s="76">
        <f>M16+M17</f>
        <v>26122.5</v>
      </c>
      <c r="O19" s="268" t="s">
        <v>94</v>
      </c>
      <c r="P19" s="269"/>
      <c r="Q19" s="269"/>
      <c r="R19" s="60"/>
      <c r="S19" s="60"/>
      <c r="T19" s="274">
        <f>T16+T17</f>
        <v>6516</v>
      </c>
      <c r="U19" s="275"/>
    </row>
    <row r="20" spans="1:21" ht="26" thickTop="1" x14ac:dyDescent="0.25">
      <c r="H20" s="282" t="s">
        <v>93</v>
      </c>
      <c r="I20" s="283"/>
      <c r="J20" s="75"/>
      <c r="K20" s="75"/>
      <c r="L20" s="75"/>
      <c r="M20" s="74">
        <f>L11-M19</f>
        <v>61877.5</v>
      </c>
      <c r="O20" s="257" t="s">
        <v>93</v>
      </c>
      <c r="P20" s="258"/>
      <c r="Q20" s="258"/>
      <c r="R20" s="58"/>
      <c r="S20" s="58"/>
      <c r="T20" s="276">
        <f>J8-T19</f>
        <v>43484</v>
      </c>
      <c r="U20" s="277"/>
    </row>
    <row r="21" spans="1:21" ht="33" customHeight="1" x14ac:dyDescent="0.25">
      <c r="B21" s="299" t="s">
        <v>106</v>
      </c>
      <c r="C21" s="299"/>
      <c r="D21" s="299"/>
      <c r="E21" s="299"/>
    </row>
    <row r="22" spans="1:21" ht="25" x14ac:dyDescent="0.25">
      <c r="B22" s="300">
        <v>14600</v>
      </c>
      <c r="C22" s="300"/>
      <c r="D22" s="300"/>
      <c r="H22" s="302" t="s">
        <v>105</v>
      </c>
      <c r="I22" s="303"/>
      <c r="J22" s="303"/>
      <c r="K22" s="73"/>
      <c r="L22" s="73"/>
      <c r="M22" s="72"/>
      <c r="O22" s="54" t="s">
        <v>92</v>
      </c>
      <c r="P22" s="53"/>
      <c r="Q22" s="53"/>
      <c r="R22" s="53"/>
      <c r="S22" s="53"/>
      <c r="T22" s="244">
        <f ca="1">T19+T11</f>
        <v>6536.9483461950203</v>
      </c>
      <c r="U22" s="245"/>
    </row>
    <row r="23" spans="1:21" ht="25" x14ac:dyDescent="0.25">
      <c r="H23" s="71" t="s">
        <v>104</v>
      </c>
      <c r="I23" s="304" t="s">
        <v>103</v>
      </c>
      <c r="J23" s="304"/>
      <c r="K23" s="304" t="s">
        <v>102</v>
      </c>
      <c r="L23" s="304"/>
      <c r="M23" s="70" t="s">
        <v>101</v>
      </c>
      <c r="O23" s="51" t="s">
        <v>100</v>
      </c>
      <c r="P23" s="50"/>
      <c r="Q23" s="50"/>
      <c r="R23" s="50"/>
      <c r="S23" s="50"/>
      <c r="T23" s="242">
        <f ca="1">J8+P3-T22</f>
        <v>44013.127809741934</v>
      </c>
      <c r="U23" s="243"/>
    </row>
    <row r="24" spans="1:21" ht="23" x14ac:dyDescent="0.25">
      <c r="B24" s="301" t="s">
        <v>99</v>
      </c>
      <c r="C24" s="301"/>
      <c r="H24" s="67" t="s">
        <v>98</v>
      </c>
      <c r="I24" s="265">
        <f>C25</f>
        <v>0.05</v>
      </c>
      <c r="J24" s="265"/>
      <c r="K24" s="266">
        <f>C25</f>
        <v>0.05</v>
      </c>
      <c r="L24" s="267"/>
      <c r="M24" s="69">
        <f>I24*J8</f>
        <v>2500</v>
      </c>
      <c r="O24" s="279"/>
      <c r="P24" s="279"/>
      <c r="Q24" s="279"/>
      <c r="R24" s="279"/>
    </row>
    <row r="25" spans="1:21" ht="23" x14ac:dyDescent="0.25">
      <c r="B25" s="62" t="s">
        <v>97</v>
      </c>
      <c r="C25" s="68">
        <v>0.05</v>
      </c>
      <c r="H25" s="67" t="s">
        <v>96</v>
      </c>
      <c r="I25" s="265">
        <f>H35</f>
        <v>0.12</v>
      </c>
      <c r="J25" s="265"/>
      <c r="K25" s="265">
        <f>I35</f>
        <v>8.0320000000000003E-2</v>
      </c>
      <c r="L25" s="265"/>
      <c r="M25" s="66">
        <f>J35</f>
        <v>4016</v>
      </c>
      <c r="O25" s="27" cm="1">
        <f t="array" aca="1" ref="O25:Q25" ca="1">capitalGainsTax(T4,T3-B22,"Less than a year")</f>
        <v>0</v>
      </c>
      <c r="P25" s="27">
        <f ca="1"/>
        <v>0</v>
      </c>
      <c r="Q25" s="27">
        <f ca="1"/>
        <v>0</v>
      </c>
    </row>
    <row r="26" spans="1:21" ht="19" x14ac:dyDescent="0.2">
      <c r="B26" s="65" t="s">
        <v>95</v>
      </c>
      <c r="C26" s="64">
        <v>8.5000000000000006E-2</v>
      </c>
      <c r="H26" s="63"/>
      <c r="I26" s="62"/>
      <c r="J26" s="62"/>
      <c r="K26" s="62"/>
      <c r="L26" s="62"/>
      <c r="M26" s="61"/>
      <c r="O26" s="27" cm="1">
        <f t="array" aca="1" ref="O26:Q26" ca="1">capitalGainsTax(P4,T3-B22+T4,"More than a year")</f>
        <v>0</v>
      </c>
      <c r="P26" s="27">
        <f ca="1"/>
        <v>0</v>
      </c>
      <c r="Q26" s="27">
        <f ca="1"/>
        <v>0</v>
      </c>
    </row>
    <row r="27" spans="1:21" ht="25" x14ac:dyDescent="0.25">
      <c r="H27" s="268" t="s">
        <v>94</v>
      </c>
      <c r="I27" s="269"/>
      <c r="J27" s="269"/>
      <c r="K27" s="60"/>
      <c r="L27" s="60"/>
      <c r="M27" s="59">
        <f>M24+M25</f>
        <v>6516</v>
      </c>
      <c r="O27" s="27" cm="1">
        <f t="array" ref="O27:Q27">regularWageTax(T3-B22)</f>
        <v>0.12</v>
      </c>
      <c r="P27" s="27">
        <v>8.0320000000000003E-2</v>
      </c>
      <c r="Q27" s="27">
        <v>4016</v>
      </c>
    </row>
    <row r="28" spans="1:21" ht="25" x14ac:dyDescent="0.25">
      <c r="H28" s="257" t="s">
        <v>93</v>
      </c>
      <c r="I28" s="258"/>
      <c r="J28" s="258"/>
      <c r="K28" s="58"/>
      <c r="L28" s="58"/>
      <c r="M28" s="57">
        <f>J8-M27</f>
        <v>43484</v>
      </c>
    </row>
    <row r="30" spans="1:21" ht="25" x14ac:dyDescent="0.25">
      <c r="M30" s="56"/>
      <c r="N30" s="55"/>
    </row>
    <row r="31" spans="1:21" ht="25" x14ac:dyDescent="0.25">
      <c r="H31" s="54" t="s">
        <v>92</v>
      </c>
      <c r="I31" s="53"/>
      <c r="J31" s="53"/>
      <c r="K31" s="53"/>
      <c r="L31" s="244">
        <f>M27+M19</f>
        <v>32638.5</v>
      </c>
      <c r="M31" s="244"/>
      <c r="N31" s="52"/>
    </row>
    <row r="32" spans="1:21" ht="25" x14ac:dyDescent="0.25">
      <c r="H32" s="51" t="s">
        <v>91</v>
      </c>
      <c r="I32" s="50"/>
      <c r="J32" s="50"/>
      <c r="K32" s="50"/>
      <c r="L32" s="242">
        <f>H11-L31</f>
        <v>105361.5</v>
      </c>
      <c r="M32" s="243"/>
    </row>
    <row r="35" spans="8:10" x14ac:dyDescent="0.2">
      <c r="H35" s="27" cm="1">
        <f t="array" ref="H35:J35">regularWageTax(J11-L11)</f>
        <v>0.12</v>
      </c>
      <c r="I35" s="27">
        <v>8.0320000000000003E-2</v>
      </c>
      <c r="J35" s="27">
        <v>4016</v>
      </c>
    </row>
    <row r="36" spans="8:10" x14ac:dyDescent="0.2">
      <c r="H36" s="27" cm="1">
        <f t="array" ref="H36:J36">capitalGainsTax(L11,J11-L11,L5)</f>
        <v>0.24</v>
      </c>
      <c r="I36" s="27">
        <v>0.21184659090909091</v>
      </c>
      <c r="J36" s="27">
        <v>18642.5</v>
      </c>
    </row>
  </sheetData>
  <mergeCells count="103">
    <mergeCell ref="D19:E19"/>
    <mergeCell ref="B19:C19"/>
    <mergeCell ref="B14:C14"/>
    <mergeCell ref="B15:C15"/>
    <mergeCell ref="B3:E3"/>
    <mergeCell ref="B4:C4"/>
    <mergeCell ref="D4:E4"/>
    <mergeCell ref="B5:C5"/>
    <mergeCell ref="D5:E5"/>
    <mergeCell ref="D6:E6"/>
    <mergeCell ref="D7:E7"/>
    <mergeCell ref="B16:C16"/>
    <mergeCell ref="B17:C17"/>
    <mergeCell ref="D15:E15"/>
    <mergeCell ref="D16:E16"/>
    <mergeCell ref="D17:E17"/>
    <mergeCell ref="B11:E11"/>
    <mergeCell ref="B12:C12"/>
    <mergeCell ref="B13:C13"/>
    <mergeCell ref="I16:J16"/>
    <mergeCell ref="I25:J25"/>
    <mergeCell ref="I15:J15"/>
    <mergeCell ref="B6:C6"/>
    <mergeCell ref="D13:E13"/>
    <mergeCell ref="D14:E14"/>
    <mergeCell ref="B7:C7"/>
    <mergeCell ref="D12:E12"/>
    <mergeCell ref="H27:J27"/>
    <mergeCell ref="B18:C18"/>
    <mergeCell ref="I17:J17"/>
    <mergeCell ref="H19:I19"/>
    <mergeCell ref="H14:J14"/>
    <mergeCell ref="B21:E21"/>
    <mergeCell ref="B22:D22"/>
    <mergeCell ref="B24:C24"/>
    <mergeCell ref="J7:K7"/>
    <mergeCell ref="H22:J22"/>
    <mergeCell ref="I23:J23"/>
    <mergeCell ref="K23:L23"/>
    <mergeCell ref="I24:J24"/>
    <mergeCell ref="K15:L15"/>
    <mergeCell ref="K24:L24"/>
    <mergeCell ref="D18:E18"/>
    <mergeCell ref="T19:U19"/>
    <mergeCell ref="T20:U20"/>
    <mergeCell ref="T3:U3"/>
    <mergeCell ref="L31:M31"/>
    <mergeCell ref="L32:M32"/>
    <mergeCell ref="L5:M6"/>
    <mergeCell ref="L4:M4"/>
    <mergeCell ref="O24:R24"/>
    <mergeCell ref="K17:L17"/>
    <mergeCell ref="K16:L16"/>
    <mergeCell ref="L7:M7"/>
    <mergeCell ref="J10:K10"/>
    <mergeCell ref="L10:M10"/>
    <mergeCell ref="P15:Q15"/>
    <mergeCell ref="R15:S15"/>
    <mergeCell ref="O6:Q6"/>
    <mergeCell ref="P7:Q7"/>
    <mergeCell ref="P16:Q16"/>
    <mergeCell ref="J5:K6"/>
    <mergeCell ref="H28:J28"/>
    <mergeCell ref="H20:I20"/>
    <mergeCell ref="K25:L25"/>
    <mergeCell ref="H8:I9"/>
    <mergeCell ref="J8:K9"/>
    <mergeCell ref="T23:U23"/>
    <mergeCell ref="T22:U22"/>
    <mergeCell ref="T8:U8"/>
    <mergeCell ref="R7:S7"/>
    <mergeCell ref="P8:Q8"/>
    <mergeCell ref="O11:P11"/>
    <mergeCell ref="H4:I4"/>
    <mergeCell ref="J4:K4"/>
    <mergeCell ref="H10:I10"/>
    <mergeCell ref="H5:I6"/>
    <mergeCell ref="H7:I7"/>
    <mergeCell ref="T9:U9"/>
    <mergeCell ref="O20:Q20"/>
    <mergeCell ref="T15:U15"/>
    <mergeCell ref="T16:U16"/>
    <mergeCell ref="T17:U17"/>
    <mergeCell ref="R17:S17"/>
    <mergeCell ref="P9:Q9"/>
    <mergeCell ref="R9:S9"/>
    <mergeCell ref="R16:S16"/>
    <mergeCell ref="P17:Q17"/>
    <mergeCell ref="O19:Q19"/>
    <mergeCell ref="T11:U11"/>
    <mergeCell ref="T12:U12"/>
    <mergeCell ref="H3:M3"/>
    <mergeCell ref="H11:I12"/>
    <mergeCell ref="J11:K12"/>
    <mergeCell ref="L11:M12"/>
    <mergeCell ref="R4:S4"/>
    <mergeCell ref="P4:Q4"/>
    <mergeCell ref="T4:U4"/>
    <mergeCell ref="R8:S8"/>
    <mergeCell ref="T7:U7"/>
    <mergeCell ref="P3:Q3"/>
    <mergeCell ref="R3:S3"/>
    <mergeCell ref="L8:M9"/>
  </mergeCells>
  <dataValidations count="1">
    <dataValidation type="list" allowBlank="1" showInputMessage="1" showErrorMessage="1" sqref="L5" xr:uid="{3AFF052C-ED9E-CB46-A64A-9FC29A06F2CA}">
      <formula1>$AM$4:$AM$5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2577-A9FA-D943-985E-AAFEA3E46C3D}">
  <sheetPr codeName="Sheet11"/>
  <dimension ref="A1:E46"/>
  <sheetViews>
    <sheetView workbookViewId="0">
      <selection activeCell="A2" sqref="A2"/>
    </sheetView>
  </sheetViews>
  <sheetFormatPr baseColWidth="10" defaultRowHeight="16" x14ac:dyDescent="0.2"/>
  <cols>
    <col min="1" max="1" width="8.42578125" style="29" bestFit="1" customWidth="1"/>
    <col min="2" max="2" width="10.85546875" bestFit="1" customWidth="1"/>
    <col min="3" max="4" width="12" bestFit="1" customWidth="1"/>
    <col min="5" max="5" width="11.28515625" customWidth="1"/>
  </cols>
  <sheetData>
    <row r="1" spans="1:5" x14ac:dyDescent="0.2">
      <c r="A1" s="29" t="s">
        <v>16</v>
      </c>
      <c r="B1" t="s">
        <v>73</v>
      </c>
      <c r="C1" t="s">
        <v>88</v>
      </c>
      <c r="D1" t="s">
        <v>83</v>
      </c>
      <c r="E1" t="s">
        <v>81</v>
      </c>
    </row>
    <row r="2" spans="1:5" x14ac:dyDescent="0.2">
      <c r="A2" s="29">
        <v>45345</v>
      </c>
      <c r="B2" t="s">
        <v>14</v>
      </c>
      <c r="C2">
        <v>0.54487881695644946</v>
      </c>
      <c r="D2">
        <v>3616.6573899999999</v>
      </c>
      <c r="E2">
        <v>2000</v>
      </c>
    </row>
    <row r="3" spans="1:5" x14ac:dyDescent="0.2">
      <c r="A3" s="29">
        <v>45328</v>
      </c>
      <c r="B3" t="s">
        <v>15</v>
      </c>
      <c r="C3">
        <v>6.8034869028808814E-2</v>
      </c>
      <c r="D3">
        <v>10.87677555</v>
      </c>
      <c r="E3">
        <v>0.74</v>
      </c>
    </row>
    <row r="4" spans="1:5" x14ac:dyDescent="0.2">
      <c r="A4" s="29">
        <v>45320</v>
      </c>
      <c r="B4" t="s">
        <v>15</v>
      </c>
      <c r="C4">
        <v>7.333113036895253E-2</v>
      </c>
      <c r="D4">
        <v>72.684001640000005</v>
      </c>
      <c r="E4">
        <v>5.33</v>
      </c>
    </row>
    <row r="5" spans="1:5" x14ac:dyDescent="0.2">
      <c r="A5" s="29">
        <v>45282</v>
      </c>
      <c r="B5" t="s">
        <v>15</v>
      </c>
      <c r="C5">
        <v>8.7021140267113453E-2</v>
      </c>
      <c r="D5">
        <v>34.129637819999999</v>
      </c>
      <c r="E5">
        <v>2.97</v>
      </c>
    </row>
    <row r="6" spans="1:5" x14ac:dyDescent="0.2">
      <c r="A6" s="29">
        <v>45267</v>
      </c>
      <c r="B6" t="s">
        <v>15</v>
      </c>
      <c r="C6">
        <v>6.583444599568089E-2</v>
      </c>
      <c r="D6">
        <v>48.302981090000003</v>
      </c>
      <c r="E6">
        <v>3.18</v>
      </c>
    </row>
    <row r="7" spans="1:5" x14ac:dyDescent="0.2">
      <c r="A7" s="29">
        <v>45248</v>
      </c>
      <c r="B7" t="s">
        <v>15</v>
      </c>
      <c r="C7">
        <v>6.109126144076911E-2</v>
      </c>
      <c r="D7">
        <v>10.96719865</v>
      </c>
      <c r="E7">
        <v>0.67</v>
      </c>
    </row>
    <row r="8" spans="1:5" x14ac:dyDescent="0.2">
      <c r="A8" s="29">
        <v>45244</v>
      </c>
      <c r="B8" t="s">
        <v>15</v>
      </c>
      <c r="C8">
        <v>6.2205769711990357E-2</v>
      </c>
      <c r="D8">
        <v>55.782606919999999</v>
      </c>
      <c r="E8">
        <v>3.47</v>
      </c>
    </row>
    <row r="9" spans="1:5" x14ac:dyDescent="0.2">
      <c r="A9" s="29">
        <v>45230</v>
      </c>
      <c r="B9" t="s">
        <v>36</v>
      </c>
      <c r="C9">
        <v>1.0002875826800199</v>
      </c>
      <c r="D9">
        <v>0.15995400000000001</v>
      </c>
      <c r="E9">
        <v>0.16</v>
      </c>
    </row>
    <row r="10" spans="1:5" x14ac:dyDescent="0.2">
      <c r="A10" s="29">
        <v>45225</v>
      </c>
      <c r="B10" t="s">
        <v>15</v>
      </c>
      <c r="C10">
        <v>5.1646783449931323E-2</v>
      </c>
      <c r="D10">
        <v>15.683454920000001</v>
      </c>
      <c r="E10">
        <v>0.81</v>
      </c>
    </row>
    <row r="11" spans="1:5" x14ac:dyDescent="0.2">
      <c r="A11" s="29">
        <v>45220</v>
      </c>
      <c r="B11" t="s">
        <v>15</v>
      </c>
      <c r="C11">
        <v>4.5819901100180707E-2</v>
      </c>
      <c r="D11">
        <v>297.4689965</v>
      </c>
      <c r="E11">
        <v>13.63</v>
      </c>
    </row>
    <row r="12" spans="1:5" x14ac:dyDescent="0.2">
      <c r="A12" s="29">
        <v>45146</v>
      </c>
      <c r="B12" t="s">
        <v>15</v>
      </c>
      <c r="C12">
        <v>5.6457970710042847E-2</v>
      </c>
      <c r="D12">
        <v>470.261323</v>
      </c>
      <c r="E12">
        <v>26.55</v>
      </c>
    </row>
    <row r="13" spans="1:5" x14ac:dyDescent="0.2">
      <c r="A13" s="29">
        <v>45146</v>
      </c>
      <c r="B13" t="s">
        <v>15</v>
      </c>
      <c r="C13">
        <v>5.8489929271262703E-2</v>
      </c>
      <c r="D13">
        <v>43834.383661319996</v>
      </c>
      <c r="E13">
        <v>2563.87</v>
      </c>
    </row>
    <row r="14" spans="1:5" x14ac:dyDescent="0.2">
      <c r="A14" s="29">
        <v>45146</v>
      </c>
      <c r="B14" t="s">
        <v>15</v>
      </c>
      <c r="C14">
        <v>5.9090909086672583E-2</v>
      </c>
      <c r="D14">
        <v>53.646153849999997</v>
      </c>
      <c r="E14">
        <v>3.17</v>
      </c>
    </row>
    <row r="15" spans="1:5" x14ac:dyDescent="0.2">
      <c r="A15" s="29">
        <v>45131</v>
      </c>
      <c r="B15" t="s">
        <v>14</v>
      </c>
      <c r="C15">
        <v>0.70484848483225204</v>
      </c>
      <c r="D15">
        <v>1418.7446259999999</v>
      </c>
      <c r="E15">
        <v>1000</v>
      </c>
    </row>
    <row r="16" spans="1:5" x14ac:dyDescent="0.2">
      <c r="A16" s="29">
        <v>45125</v>
      </c>
      <c r="B16" t="s">
        <v>14</v>
      </c>
      <c r="C16">
        <v>0.73129949359238566</v>
      </c>
      <c r="D16">
        <v>922.76831300000003</v>
      </c>
      <c r="E16">
        <v>674.82</v>
      </c>
    </row>
    <row r="17" spans="1:5" x14ac:dyDescent="0.2">
      <c r="A17" s="29">
        <v>45125</v>
      </c>
      <c r="B17" t="s">
        <v>14</v>
      </c>
      <c r="C17">
        <v>0.7241962123126896</v>
      </c>
      <c r="D17">
        <v>941.04330900000002</v>
      </c>
      <c r="E17">
        <v>681.5</v>
      </c>
    </row>
    <row r="18" spans="1:5" x14ac:dyDescent="0.2">
      <c r="A18" s="29">
        <v>45125</v>
      </c>
      <c r="B18" t="s">
        <v>14</v>
      </c>
      <c r="C18">
        <v>0.74696250143597664</v>
      </c>
      <c r="D18">
        <v>971.85601499999996</v>
      </c>
      <c r="E18">
        <v>725.94</v>
      </c>
    </row>
    <row r="19" spans="1:5" x14ac:dyDescent="0.2">
      <c r="A19" s="29">
        <v>45087</v>
      </c>
      <c r="B19" t="s">
        <v>15</v>
      </c>
      <c r="C19">
        <v>4.8447403302334401E-2</v>
      </c>
      <c r="D19">
        <v>130.24433859999999</v>
      </c>
      <c r="E19">
        <v>6.31</v>
      </c>
    </row>
    <row r="20" spans="1:5" x14ac:dyDescent="0.2">
      <c r="A20" s="29">
        <v>45067</v>
      </c>
      <c r="B20" t="s">
        <v>15</v>
      </c>
      <c r="C20">
        <v>5.3018887936754418E-2</v>
      </c>
      <c r="D20">
        <v>58.46972882</v>
      </c>
      <c r="E20">
        <v>3.1</v>
      </c>
    </row>
    <row r="21" spans="1:5" x14ac:dyDescent="0.2">
      <c r="A21" s="29">
        <v>45058</v>
      </c>
      <c r="B21" t="s">
        <v>15</v>
      </c>
      <c r="C21">
        <v>5.1395018419514903E-2</v>
      </c>
      <c r="D21">
        <v>283.87965309999998</v>
      </c>
      <c r="E21">
        <v>14.59</v>
      </c>
    </row>
    <row r="22" spans="1:5" x14ac:dyDescent="0.2">
      <c r="A22" s="29">
        <v>45058</v>
      </c>
      <c r="B22" t="s">
        <v>14</v>
      </c>
      <c r="C22">
        <v>0.42897662457040397</v>
      </c>
      <c r="D22">
        <v>44.590986000000001</v>
      </c>
      <c r="E22">
        <v>19.13</v>
      </c>
    </row>
    <row r="23" spans="1:5" x14ac:dyDescent="0.2">
      <c r="A23" s="29">
        <v>45055</v>
      </c>
      <c r="B23" t="s">
        <v>14</v>
      </c>
      <c r="C23">
        <v>0.45036058859357209</v>
      </c>
      <c r="D23">
        <v>113.28700000000001</v>
      </c>
      <c r="E23">
        <v>51.02</v>
      </c>
    </row>
    <row r="24" spans="1:5" x14ac:dyDescent="0.2">
      <c r="A24" s="29">
        <v>45015</v>
      </c>
      <c r="B24" t="s">
        <v>15</v>
      </c>
      <c r="C24">
        <v>5.8909231035266761E-2</v>
      </c>
      <c r="D24">
        <v>6.4506019400000003</v>
      </c>
      <c r="E24">
        <v>0.38</v>
      </c>
    </row>
    <row r="25" spans="1:5" x14ac:dyDescent="0.2">
      <c r="A25" s="29">
        <v>45013</v>
      </c>
      <c r="B25" t="s">
        <v>14</v>
      </c>
      <c r="C25">
        <v>0.48013752958173128</v>
      </c>
      <c r="D25">
        <v>2066.6995160000001</v>
      </c>
      <c r="E25">
        <v>992.3</v>
      </c>
    </row>
    <row r="26" spans="1:5" x14ac:dyDescent="0.2">
      <c r="A26" s="29">
        <v>45012</v>
      </c>
      <c r="B26" t="s">
        <v>14</v>
      </c>
      <c r="C26">
        <v>0.44883567144050418</v>
      </c>
      <c r="D26">
        <v>805.48410699999999</v>
      </c>
      <c r="E26">
        <v>361.53</v>
      </c>
    </row>
    <row r="27" spans="1:5" x14ac:dyDescent="0.2">
      <c r="A27" s="29">
        <v>45011</v>
      </c>
      <c r="B27" t="s">
        <v>14</v>
      </c>
      <c r="C27">
        <v>0.45467270916997471</v>
      </c>
      <c r="D27">
        <v>219.93842599999999</v>
      </c>
      <c r="E27">
        <v>100</v>
      </c>
    </row>
    <row r="28" spans="1:5" x14ac:dyDescent="0.2">
      <c r="A28" s="29">
        <v>45007</v>
      </c>
      <c r="B28" t="s">
        <v>14</v>
      </c>
      <c r="C28">
        <v>0.43719464067456321</v>
      </c>
      <c r="D28">
        <v>1152.3779509999999</v>
      </c>
      <c r="E28">
        <v>503.82</v>
      </c>
    </row>
    <row r="29" spans="1:5" x14ac:dyDescent="0.2">
      <c r="A29" s="29">
        <v>45006</v>
      </c>
      <c r="B29" t="s">
        <v>15</v>
      </c>
      <c r="C29">
        <v>6.3005025125087058E-2</v>
      </c>
      <c r="D29">
        <v>317.43499760999998</v>
      </c>
      <c r="E29">
        <v>20</v>
      </c>
    </row>
    <row r="30" spans="1:5" x14ac:dyDescent="0.2">
      <c r="A30" s="29">
        <v>44999</v>
      </c>
      <c r="B30" t="s">
        <v>15</v>
      </c>
      <c r="C30">
        <v>6.4582914572131514E-2</v>
      </c>
      <c r="D30">
        <v>309.67942733000001</v>
      </c>
      <c r="E30">
        <v>20</v>
      </c>
    </row>
    <row r="31" spans="1:5" x14ac:dyDescent="0.2">
      <c r="A31" s="29">
        <v>44996</v>
      </c>
      <c r="B31" t="s">
        <v>15</v>
      </c>
      <c r="C31">
        <v>5.9242424242433971E-2</v>
      </c>
      <c r="D31">
        <v>10127.87723785</v>
      </c>
      <c r="E31">
        <v>600</v>
      </c>
    </row>
    <row r="32" spans="1:5" x14ac:dyDescent="0.2">
      <c r="A32" s="29">
        <v>44992</v>
      </c>
      <c r="B32" t="s">
        <v>15</v>
      </c>
      <c r="C32">
        <v>6.4110552764432172E-2</v>
      </c>
      <c r="D32">
        <v>311.96112242999999</v>
      </c>
      <c r="E32">
        <v>20</v>
      </c>
    </row>
    <row r="33" spans="1:5" x14ac:dyDescent="0.2">
      <c r="A33" s="29">
        <v>44987</v>
      </c>
      <c r="B33" t="s">
        <v>15</v>
      </c>
      <c r="C33">
        <v>6.9024293018328603E-2</v>
      </c>
      <c r="D33">
        <v>12639.46303323</v>
      </c>
      <c r="E33">
        <v>872.43</v>
      </c>
    </row>
    <row r="34" spans="1:5" x14ac:dyDescent="0.2">
      <c r="A34" s="29">
        <v>44985</v>
      </c>
      <c r="B34" t="s">
        <v>15</v>
      </c>
      <c r="C34">
        <v>7.2904522614038361E-2</v>
      </c>
      <c r="D34">
        <v>274.33140336000002</v>
      </c>
      <c r="E34">
        <v>20</v>
      </c>
    </row>
    <row r="35" spans="1:5" x14ac:dyDescent="0.2">
      <c r="A35" s="29">
        <v>44964</v>
      </c>
      <c r="B35" t="s">
        <v>15</v>
      </c>
      <c r="C35">
        <v>7.0109189212948994E-2</v>
      </c>
      <c r="D35">
        <v>264.01674599</v>
      </c>
      <c r="E35">
        <v>20</v>
      </c>
    </row>
    <row r="36" spans="1:5" x14ac:dyDescent="0.2">
      <c r="A36" s="29">
        <v>44957</v>
      </c>
      <c r="B36" t="s">
        <v>15</v>
      </c>
      <c r="C36">
        <v>6.4170854271170377E-2</v>
      </c>
      <c r="D36">
        <v>288.44870791</v>
      </c>
      <c r="E36">
        <v>20</v>
      </c>
    </row>
    <row r="37" spans="1:5" x14ac:dyDescent="0.2">
      <c r="A37" s="29">
        <v>44950</v>
      </c>
      <c r="B37" t="s">
        <v>15</v>
      </c>
      <c r="C37">
        <v>6.9748743718411194E-2</v>
      </c>
      <c r="D37">
        <v>265.38112391999999</v>
      </c>
      <c r="E37">
        <v>20</v>
      </c>
    </row>
    <row r="38" spans="1:5" x14ac:dyDescent="0.2">
      <c r="A38" s="29">
        <v>44947</v>
      </c>
      <c r="B38" t="s">
        <v>15</v>
      </c>
      <c r="C38">
        <v>7.6083655655577107E-2</v>
      </c>
      <c r="D38">
        <v>6661.4007984700002</v>
      </c>
      <c r="E38">
        <v>506.82</v>
      </c>
    </row>
    <row r="39" spans="1:5" x14ac:dyDescent="0.2">
      <c r="A39" s="29">
        <v>44943</v>
      </c>
      <c r="B39" t="s">
        <v>15</v>
      </c>
      <c r="C39">
        <v>5.367839196031339E-2</v>
      </c>
      <c r="D39">
        <v>372.58940273000002</v>
      </c>
      <c r="E39">
        <v>20</v>
      </c>
    </row>
    <row r="40" spans="1:5" x14ac:dyDescent="0.2">
      <c r="A40" s="29">
        <v>44938</v>
      </c>
      <c r="B40" t="s">
        <v>15</v>
      </c>
      <c r="C40">
        <v>4.459995351554337E-2</v>
      </c>
      <c r="D40">
        <v>872.76773120999997</v>
      </c>
      <c r="E40">
        <v>38.93</v>
      </c>
    </row>
    <row r="41" spans="1:5" x14ac:dyDescent="0.2">
      <c r="A41" s="29">
        <v>44938</v>
      </c>
      <c r="B41" t="s">
        <v>15</v>
      </c>
      <c r="C41">
        <v>4.4591449237700823E-2</v>
      </c>
      <c r="D41">
        <v>655.50684043000001</v>
      </c>
      <c r="E41">
        <v>29.23</v>
      </c>
    </row>
    <row r="42" spans="1:5" x14ac:dyDescent="0.2">
      <c r="A42" s="29">
        <v>44938</v>
      </c>
      <c r="B42" t="s">
        <v>15</v>
      </c>
      <c r="C42">
        <v>4.4558681012117143E-2</v>
      </c>
      <c r="D42">
        <v>656.21331996000004</v>
      </c>
      <c r="E42">
        <v>29.24</v>
      </c>
    </row>
    <row r="43" spans="1:5" x14ac:dyDescent="0.2">
      <c r="A43" s="29">
        <v>44936</v>
      </c>
      <c r="B43" t="s">
        <v>15</v>
      </c>
      <c r="C43">
        <v>4.5135678392002887E-2</v>
      </c>
      <c r="D43">
        <v>443.1084391</v>
      </c>
      <c r="E43">
        <v>20</v>
      </c>
    </row>
    <row r="44" spans="1:5" x14ac:dyDescent="0.2">
      <c r="A44" s="29">
        <v>44893</v>
      </c>
      <c r="B44" t="s">
        <v>39</v>
      </c>
      <c r="C44">
        <v>1178.442052468954</v>
      </c>
      <c r="D44">
        <v>3.1578000000000161E-4</v>
      </c>
      <c r="E44">
        <v>0.34999999999999792</v>
      </c>
    </row>
    <row r="45" spans="1:5" x14ac:dyDescent="0.2">
      <c r="A45" s="29">
        <v>44867</v>
      </c>
      <c r="B45" t="s">
        <v>15</v>
      </c>
      <c r="C45">
        <v>5.8070726470762647E-2</v>
      </c>
      <c r="D45">
        <v>839.14913694999996</v>
      </c>
      <c r="E45">
        <v>48.73</v>
      </c>
    </row>
    <row r="46" spans="1:5" x14ac:dyDescent="0.2">
      <c r="A46" s="29">
        <v>44867</v>
      </c>
      <c r="B46" t="s">
        <v>15</v>
      </c>
      <c r="C46">
        <v>5.8050593880543733E-2</v>
      </c>
      <c r="D46">
        <v>839.61242671000002</v>
      </c>
      <c r="E46">
        <v>48.74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CC5F6-512F-994D-9C89-142178C8E2EA}">
  <dimension ref="A1:G446"/>
  <sheetViews>
    <sheetView topLeftCell="A154" workbookViewId="0">
      <selection activeCell="C154" sqref="C1:C1048576"/>
    </sheetView>
  </sheetViews>
  <sheetFormatPr baseColWidth="10" defaultRowHeight="16" x14ac:dyDescent="0.2"/>
  <cols>
    <col min="1" max="1" width="10.85546875" bestFit="1" customWidth="1"/>
    <col min="2" max="2" width="12" bestFit="1" customWidth="1"/>
    <col min="3" max="3" width="15.42578125" bestFit="1" customWidth="1"/>
    <col min="4" max="5" width="11.140625" bestFit="1" customWidth="1"/>
    <col min="6" max="6" width="11.28515625" bestFit="1" customWidth="1"/>
    <col min="7" max="7" width="8.42578125" bestFit="1" customWidth="1"/>
  </cols>
  <sheetData>
    <row r="1" spans="1:7" x14ac:dyDescent="0.2">
      <c r="A1" t="s">
        <v>73</v>
      </c>
      <c r="B1" t="s">
        <v>83</v>
      </c>
      <c r="C1" t="s">
        <v>139</v>
      </c>
      <c r="D1" t="s">
        <v>140</v>
      </c>
      <c r="E1" t="s">
        <v>142</v>
      </c>
      <c r="F1" t="s">
        <v>81</v>
      </c>
      <c r="G1" t="s">
        <v>141</v>
      </c>
    </row>
    <row r="2" spans="1:7" x14ac:dyDescent="0.2">
      <c r="A2" t="s">
        <v>40</v>
      </c>
      <c r="B2">
        <v>2.669E-5</v>
      </c>
      <c r="C2" s="29">
        <v>45140</v>
      </c>
      <c r="D2" s="29">
        <v>45140</v>
      </c>
      <c r="E2">
        <v>0.78</v>
      </c>
      <c r="F2">
        <v>0.79</v>
      </c>
      <c r="G2">
        <v>-0.01</v>
      </c>
    </row>
    <row r="3" spans="1:7" x14ac:dyDescent="0.2">
      <c r="A3" t="s">
        <v>40</v>
      </c>
      <c r="B3">
        <v>3.2610999999999998E-3</v>
      </c>
      <c r="C3" s="29">
        <v>45140</v>
      </c>
      <c r="D3" s="29">
        <v>45140</v>
      </c>
      <c r="E3">
        <v>94.96</v>
      </c>
      <c r="F3">
        <v>95.98</v>
      </c>
      <c r="G3">
        <v>-1.02</v>
      </c>
    </row>
    <row r="4" spans="1:7" x14ac:dyDescent="0.2">
      <c r="A4" t="s">
        <v>40</v>
      </c>
      <c r="B4">
        <v>1.1001E-4</v>
      </c>
      <c r="C4" s="29">
        <v>45140</v>
      </c>
      <c r="D4" s="29">
        <v>45141</v>
      </c>
      <c r="E4">
        <v>3.17</v>
      </c>
      <c r="F4">
        <v>3.24</v>
      </c>
      <c r="G4">
        <v>-7.0000000000000007E-2</v>
      </c>
    </row>
    <row r="5" spans="1:7" x14ac:dyDescent="0.2">
      <c r="A5" t="s">
        <v>47</v>
      </c>
      <c r="B5">
        <v>33.367037410000002</v>
      </c>
      <c r="C5" s="29">
        <v>45006</v>
      </c>
      <c r="D5" s="29">
        <v>45006</v>
      </c>
      <c r="E5">
        <v>194.39</v>
      </c>
      <c r="F5">
        <v>200</v>
      </c>
      <c r="G5">
        <v>-5.61</v>
      </c>
    </row>
    <row r="6" spans="1:7" x14ac:dyDescent="0.2">
      <c r="A6" t="s">
        <v>41</v>
      </c>
      <c r="B6">
        <v>3.17769331</v>
      </c>
      <c r="C6" s="29">
        <v>44886</v>
      </c>
      <c r="D6" s="29">
        <v>44987</v>
      </c>
      <c r="E6">
        <v>23.08</v>
      </c>
      <c r="F6">
        <v>20</v>
      </c>
      <c r="G6">
        <v>3.08</v>
      </c>
    </row>
    <row r="7" spans="1:7" x14ac:dyDescent="0.2">
      <c r="A7" t="s">
        <v>41</v>
      </c>
      <c r="B7">
        <v>2.9604284399999998</v>
      </c>
      <c r="C7" s="29">
        <v>44893</v>
      </c>
      <c r="D7" s="29">
        <v>44987</v>
      </c>
      <c r="E7">
        <v>21.5</v>
      </c>
      <c r="F7">
        <v>20</v>
      </c>
      <c r="G7">
        <v>1.5</v>
      </c>
    </row>
    <row r="8" spans="1:7" x14ac:dyDescent="0.2">
      <c r="A8" t="s">
        <v>41</v>
      </c>
      <c r="B8">
        <v>2.64100863</v>
      </c>
      <c r="C8" s="29">
        <v>44900</v>
      </c>
      <c r="D8" s="29">
        <v>44987</v>
      </c>
      <c r="E8">
        <v>19.18</v>
      </c>
      <c r="F8">
        <v>20</v>
      </c>
      <c r="G8">
        <v>-0.82</v>
      </c>
    </row>
    <row r="9" spans="1:7" x14ac:dyDescent="0.2">
      <c r="A9" t="s">
        <v>41</v>
      </c>
      <c r="B9">
        <v>2.5693987200000001</v>
      </c>
      <c r="C9" s="29">
        <v>44958</v>
      </c>
      <c r="D9" s="29">
        <v>44987</v>
      </c>
      <c r="E9">
        <v>18.66</v>
      </c>
      <c r="F9">
        <v>20</v>
      </c>
      <c r="G9">
        <v>-1.34</v>
      </c>
    </row>
    <row r="10" spans="1:7" x14ac:dyDescent="0.2">
      <c r="A10" t="s">
        <v>41</v>
      </c>
      <c r="B10">
        <v>13.39468619</v>
      </c>
      <c r="C10" s="29">
        <v>44966</v>
      </c>
      <c r="D10" s="29">
        <v>44987</v>
      </c>
      <c r="E10">
        <v>97.28</v>
      </c>
      <c r="F10">
        <v>100</v>
      </c>
      <c r="G10">
        <v>-2.72</v>
      </c>
    </row>
    <row r="11" spans="1:7" x14ac:dyDescent="0.2">
      <c r="A11" t="s">
        <v>41</v>
      </c>
      <c r="B11">
        <v>2.63709192</v>
      </c>
      <c r="C11" s="29">
        <v>44966</v>
      </c>
      <c r="D11" s="29">
        <v>44987</v>
      </c>
      <c r="E11">
        <v>19.149999999999999</v>
      </c>
      <c r="F11">
        <v>20</v>
      </c>
      <c r="G11">
        <v>-0.85</v>
      </c>
    </row>
    <row r="12" spans="1:7" x14ac:dyDescent="0.2">
      <c r="A12" t="s">
        <v>41</v>
      </c>
      <c r="B12">
        <v>13.799135100000001</v>
      </c>
      <c r="C12" s="29">
        <v>44967</v>
      </c>
      <c r="D12" s="29">
        <v>44987</v>
      </c>
      <c r="E12">
        <v>100.22</v>
      </c>
      <c r="F12">
        <v>100</v>
      </c>
      <c r="G12">
        <v>0.22</v>
      </c>
    </row>
    <row r="13" spans="1:7" x14ac:dyDescent="0.2">
      <c r="A13" t="s">
        <v>41</v>
      </c>
      <c r="B13">
        <v>28.723336209999999</v>
      </c>
      <c r="C13" s="29">
        <v>44968</v>
      </c>
      <c r="D13" s="29">
        <v>44987</v>
      </c>
      <c r="E13">
        <v>208.61</v>
      </c>
      <c r="F13">
        <v>198.03</v>
      </c>
      <c r="G13">
        <v>10.58</v>
      </c>
    </row>
    <row r="14" spans="1:7" x14ac:dyDescent="0.2">
      <c r="A14" t="s">
        <v>41</v>
      </c>
      <c r="B14">
        <v>23.956347149999999</v>
      </c>
      <c r="C14" s="29">
        <v>44968</v>
      </c>
      <c r="D14" s="29">
        <v>44987</v>
      </c>
      <c r="E14">
        <v>173.99</v>
      </c>
      <c r="F14">
        <v>165.21</v>
      </c>
      <c r="G14">
        <v>8.7799999999999994</v>
      </c>
    </row>
    <row r="15" spans="1:7" x14ac:dyDescent="0.2">
      <c r="A15" t="s">
        <v>41</v>
      </c>
      <c r="B15">
        <v>13.840589789999999</v>
      </c>
      <c r="C15" s="29">
        <v>44974</v>
      </c>
      <c r="D15" s="29">
        <v>44987</v>
      </c>
      <c r="E15">
        <v>100.52</v>
      </c>
      <c r="F15">
        <v>100</v>
      </c>
      <c r="G15">
        <v>0.52</v>
      </c>
    </row>
    <row r="16" spans="1:7" x14ac:dyDescent="0.2">
      <c r="A16" t="s">
        <v>41</v>
      </c>
      <c r="B16">
        <v>12.42352354</v>
      </c>
      <c r="C16" s="29">
        <v>44981</v>
      </c>
      <c r="D16" s="29">
        <v>44987</v>
      </c>
      <c r="E16">
        <v>90.23</v>
      </c>
      <c r="F16">
        <v>100</v>
      </c>
      <c r="G16">
        <v>-9.77</v>
      </c>
    </row>
    <row r="17" spans="1:7" x14ac:dyDescent="0.2">
      <c r="A17" t="s">
        <v>41</v>
      </c>
      <c r="B17">
        <v>53.468029299999998</v>
      </c>
      <c r="C17" s="29">
        <v>44988</v>
      </c>
      <c r="D17" s="29">
        <v>45006</v>
      </c>
      <c r="E17">
        <v>384.39</v>
      </c>
      <c r="F17">
        <v>369.59</v>
      </c>
      <c r="G17">
        <v>14.8</v>
      </c>
    </row>
    <row r="18" spans="1:7" x14ac:dyDescent="0.2">
      <c r="A18" t="s">
        <v>41</v>
      </c>
      <c r="B18">
        <v>26.008521089999999</v>
      </c>
      <c r="C18" s="29">
        <v>44988</v>
      </c>
      <c r="D18" s="29">
        <v>45006</v>
      </c>
      <c r="E18">
        <v>186.98</v>
      </c>
      <c r="F18">
        <v>179.75</v>
      </c>
      <c r="G18">
        <v>7.23</v>
      </c>
    </row>
    <row r="19" spans="1:7" x14ac:dyDescent="0.2">
      <c r="A19" t="s">
        <v>41</v>
      </c>
      <c r="B19">
        <v>0.60699495999999997</v>
      </c>
      <c r="C19" s="29">
        <v>45034</v>
      </c>
      <c r="D19" s="29">
        <v>45034</v>
      </c>
      <c r="E19">
        <v>5.25</v>
      </c>
      <c r="F19">
        <v>5.4</v>
      </c>
      <c r="G19">
        <v>-0.15</v>
      </c>
    </row>
    <row r="20" spans="1:7" x14ac:dyDescent="0.2">
      <c r="A20" t="s">
        <v>41</v>
      </c>
      <c r="B20">
        <v>105.2927045</v>
      </c>
      <c r="C20" s="29">
        <v>45034</v>
      </c>
      <c r="D20" s="29">
        <v>45124</v>
      </c>
      <c r="E20">
        <v>694.1</v>
      </c>
      <c r="F20">
        <v>941.2</v>
      </c>
      <c r="G20">
        <v>-247.1</v>
      </c>
    </row>
    <row r="21" spans="1:7" x14ac:dyDescent="0.2">
      <c r="A21" t="s">
        <v>34</v>
      </c>
      <c r="B21">
        <v>128.04097300000001</v>
      </c>
      <c r="C21" s="29">
        <v>44843</v>
      </c>
      <c r="D21" s="29">
        <v>44937</v>
      </c>
      <c r="E21">
        <v>38.97</v>
      </c>
      <c r="F21">
        <v>55.65</v>
      </c>
      <c r="G21">
        <v>-16.68</v>
      </c>
    </row>
    <row r="22" spans="1:7" x14ac:dyDescent="0.2">
      <c r="A22" t="s">
        <v>34</v>
      </c>
      <c r="B22">
        <v>16.625104</v>
      </c>
      <c r="C22" s="29">
        <v>44843</v>
      </c>
      <c r="D22" s="29">
        <v>44946</v>
      </c>
      <c r="E22">
        <v>5.99</v>
      </c>
      <c r="F22">
        <v>7.23</v>
      </c>
      <c r="G22">
        <v>-1.24</v>
      </c>
    </row>
    <row r="23" spans="1:7" x14ac:dyDescent="0.2">
      <c r="A23" t="s">
        <v>34</v>
      </c>
      <c r="B23">
        <v>0.11730699999999999</v>
      </c>
      <c r="C23" s="29">
        <v>44813</v>
      </c>
      <c r="D23" s="29">
        <v>44968</v>
      </c>
      <c r="E23">
        <v>0.04</v>
      </c>
      <c r="F23">
        <v>0.05</v>
      </c>
      <c r="G23">
        <v>-0.01</v>
      </c>
    </row>
    <row r="24" spans="1:7" x14ac:dyDescent="0.2">
      <c r="A24" t="s">
        <v>34</v>
      </c>
      <c r="B24">
        <v>0.115146</v>
      </c>
      <c r="C24" s="29">
        <v>44821</v>
      </c>
      <c r="D24" s="29">
        <v>44968</v>
      </c>
      <c r="E24">
        <v>0.04</v>
      </c>
      <c r="F24">
        <v>0.05</v>
      </c>
      <c r="G24">
        <v>-0.01</v>
      </c>
    </row>
    <row r="25" spans="1:7" x14ac:dyDescent="0.2">
      <c r="A25" t="s">
        <v>34</v>
      </c>
      <c r="B25">
        <v>0.118088</v>
      </c>
      <c r="C25" s="29">
        <v>44828</v>
      </c>
      <c r="D25" s="29">
        <v>44968</v>
      </c>
      <c r="E25">
        <v>0.04</v>
      </c>
      <c r="F25">
        <v>0.05</v>
      </c>
      <c r="G25">
        <v>-0.01</v>
      </c>
    </row>
    <row r="26" spans="1:7" x14ac:dyDescent="0.2">
      <c r="A26" t="s">
        <v>34</v>
      </c>
      <c r="B26">
        <v>190.22594799999999</v>
      </c>
      <c r="C26" s="29">
        <v>44843</v>
      </c>
      <c r="D26" s="29">
        <v>44968</v>
      </c>
      <c r="E26">
        <v>66.5</v>
      </c>
      <c r="F26">
        <v>82.67</v>
      </c>
      <c r="G26">
        <v>-16.170000000000002</v>
      </c>
    </row>
    <row r="27" spans="1:7" x14ac:dyDescent="0.2">
      <c r="A27" t="s">
        <v>34</v>
      </c>
      <c r="B27">
        <v>93.468839000000003</v>
      </c>
      <c r="C27" s="29">
        <v>44854</v>
      </c>
      <c r="D27" s="29">
        <v>44968</v>
      </c>
      <c r="E27">
        <v>32.68</v>
      </c>
      <c r="F27">
        <v>35</v>
      </c>
      <c r="G27">
        <v>-2.3199999999999998</v>
      </c>
    </row>
    <row r="28" spans="1:7" x14ac:dyDescent="0.2">
      <c r="A28" t="s">
        <v>34</v>
      </c>
      <c r="B28">
        <v>0.17152400000000001</v>
      </c>
      <c r="C28" s="29">
        <v>44864</v>
      </c>
      <c r="D28" s="29">
        <v>44968</v>
      </c>
      <c r="E28">
        <v>0.06</v>
      </c>
      <c r="F28">
        <v>7.0000000000000007E-2</v>
      </c>
      <c r="G28">
        <v>-0.01</v>
      </c>
    </row>
    <row r="29" spans="1:7" x14ac:dyDescent="0.2">
      <c r="A29" t="s">
        <v>34</v>
      </c>
      <c r="B29">
        <v>0.18606300000000001</v>
      </c>
      <c r="C29" s="29">
        <v>44868</v>
      </c>
      <c r="D29" s="29">
        <v>44968</v>
      </c>
      <c r="E29">
        <v>7.0000000000000007E-2</v>
      </c>
      <c r="F29">
        <v>7.0000000000000007E-2</v>
      </c>
      <c r="G29">
        <v>0</v>
      </c>
    </row>
    <row r="30" spans="1:7" x14ac:dyDescent="0.2">
      <c r="A30" t="s">
        <v>34</v>
      </c>
      <c r="B30">
        <v>0.216723</v>
      </c>
      <c r="C30" s="29">
        <v>44877</v>
      </c>
      <c r="D30" s="29">
        <v>44968</v>
      </c>
      <c r="E30">
        <v>0.08</v>
      </c>
      <c r="F30">
        <v>7.0000000000000007E-2</v>
      </c>
      <c r="G30">
        <v>0.01</v>
      </c>
    </row>
    <row r="31" spans="1:7" x14ac:dyDescent="0.2">
      <c r="A31" t="s">
        <v>34</v>
      </c>
      <c r="B31">
        <v>0.20221500000000001</v>
      </c>
      <c r="C31" s="29">
        <v>44882</v>
      </c>
      <c r="D31" s="29">
        <v>44968</v>
      </c>
      <c r="E31">
        <v>7.0000000000000007E-2</v>
      </c>
      <c r="F31">
        <v>0.06</v>
      </c>
      <c r="G31">
        <v>0.01</v>
      </c>
    </row>
    <row r="32" spans="1:7" x14ac:dyDescent="0.2">
      <c r="A32" t="s">
        <v>34</v>
      </c>
      <c r="B32">
        <v>58.918460000000003</v>
      </c>
      <c r="C32" s="29">
        <v>44886</v>
      </c>
      <c r="D32" s="29">
        <v>44968</v>
      </c>
      <c r="E32">
        <v>20.6</v>
      </c>
      <c r="F32">
        <v>20</v>
      </c>
      <c r="G32">
        <v>0.6</v>
      </c>
    </row>
    <row r="33" spans="1:7" x14ac:dyDescent="0.2">
      <c r="A33" t="s">
        <v>34</v>
      </c>
      <c r="B33">
        <v>0.200349</v>
      </c>
      <c r="C33" s="29">
        <v>44887</v>
      </c>
      <c r="D33" s="29">
        <v>44968</v>
      </c>
      <c r="E33">
        <v>7.0000000000000007E-2</v>
      </c>
      <c r="F33">
        <v>0.06</v>
      </c>
      <c r="G33">
        <v>0.01</v>
      </c>
    </row>
    <row r="34" spans="1:7" x14ac:dyDescent="0.2">
      <c r="A34" t="s">
        <v>34</v>
      </c>
      <c r="B34">
        <v>0.15380099999999999</v>
      </c>
      <c r="C34" s="29">
        <v>44888</v>
      </c>
      <c r="D34" s="29">
        <v>44968</v>
      </c>
      <c r="E34">
        <v>0.05</v>
      </c>
      <c r="F34">
        <v>0.04</v>
      </c>
      <c r="G34">
        <v>0.01</v>
      </c>
    </row>
    <row r="35" spans="1:7" x14ac:dyDescent="0.2">
      <c r="A35" t="s">
        <v>34</v>
      </c>
      <c r="B35">
        <v>64.990201999999996</v>
      </c>
      <c r="C35" s="29">
        <v>44893</v>
      </c>
      <c r="D35" s="29">
        <v>44968</v>
      </c>
      <c r="E35">
        <v>22.72</v>
      </c>
      <c r="F35">
        <v>20</v>
      </c>
      <c r="G35">
        <v>2.72</v>
      </c>
    </row>
    <row r="36" spans="1:7" x14ac:dyDescent="0.2">
      <c r="A36" t="s">
        <v>34</v>
      </c>
      <c r="B36">
        <v>0.154609</v>
      </c>
      <c r="C36" s="29">
        <v>44893</v>
      </c>
      <c r="D36" s="29">
        <v>44968</v>
      </c>
      <c r="E36">
        <v>0.05</v>
      </c>
      <c r="F36">
        <v>0.04</v>
      </c>
      <c r="G36">
        <v>0.01</v>
      </c>
    </row>
    <row r="37" spans="1:7" x14ac:dyDescent="0.2">
      <c r="A37" t="s">
        <v>34</v>
      </c>
      <c r="B37">
        <v>0.15414900000000001</v>
      </c>
      <c r="C37" s="29">
        <v>44898</v>
      </c>
      <c r="D37" s="29">
        <v>44968</v>
      </c>
      <c r="E37">
        <v>0.05</v>
      </c>
      <c r="F37">
        <v>0.05</v>
      </c>
      <c r="G37">
        <v>0</v>
      </c>
    </row>
    <row r="38" spans="1:7" x14ac:dyDescent="0.2">
      <c r="A38" t="s">
        <v>34</v>
      </c>
      <c r="B38">
        <v>61.061675000000001</v>
      </c>
      <c r="C38" s="29">
        <v>44900</v>
      </c>
      <c r="D38" s="29">
        <v>44968</v>
      </c>
      <c r="E38">
        <v>21.35</v>
      </c>
      <c r="F38">
        <v>20</v>
      </c>
      <c r="G38">
        <v>1.35</v>
      </c>
    </row>
    <row r="39" spans="1:7" x14ac:dyDescent="0.2">
      <c r="A39" t="s">
        <v>34</v>
      </c>
      <c r="B39">
        <v>0.17120299999999999</v>
      </c>
      <c r="C39" s="29">
        <v>44904</v>
      </c>
      <c r="D39" s="29">
        <v>44968</v>
      </c>
      <c r="E39">
        <v>0.06</v>
      </c>
      <c r="F39">
        <v>0.05</v>
      </c>
      <c r="G39">
        <v>0.01</v>
      </c>
    </row>
    <row r="40" spans="1:7" x14ac:dyDescent="0.2">
      <c r="A40" t="s">
        <v>34</v>
      </c>
      <c r="B40">
        <v>0.16977200000000001</v>
      </c>
      <c r="C40" s="29">
        <v>44908</v>
      </c>
      <c r="D40" s="29">
        <v>44968</v>
      </c>
      <c r="E40">
        <v>0.06</v>
      </c>
      <c r="F40">
        <v>0.05</v>
      </c>
      <c r="G40">
        <v>0.01</v>
      </c>
    </row>
    <row r="41" spans="1:7" x14ac:dyDescent="0.2">
      <c r="A41" t="s">
        <v>34</v>
      </c>
      <c r="B41">
        <v>0.186168</v>
      </c>
      <c r="C41" s="29">
        <v>44916</v>
      </c>
      <c r="D41" s="29">
        <v>44968</v>
      </c>
      <c r="E41">
        <v>7.0000000000000007E-2</v>
      </c>
      <c r="F41">
        <v>0.04</v>
      </c>
      <c r="G41">
        <v>0.03</v>
      </c>
    </row>
    <row r="42" spans="1:7" x14ac:dyDescent="0.2">
      <c r="A42" t="s">
        <v>34</v>
      </c>
      <c r="B42">
        <v>0.20321800000000001</v>
      </c>
      <c r="C42" s="29">
        <v>44919</v>
      </c>
      <c r="D42" s="29">
        <v>44968</v>
      </c>
      <c r="E42">
        <v>7.0000000000000007E-2</v>
      </c>
      <c r="F42">
        <v>0.05</v>
      </c>
      <c r="G42">
        <v>0.02</v>
      </c>
    </row>
    <row r="43" spans="1:7" x14ac:dyDescent="0.2">
      <c r="A43" t="s">
        <v>34</v>
      </c>
      <c r="B43">
        <v>0.18753</v>
      </c>
      <c r="C43" s="29">
        <v>44924</v>
      </c>
      <c r="D43" s="29">
        <v>44968</v>
      </c>
      <c r="E43">
        <v>7.0000000000000007E-2</v>
      </c>
      <c r="F43">
        <v>0.04</v>
      </c>
      <c r="G43">
        <v>0.03</v>
      </c>
    </row>
    <row r="44" spans="1:7" x14ac:dyDescent="0.2">
      <c r="A44" t="s">
        <v>34</v>
      </c>
      <c r="B44">
        <v>0.19011</v>
      </c>
      <c r="C44" s="29">
        <v>44930</v>
      </c>
      <c r="D44" s="29">
        <v>44968</v>
      </c>
      <c r="E44">
        <v>7.0000000000000007E-2</v>
      </c>
      <c r="F44">
        <v>0.05</v>
      </c>
      <c r="G44">
        <v>0.02</v>
      </c>
    </row>
    <row r="45" spans="1:7" x14ac:dyDescent="0.2">
      <c r="A45" t="s">
        <v>34</v>
      </c>
      <c r="B45">
        <v>0.19023000000000001</v>
      </c>
      <c r="C45" s="29">
        <v>44933</v>
      </c>
      <c r="D45" s="29">
        <v>44968</v>
      </c>
      <c r="E45">
        <v>7.0000000000000007E-2</v>
      </c>
      <c r="F45">
        <v>0.05</v>
      </c>
      <c r="G45">
        <v>0.02</v>
      </c>
    </row>
    <row r="46" spans="1:7" x14ac:dyDescent="0.2">
      <c r="A46" t="s">
        <v>34</v>
      </c>
      <c r="B46">
        <v>0.175432</v>
      </c>
      <c r="C46" s="29">
        <v>44949</v>
      </c>
      <c r="D46" s="29">
        <v>44968</v>
      </c>
      <c r="E46">
        <v>0.06</v>
      </c>
      <c r="F46">
        <v>0.06</v>
      </c>
      <c r="G46">
        <v>0</v>
      </c>
    </row>
    <row r="47" spans="1:7" x14ac:dyDescent="0.2">
      <c r="A47" t="s">
        <v>34</v>
      </c>
      <c r="B47">
        <v>0.17879500000000001</v>
      </c>
      <c r="C47" s="29">
        <v>44952</v>
      </c>
      <c r="D47" s="29">
        <v>44968</v>
      </c>
      <c r="E47">
        <v>0.06</v>
      </c>
      <c r="F47">
        <v>0.06</v>
      </c>
      <c r="G47">
        <v>0</v>
      </c>
    </row>
    <row r="48" spans="1:7" x14ac:dyDescent="0.2">
      <c r="A48" t="s">
        <v>34</v>
      </c>
      <c r="B48">
        <v>0.18166099999999999</v>
      </c>
      <c r="C48" s="29">
        <v>44956</v>
      </c>
      <c r="D48" s="29">
        <v>44968</v>
      </c>
      <c r="E48">
        <v>0.06</v>
      </c>
      <c r="F48">
        <v>0.06</v>
      </c>
      <c r="G48">
        <v>0</v>
      </c>
    </row>
    <row r="49" spans="1:7" x14ac:dyDescent="0.2">
      <c r="A49" t="s">
        <v>34</v>
      </c>
      <c r="B49">
        <v>0.13858000000000001</v>
      </c>
      <c r="C49" s="29">
        <v>44959</v>
      </c>
      <c r="D49" s="29">
        <v>44968</v>
      </c>
      <c r="E49">
        <v>0.05</v>
      </c>
      <c r="F49">
        <v>0.05</v>
      </c>
      <c r="G49">
        <v>0</v>
      </c>
    </row>
    <row r="50" spans="1:7" x14ac:dyDescent="0.2">
      <c r="A50" t="s">
        <v>34</v>
      </c>
      <c r="B50">
        <v>0.14105100000000001</v>
      </c>
      <c r="C50" s="29">
        <v>44965</v>
      </c>
      <c r="D50" s="29">
        <v>44968</v>
      </c>
      <c r="E50">
        <v>0.05</v>
      </c>
      <c r="F50">
        <v>0.05</v>
      </c>
      <c r="G50">
        <v>0</v>
      </c>
    </row>
    <row r="51" spans="1:7" x14ac:dyDescent="0.2">
      <c r="A51" t="s">
        <v>34</v>
      </c>
      <c r="B51">
        <v>0.136409</v>
      </c>
      <c r="C51" s="29">
        <v>44969</v>
      </c>
      <c r="D51" s="29">
        <v>44983</v>
      </c>
      <c r="E51">
        <v>0.05</v>
      </c>
      <c r="F51">
        <v>0.04</v>
      </c>
      <c r="G51">
        <v>0.01</v>
      </c>
    </row>
    <row r="52" spans="1:7" x14ac:dyDescent="0.2">
      <c r="A52" t="s">
        <v>34</v>
      </c>
      <c r="B52">
        <v>1.8183000000000001E-2</v>
      </c>
      <c r="C52" s="29">
        <v>44972</v>
      </c>
      <c r="D52" s="29">
        <v>44983</v>
      </c>
      <c r="E52">
        <v>0.01</v>
      </c>
      <c r="F52">
        <v>0</v>
      </c>
      <c r="G52">
        <v>0.01</v>
      </c>
    </row>
    <row r="53" spans="1:7" x14ac:dyDescent="0.2">
      <c r="A53" t="s">
        <v>34</v>
      </c>
      <c r="B53">
        <v>0.12965599999999999</v>
      </c>
      <c r="C53" s="29">
        <v>44973</v>
      </c>
      <c r="D53" s="29">
        <v>44983</v>
      </c>
      <c r="E53">
        <v>0.05</v>
      </c>
      <c r="F53">
        <v>0.05</v>
      </c>
      <c r="G53">
        <v>0</v>
      </c>
    </row>
    <row r="54" spans="1:7" x14ac:dyDescent="0.2">
      <c r="A54" t="s">
        <v>34</v>
      </c>
      <c r="B54">
        <v>0.13773199999999999</v>
      </c>
      <c r="C54" s="29">
        <v>44978</v>
      </c>
      <c r="D54" s="29">
        <v>44983</v>
      </c>
      <c r="E54">
        <v>0.05</v>
      </c>
      <c r="F54">
        <v>0.05</v>
      </c>
      <c r="G54">
        <v>0</v>
      </c>
    </row>
    <row r="55" spans="1:7" x14ac:dyDescent="0.2">
      <c r="A55" t="s">
        <v>34</v>
      </c>
      <c r="B55">
        <v>0.18002099999999999</v>
      </c>
      <c r="C55" s="29">
        <v>45012</v>
      </c>
      <c r="D55" s="29">
        <v>45012</v>
      </c>
      <c r="E55">
        <v>0.06</v>
      </c>
      <c r="F55">
        <v>0.06</v>
      </c>
      <c r="G55">
        <v>0</v>
      </c>
    </row>
    <row r="56" spans="1:7" x14ac:dyDescent="0.2">
      <c r="A56" t="s">
        <v>34</v>
      </c>
      <c r="B56">
        <v>0.166909</v>
      </c>
      <c r="C56" s="29">
        <v>45012</v>
      </c>
      <c r="D56" s="29">
        <v>45124</v>
      </c>
      <c r="E56">
        <v>0.05</v>
      </c>
      <c r="F56">
        <v>0.06</v>
      </c>
      <c r="G56">
        <v>-0.01</v>
      </c>
    </row>
    <row r="57" spans="1:7" x14ac:dyDescent="0.2">
      <c r="A57" t="s">
        <v>34</v>
      </c>
      <c r="B57">
        <v>1677.9207570000001</v>
      </c>
      <c r="C57" s="29">
        <v>45012</v>
      </c>
      <c r="D57" s="29">
        <v>45124</v>
      </c>
      <c r="E57">
        <v>506.29</v>
      </c>
      <c r="F57">
        <v>593.32000000000005</v>
      </c>
      <c r="G57">
        <v>-87.03</v>
      </c>
    </row>
    <row r="58" spans="1:7" x14ac:dyDescent="0.2">
      <c r="A58" t="s">
        <v>34</v>
      </c>
      <c r="B58">
        <v>526.10355800000002</v>
      </c>
      <c r="C58" s="29">
        <v>45012</v>
      </c>
      <c r="D58" s="29">
        <v>45124</v>
      </c>
      <c r="E58">
        <v>158.74</v>
      </c>
      <c r="F58">
        <v>181.58</v>
      </c>
      <c r="G58">
        <v>-22.84</v>
      </c>
    </row>
    <row r="59" spans="1:7" x14ac:dyDescent="0.2">
      <c r="A59" t="s">
        <v>34</v>
      </c>
      <c r="B59">
        <v>32.43394</v>
      </c>
      <c r="C59" s="29">
        <v>45124</v>
      </c>
      <c r="D59" s="29">
        <v>45124</v>
      </c>
      <c r="E59">
        <v>9.7899999999999991</v>
      </c>
      <c r="F59">
        <v>9.9600000000000009</v>
      </c>
      <c r="G59">
        <v>-0.17</v>
      </c>
    </row>
    <row r="60" spans="1:7" x14ac:dyDescent="0.2">
      <c r="A60" t="s">
        <v>39</v>
      </c>
      <c r="B60">
        <v>4.6200000000000001E-4</v>
      </c>
      <c r="C60" s="29">
        <v>44935</v>
      </c>
      <c r="D60" s="29">
        <v>44938</v>
      </c>
      <c r="E60">
        <v>0.72</v>
      </c>
      <c r="F60">
        <v>0.61</v>
      </c>
      <c r="G60">
        <v>0.11</v>
      </c>
    </row>
    <row r="61" spans="1:7" x14ac:dyDescent="0.2">
      <c r="A61" t="s">
        <v>39</v>
      </c>
      <c r="B61">
        <v>3.6103799999999998E-3</v>
      </c>
      <c r="C61" s="29">
        <v>44935</v>
      </c>
      <c r="D61" s="29">
        <v>44938</v>
      </c>
      <c r="E61">
        <v>4.92</v>
      </c>
      <c r="F61">
        <v>4.76</v>
      </c>
      <c r="G61">
        <v>0.16</v>
      </c>
    </row>
    <row r="62" spans="1:7" x14ac:dyDescent="0.2">
      <c r="A62" t="s">
        <v>39</v>
      </c>
      <c r="B62">
        <v>1.44287E-3</v>
      </c>
      <c r="C62" s="29">
        <v>44935</v>
      </c>
      <c r="D62" s="29">
        <v>44938</v>
      </c>
      <c r="E62">
        <v>1.86</v>
      </c>
      <c r="F62">
        <v>1.9</v>
      </c>
      <c r="G62">
        <v>-0.04</v>
      </c>
    </row>
    <row r="63" spans="1:7" x14ac:dyDescent="0.2">
      <c r="A63" t="s">
        <v>39</v>
      </c>
      <c r="B63">
        <v>3.7800000000000003E-4</v>
      </c>
      <c r="C63" s="29">
        <v>44935</v>
      </c>
      <c r="D63" s="29">
        <v>44938</v>
      </c>
      <c r="E63">
        <v>0.66</v>
      </c>
      <c r="F63">
        <v>0.5</v>
      </c>
      <c r="G63">
        <v>0.16</v>
      </c>
    </row>
    <row r="64" spans="1:7" x14ac:dyDescent="0.2">
      <c r="A64" t="s">
        <v>39</v>
      </c>
      <c r="B64">
        <v>1.1246539999999999E-2</v>
      </c>
      <c r="C64" s="29">
        <v>44949</v>
      </c>
      <c r="D64" s="29">
        <v>44975</v>
      </c>
      <c r="E64">
        <v>19.010000000000002</v>
      </c>
      <c r="F64">
        <v>20</v>
      </c>
      <c r="G64">
        <v>-0.99</v>
      </c>
    </row>
    <row r="65" spans="1:7" x14ac:dyDescent="0.2">
      <c r="A65" t="s">
        <v>39</v>
      </c>
      <c r="B65">
        <v>1.127567E-2</v>
      </c>
      <c r="C65" s="29">
        <v>44956</v>
      </c>
      <c r="D65" s="29">
        <v>44975</v>
      </c>
      <c r="E65">
        <v>19.05</v>
      </c>
      <c r="F65">
        <v>20</v>
      </c>
      <c r="G65">
        <v>-0.95</v>
      </c>
    </row>
    <row r="66" spans="1:7" x14ac:dyDescent="0.2">
      <c r="A66" t="s">
        <v>39</v>
      </c>
      <c r="B66">
        <v>8.8209999999999997E-5</v>
      </c>
      <c r="C66" s="29">
        <v>44963</v>
      </c>
      <c r="D66" s="29">
        <v>44975</v>
      </c>
      <c r="E66">
        <v>0.15</v>
      </c>
      <c r="F66">
        <v>0.16</v>
      </c>
      <c r="G66">
        <v>-0.01</v>
      </c>
    </row>
    <row r="67" spans="1:7" x14ac:dyDescent="0.2">
      <c r="A67" t="s">
        <v>39</v>
      </c>
      <c r="B67">
        <v>7.0717899999999997E-3</v>
      </c>
      <c r="C67" s="29">
        <v>44963</v>
      </c>
      <c r="D67" s="29">
        <v>44975</v>
      </c>
      <c r="E67">
        <v>11.95</v>
      </c>
      <c r="F67">
        <v>12.49</v>
      </c>
      <c r="G67">
        <v>-0.54</v>
      </c>
    </row>
    <row r="68" spans="1:7" x14ac:dyDescent="0.2">
      <c r="A68" t="s">
        <v>39</v>
      </c>
      <c r="B68">
        <v>4.1671199999999999E-3</v>
      </c>
      <c r="C68" s="29">
        <v>44963</v>
      </c>
      <c r="D68" s="29">
        <v>45010</v>
      </c>
      <c r="E68">
        <v>7.08</v>
      </c>
      <c r="F68">
        <v>7.36</v>
      </c>
      <c r="G68">
        <v>-0.28000000000000003</v>
      </c>
    </row>
    <row r="69" spans="1:7" x14ac:dyDescent="0.2">
      <c r="A69" t="s">
        <v>39</v>
      </c>
      <c r="B69">
        <v>5.4917010000000002E-2</v>
      </c>
      <c r="C69" s="29">
        <v>44974</v>
      </c>
      <c r="D69" s="29">
        <v>45010</v>
      </c>
      <c r="E69">
        <v>93.31</v>
      </c>
      <c r="F69">
        <v>93.69</v>
      </c>
      <c r="G69">
        <v>-0.38</v>
      </c>
    </row>
    <row r="70" spans="1:7" x14ac:dyDescent="0.2">
      <c r="A70" t="s">
        <v>39</v>
      </c>
      <c r="B70">
        <v>5.859031E-2</v>
      </c>
      <c r="C70" s="29">
        <v>44975</v>
      </c>
      <c r="D70" s="29">
        <v>45010</v>
      </c>
      <c r="E70">
        <v>99.55</v>
      </c>
      <c r="F70">
        <v>100</v>
      </c>
      <c r="G70">
        <v>-0.45</v>
      </c>
    </row>
    <row r="71" spans="1:7" x14ac:dyDescent="0.2">
      <c r="A71" t="s">
        <v>39</v>
      </c>
      <c r="B71">
        <v>5.483242E-2</v>
      </c>
      <c r="C71" s="29">
        <v>45003</v>
      </c>
      <c r="D71" s="29">
        <v>45010</v>
      </c>
      <c r="E71">
        <v>93.17</v>
      </c>
      <c r="F71">
        <v>100</v>
      </c>
      <c r="G71">
        <v>-6.83</v>
      </c>
    </row>
    <row r="72" spans="1:7" x14ac:dyDescent="0.2">
      <c r="A72" t="s">
        <v>39</v>
      </c>
      <c r="B72">
        <v>5.6839099999999997E-2</v>
      </c>
      <c r="C72" s="29">
        <v>45010</v>
      </c>
      <c r="D72" s="29">
        <v>45010</v>
      </c>
      <c r="E72">
        <v>96.57</v>
      </c>
      <c r="F72">
        <v>100</v>
      </c>
      <c r="G72">
        <v>-3.43</v>
      </c>
    </row>
    <row r="73" spans="1:7" x14ac:dyDescent="0.2">
      <c r="A73" t="s">
        <v>39</v>
      </c>
      <c r="B73">
        <v>5.04E-4</v>
      </c>
      <c r="C73" s="29">
        <v>44974</v>
      </c>
      <c r="D73" s="29">
        <v>45012</v>
      </c>
      <c r="E73">
        <v>1.29</v>
      </c>
      <c r="F73">
        <v>0.86</v>
      </c>
      <c r="G73">
        <v>0.43</v>
      </c>
    </row>
    <row r="74" spans="1:7" x14ac:dyDescent="0.2">
      <c r="A74" t="s">
        <v>39</v>
      </c>
      <c r="B74">
        <v>5.2499000000000003E-4</v>
      </c>
      <c r="C74" s="29">
        <v>44893</v>
      </c>
      <c r="D74" s="29">
        <v>45012</v>
      </c>
      <c r="E74">
        <v>0.9</v>
      </c>
      <c r="F74">
        <v>0.62</v>
      </c>
      <c r="G74">
        <v>0.28000000000000003</v>
      </c>
    </row>
    <row r="75" spans="1:7" x14ac:dyDescent="0.2">
      <c r="A75" t="s">
        <v>39</v>
      </c>
      <c r="B75">
        <v>3.0431000000000002E-4</v>
      </c>
      <c r="C75" s="29">
        <v>44974</v>
      </c>
      <c r="D75" s="29">
        <v>45124</v>
      </c>
      <c r="E75">
        <v>0.59</v>
      </c>
      <c r="F75">
        <v>0.52</v>
      </c>
      <c r="G75">
        <v>7.0000000000000007E-2</v>
      </c>
    </row>
    <row r="76" spans="1:7" x14ac:dyDescent="0.2">
      <c r="A76" t="s">
        <v>39</v>
      </c>
      <c r="B76">
        <v>1.0055999999999999E-3</v>
      </c>
      <c r="C76" s="29">
        <v>44974</v>
      </c>
      <c r="D76" s="29">
        <v>45124</v>
      </c>
      <c r="E76">
        <v>1.93</v>
      </c>
      <c r="F76">
        <v>3.01</v>
      </c>
      <c r="G76">
        <v>-1.08</v>
      </c>
    </row>
    <row r="77" spans="1:7" x14ac:dyDescent="0.2">
      <c r="A77" t="s">
        <v>39</v>
      </c>
      <c r="B77">
        <v>3.0227999999999999E-4</v>
      </c>
      <c r="C77" s="29">
        <v>44893</v>
      </c>
      <c r="D77" s="29">
        <v>45146</v>
      </c>
      <c r="E77">
        <v>0.55000000000000004</v>
      </c>
      <c r="F77">
        <v>0.36</v>
      </c>
      <c r="G77">
        <v>0.19</v>
      </c>
    </row>
    <row r="78" spans="1:7" x14ac:dyDescent="0.2">
      <c r="A78" t="s">
        <v>39</v>
      </c>
      <c r="B78">
        <v>1.582851E-2</v>
      </c>
      <c r="C78" s="29">
        <v>44893</v>
      </c>
      <c r="D78" s="29">
        <v>45146</v>
      </c>
      <c r="E78">
        <v>28.12</v>
      </c>
      <c r="F78">
        <v>18.670000000000002</v>
      </c>
      <c r="G78">
        <v>9.4499999999999993</v>
      </c>
    </row>
    <row r="79" spans="1:7" x14ac:dyDescent="0.2">
      <c r="A79" t="s">
        <v>39</v>
      </c>
      <c r="B79">
        <v>4.3895480000000001E-2</v>
      </c>
      <c r="C79" s="29">
        <v>44894</v>
      </c>
      <c r="D79" s="29">
        <v>45146</v>
      </c>
      <c r="E79">
        <v>77.98</v>
      </c>
      <c r="F79">
        <v>53.05</v>
      </c>
      <c r="G79">
        <v>24.93</v>
      </c>
    </row>
    <row r="80" spans="1:7" x14ac:dyDescent="0.2">
      <c r="A80" t="s">
        <v>39</v>
      </c>
      <c r="B80">
        <v>0.30988966000000001</v>
      </c>
      <c r="C80" s="29">
        <v>44902</v>
      </c>
      <c r="D80" s="29">
        <v>45146</v>
      </c>
      <c r="E80">
        <v>550.54999999999995</v>
      </c>
      <c r="F80">
        <v>382.25</v>
      </c>
      <c r="G80">
        <v>168.3</v>
      </c>
    </row>
    <row r="81" spans="1:7" x14ac:dyDescent="0.2">
      <c r="A81" t="s">
        <v>39</v>
      </c>
      <c r="B81">
        <v>1.6844990000000001E-2</v>
      </c>
      <c r="C81" s="29">
        <v>44914</v>
      </c>
      <c r="D81" s="29">
        <v>45146</v>
      </c>
      <c r="E81">
        <v>29.93</v>
      </c>
      <c r="F81">
        <v>20.010000000000002</v>
      </c>
      <c r="G81">
        <v>9.92</v>
      </c>
    </row>
    <row r="82" spans="1:7" x14ac:dyDescent="0.2">
      <c r="A82" t="s">
        <v>39</v>
      </c>
      <c r="B82">
        <v>0.12354800000000001</v>
      </c>
      <c r="C82" s="29">
        <v>44917</v>
      </c>
      <c r="D82" s="29">
        <v>45146</v>
      </c>
      <c r="E82">
        <v>219.5</v>
      </c>
      <c r="F82">
        <v>150.13</v>
      </c>
      <c r="G82">
        <v>69.37</v>
      </c>
    </row>
    <row r="83" spans="1:7" x14ac:dyDescent="0.2">
      <c r="A83" t="s">
        <v>39</v>
      </c>
      <c r="B83">
        <v>1.631107E-2</v>
      </c>
      <c r="C83" s="29">
        <v>44921</v>
      </c>
      <c r="D83" s="29">
        <v>45146</v>
      </c>
      <c r="E83">
        <v>28.98</v>
      </c>
      <c r="F83">
        <v>20.010000000000002</v>
      </c>
      <c r="G83">
        <v>8.9700000000000006</v>
      </c>
    </row>
    <row r="84" spans="1:7" x14ac:dyDescent="0.2">
      <c r="A84" t="s">
        <v>39</v>
      </c>
      <c r="B84">
        <v>3.627938E-2</v>
      </c>
      <c r="C84" s="29">
        <v>44922</v>
      </c>
      <c r="D84" s="29">
        <v>45146</v>
      </c>
      <c r="E84">
        <v>64.45</v>
      </c>
      <c r="F84">
        <v>44.84</v>
      </c>
      <c r="G84">
        <v>19.61</v>
      </c>
    </row>
    <row r="85" spans="1:7" x14ac:dyDescent="0.2">
      <c r="A85" t="s">
        <v>39</v>
      </c>
      <c r="B85">
        <v>8.3765999999999993E-2</v>
      </c>
      <c r="C85" s="29">
        <v>44926</v>
      </c>
      <c r="D85" s="29">
        <v>45146</v>
      </c>
      <c r="E85">
        <v>148.82</v>
      </c>
      <c r="F85">
        <v>100.1</v>
      </c>
      <c r="G85">
        <v>48.72</v>
      </c>
    </row>
    <row r="86" spans="1:7" x14ac:dyDescent="0.2">
      <c r="A86" t="s">
        <v>39</v>
      </c>
      <c r="B86">
        <v>1.6572420000000001E-2</v>
      </c>
      <c r="C86" s="29">
        <v>44928</v>
      </c>
      <c r="D86" s="29">
        <v>45146</v>
      </c>
      <c r="E86">
        <v>29.44</v>
      </c>
      <c r="F86">
        <v>20.010000000000002</v>
      </c>
      <c r="G86">
        <v>9.43</v>
      </c>
    </row>
    <row r="87" spans="1:7" x14ac:dyDescent="0.2">
      <c r="A87" t="s">
        <v>39</v>
      </c>
      <c r="B87">
        <v>5.8256000000000002E-2</v>
      </c>
      <c r="C87" s="29">
        <v>44928</v>
      </c>
      <c r="D87" s="29">
        <v>45146</v>
      </c>
      <c r="E87">
        <v>103.5</v>
      </c>
      <c r="F87">
        <v>70.08</v>
      </c>
      <c r="G87">
        <v>33.42</v>
      </c>
    </row>
    <row r="88" spans="1:7" x14ac:dyDescent="0.2">
      <c r="A88" t="s">
        <v>39</v>
      </c>
      <c r="B88">
        <v>9.2878600000000002E-3</v>
      </c>
      <c r="C88" s="29">
        <v>44935</v>
      </c>
      <c r="D88" s="29">
        <v>45146</v>
      </c>
      <c r="E88">
        <v>16.5</v>
      </c>
      <c r="F88">
        <v>12.24</v>
      </c>
      <c r="G88">
        <v>4.26</v>
      </c>
    </row>
    <row r="89" spans="1:7" x14ac:dyDescent="0.2">
      <c r="A89" t="s">
        <v>39</v>
      </c>
      <c r="B89">
        <v>3.00987E-3</v>
      </c>
      <c r="C89" s="29">
        <v>44938</v>
      </c>
      <c r="D89" s="29">
        <v>45146</v>
      </c>
      <c r="E89">
        <v>5.35</v>
      </c>
      <c r="F89">
        <v>4.16</v>
      </c>
      <c r="G89">
        <v>1.19</v>
      </c>
    </row>
    <row r="90" spans="1:7" x14ac:dyDescent="0.2">
      <c r="A90" t="s">
        <v>39</v>
      </c>
      <c r="B90">
        <v>1.27051E-2</v>
      </c>
      <c r="C90" s="29">
        <v>44942</v>
      </c>
      <c r="D90" s="29">
        <v>45146</v>
      </c>
      <c r="E90">
        <v>22.57</v>
      </c>
      <c r="F90">
        <v>20.010000000000002</v>
      </c>
      <c r="G90">
        <v>2.56</v>
      </c>
    </row>
    <row r="91" spans="1:7" x14ac:dyDescent="0.2">
      <c r="A91" t="s">
        <v>39</v>
      </c>
      <c r="B91">
        <v>0.17811527999999999</v>
      </c>
      <c r="C91" s="29">
        <v>44946</v>
      </c>
      <c r="D91" s="29">
        <v>45146</v>
      </c>
      <c r="E91">
        <v>316.44</v>
      </c>
      <c r="F91">
        <v>300.02999999999997</v>
      </c>
      <c r="G91">
        <v>16.41</v>
      </c>
    </row>
    <row r="92" spans="1:7" x14ac:dyDescent="0.2">
      <c r="A92" t="s">
        <v>39</v>
      </c>
      <c r="B92">
        <v>7.1284349999999996E-2</v>
      </c>
      <c r="C92" s="29">
        <v>44946</v>
      </c>
      <c r="D92" s="29">
        <v>45146</v>
      </c>
      <c r="E92">
        <v>126.64</v>
      </c>
      <c r="F92">
        <v>120.02</v>
      </c>
      <c r="G92">
        <v>6.62</v>
      </c>
    </row>
    <row r="93" spans="1:7" x14ac:dyDescent="0.2">
      <c r="A93" t="s">
        <v>39</v>
      </c>
      <c r="B93">
        <v>3.5688500000000001E-3</v>
      </c>
      <c r="C93" s="29">
        <v>44946</v>
      </c>
      <c r="D93" s="29">
        <v>45146</v>
      </c>
      <c r="E93">
        <v>6.34</v>
      </c>
      <c r="F93">
        <v>5.99</v>
      </c>
      <c r="G93">
        <v>0.35</v>
      </c>
    </row>
    <row r="94" spans="1:7" x14ac:dyDescent="0.2">
      <c r="A94" t="s">
        <v>39</v>
      </c>
      <c r="B94">
        <v>6.5716040000000003E-2</v>
      </c>
      <c r="C94" s="29">
        <v>44968</v>
      </c>
      <c r="D94" s="29">
        <v>45146</v>
      </c>
      <c r="E94">
        <v>116.75</v>
      </c>
      <c r="F94">
        <v>100.07</v>
      </c>
      <c r="G94">
        <v>16.68</v>
      </c>
    </row>
    <row r="95" spans="1:7" x14ac:dyDescent="0.2">
      <c r="A95" t="s">
        <v>39</v>
      </c>
      <c r="B95">
        <v>6.5987909999999997E-2</v>
      </c>
      <c r="C95" s="29">
        <v>44974</v>
      </c>
      <c r="D95" s="29">
        <v>45146</v>
      </c>
      <c r="E95">
        <v>117.23</v>
      </c>
      <c r="F95">
        <v>112.66</v>
      </c>
      <c r="G95">
        <v>4.57</v>
      </c>
    </row>
    <row r="96" spans="1:7" x14ac:dyDescent="0.2">
      <c r="A96" t="s">
        <v>39</v>
      </c>
      <c r="B96">
        <v>0.11851100000000001</v>
      </c>
      <c r="C96" s="29">
        <v>44976</v>
      </c>
      <c r="D96" s="29">
        <v>45146</v>
      </c>
      <c r="E96">
        <v>210.55</v>
      </c>
      <c r="F96">
        <v>201.12</v>
      </c>
      <c r="G96">
        <v>9.43</v>
      </c>
    </row>
    <row r="97" spans="1:7" x14ac:dyDescent="0.2">
      <c r="A97" t="s">
        <v>39</v>
      </c>
      <c r="B97">
        <v>6.234141E-2</v>
      </c>
      <c r="C97" s="29">
        <v>44982</v>
      </c>
      <c r="D97" s="29">
        <v>45146</v>
      </c>
      <c r="E97">
        <v>110.76</v>
      </c>
      <c r="F97">
        <v>100.07</v>
      </c>
      <c r="G97">
        <v>10.69</v>
      </c>
    </row>
    <row r="98" spans="1:7" x14ac:dyDescent="0.2">
      <c r="A98" t="s">
        <v>39</v>
      </c>
      <c r="B98">
        <v>9.3259999999999998E-5</v>
      </c>
      <c r="C98" s="29">
        <v>44983</v>
      </c>
      <c r="D98" s="29">
        <v>45146</v>
      </c>
      <c r="E98">
        <v>0.17</v>
      </c>
      <c r="F98">
        <v>0.15</v>
      </c>
      <c r="G98">
        <v>0.02</v>
      </c>
    </row>
    <row r="99" spans="1:7" x14ac:dyDescent="0.2">
      <c r="A99" t="s">
        <v>39</v>
      </c>
      <c r="B99">
        <v>6.3290739999999998E-2</v>
      </c>
      <c r="C99" s="29">
        <v>44989</v>
      </c>
      <c r="D99" s="29">
        <v>45146</v>
      </c>
      <c r="E99">
        <v>112.44</v>
      </c>
      <c r="F99">
        <v>100.07</v>
      </c>
      <c r="G99">
        <v>12.37</v>
      </c>
    </row>
    <row r="100" spans="1:7" x14ac:dyDescent="0.2">
      <c r="A100" t="s">
        <v>39</v>
      </c>
      <c r="B100">
        <v>6.8026279999999995E-2</v>
      </c>
      <c r="C100" s="29">
        <v>44996</v>
      </c>
      <c r="D100" s="29">
        <v>45146</v>
      </c>
      <c r="E100">
        <v>120.86</v>
      </c>
      <c r="F100">
        <v>100.07</v>
      </c>
      <c r="G100">
        <v>20.79</v>
      </c>
    </row>
    <row r="101" spans="1:7" x14ac:dyDescent="0.2">
      <c r="A101" t="s">
        <v>46</v>
      </c>
      <c r="B101">
        <v>73.095058030000004</v>
      </c>
      <c r="C101" s="29">
        <v>45006</v>
      </c>
      <c r="D101" s="29">
        <v>45012</v>
      </c>
      <c r="E101">
        <v>150.16999999999999</v>
      </c>
      <c r="F101">
        <v>194.39</v>
      </c>
      <c r="G101">
        <v>-44.22</v>
      </c>
    </row>
    <row r="102" spans="1:7" x14ac:dyDescent="0.2">
      <c r="A102" t="s">
        <v>46</v>
      </c>
      <c r="B102">
        <v>215.65512081</v>
      </c>
      <c r="C102" s="29">
        <v>45006</v>
      </c>
      <c r="D102" s="29">
        <v>45012</v>
      </c>
      <c r="E102">
        <v>443.06</v>
      </c>
      <c r="F102">
        <v>571.37</v>
      </c>
      <c r="G102">
        <v>-128.31</v>
      </c>
    </row>
    <row r="103" spans="1:7" x14ac:dyDescent="0.2">
      <c r="A103" t="s">
        <v>45</v>
      </c>
      <c r="B103">
        <v>314.03690116000001</v>
      </c>
      <c r="C103" s="29">
        <v>45010</v>
      </c>
      <c r="D103" s="29">
        <v>45012</v>
      </c>
      <c r="E103">
        <v>363.23</v>
      </c>
      <c r="F103">
        <v>389.68</v>
      </c>
      <c r="G103">
        <v>-26.45</v>
      </c>
    </row>
    <row r="104" spans="1:7" x14ac:dyDescent="0.2">
      <c r="A104" t="s">
        <v>36</v>
      </c>
      <c r="B104">
        <v>1000.12</v>
      </c>
      <c r="C104" s="29">
        <v>45013</v>
      </c>
      <c r="D104" s="29">
        <v>45013</v>
      </c>
      <c r="E104">
        <v>992.17</v>
      </c>
      <c r="F104">
        <v>1000.12</v>
      </c>
      <c r="G104">
        <v>-7.95</v>
      </c>
    </row>
    <row r="105" spans="1:7" x14ac:dyDescent="0.2">
      <c r="A105" t="s">
        <v>36</v>
      </c>
      <c r="B105">
        <v>231.88</v>
      </c>
      <c r="C105" s="29">
        <v>45013</v>
      </c>
      <c r="D105" s="29">
        <v>45013</v>
      </c>
      <c r="E105">
        <v>229.5</v>
      </c>
      <c r="F105">
        <v>231.88</v>
      </c>
      <c r="G105">
        <v>-2.38</v>
      </c>
    </row>
    <row r="106" spans="1:7" x14ac:dyDescent="0.2">
      <c r="A106" t="s">
        <v>36</v>
      </c>
      <c r="B106">
        <v>267.84058800000003</v>
      </c>
      <c r="C106" s="29">
        <v>45014</v>
      </c>
      <c r="D106" s="29">
        <v>45014</v>
      </c>
      <c r="E106">
        <v>267.83999999999997</v>
      </c>
      <c r="F106">
        <v>270.66000000000003</v>
      </c>
      <c r="G106">
        <v>-2.82</v>
      </c>
    </row>
    <row r="107" spans="1:7" x14ac:dyDescent="0.2">
      <c r="A107" t="s">
        <v>48</v>
      </c>
      <c r="B107">
        <v>0.83455038999999998</v>
      </c>
      <c r="C107" s="29">
        <v>44868</v>
      </c>
      <c r="D107" s="29">
        <v>44946</v>
      </c>
      <c r="E107">
        <v>119.94</v>
      </c>
      <c r="F107">
        <v>137.72999999999999</v>
      </c>
      <c r="G107">
        <v>-17.79</v>
      </c>
    </row>
    <row r="108" spans="1:7" x14ac:dyDescent="0.2">
      <c r="A108" t="s">
        <v>48</v>
      </c>
      <c r="B108">
        <v>0.37735037999999999</v>
      </c>
      <c r="C108" s="29">
        <v>44868</v>
      </c>
      <c r="D108" s="29">
        <v>44983</v>
      </c>
      <c r="E108">
        <v>48.47</v>
      </c>
      <c r="F108">
        <v>62.27</v>
      </c>
      <c r="G108">
        <v>-13.8</v>
      </c>
    </row>
    <row r="109" spans="1:7" x14ac:dyDescent="0.2">
      <c r="A109" t="s">
        <v>48</v>
      </c>
      <c r="B109">
        <v>0.16911129</v>
      </c>
      <c r="C109" s="29">
        <v>44886</v>
      </c>
      <c r="D109" s="29">
        <v>44983</v>
      </c>
      <c r="E109">
        <v>21.72</v>
      </c>
      <c r="F109">
        <v>20</v>
      </c>
      <c r="G109">
        <v>1.72</v>
      </c>
    </row>
    <row r="110" spans="1:7" x14ac:dyDescent="0.2">
      <c r="A110" t="s">
        <v>48</v>
      </c>
      <c r="B110">
        <v>0.17671609999999999</v>
      </c>
      <c r="C110" s="29">
        <v>44893</v>
      </c>
      <c r="D110" s="29">
        <v>44983</v>
      </c>
      <c r="E110">
        <v>22.7</v>
      </c>
      <c r="F110">
        <v>20</v>
      </c>
      <c r="G110">
        <v>2.7</v>
      </c>
    </row>
    <row r="111" spans="1:7" x14ac:dyDescent="0.2">
      <c r="A111" t="s">
        <v>48</v>
      </c>
      <c r="B111">
        <v>0.15407246999999999</v>
      </c>
      <c r="C111" s="29">
        <v>44900</v>
      </c>
      <c r="D111" s="29">
        <v>44983</v>
      </c>
      <c r="E111">
        <v>19.79</v>
      </c>
      <c r="F111">
        <v>20</v>
      </c>
      <c r="G111">
        <v>-0.21</v>
      </c>
    </row>
    <row r="112" spans="1:7" x14ac:dyDescent="0.2">
      <c r="A112" t="s">
        <v>48</v>
      </c>
      <c r="B112">
        <v>0.17153694</v>
      </c>
      <c r="C112" s="29">
        <v>44907</v>
      </c>
      <c r="D112" s="29">
        <v>44983</v>
      </c>
      <c r="E112">
        <v>22.03</v>
      </c>
      <c r="F112">
        <v>20</v>
      </c>
      <c r="G112">
        <v>2.0299999999999998</v>
      </c>
    </row>
    <row r="113" spans="1:7" x14ac:dyDescent="0.2">
      <c r="A113" t="s">
        <v>48</v>
      </c>
      <c r="B113">
        <v>0.18022097000000001</v>
      </c>
      <c r="C113" s="29">
        <v>44914</v>
      </c>
      <c r="D113" s="29">
        <v>44983</v>
      </c>
      <c r="E113">
        <v>23.15</v>
      </c>
      <c r="F113">
        <v>20</v>
      </c>
      <c r="G113">
        <v>3.15</v>
      </c>
    </row>
    <row r="114" spans="1:7" x14ac:dyDescent="0.2">
      <c r="A114" t="s">
        <v>48</v>
      </c>
      <c r="B114">
        <v>0.18544404</v>
      </c>
      <c r="C114" s="29">
        <v>44921</v>
      </c>
      <c r="D114" s="29">
        <v>44983</v>
      </c>
      <c r="E114">
        <v>23.82</v>
      </c>
      <c r="F114">
        <v>20</v>
      </c>
      <c r="G114">
        <v>3.82</v>
      </c>
    </row>
    <row r="115" spans="1:7" x14ac:dyDescent="0.2">
      <c r="A115" t="s">
        <v>48</v>
      </c>
      <c r="B115">
        <v>0.18579030999999999</v>
      </c>
      <c r="C115" s="29">
        <v>44928</v>
      </c>
      <c r="D115" s="29">
        <v>44983</v>
      </c>
      <c r="E115">
        <v>23.86</v>
      </c>
      <c r="F115">
        <v>20</v>
      </c>
      <c r="G115">
        <v>3.86</v>
      </c>
    </row>
    <row r="116" spans="1:7" x14ac:dyDescent="0.2">
      <c r="A116" t="s">
        <v>48</v>
      </c>
      <c r="B116">
        <v>0.16864407000000001</v>
      </c>
      <c r="C116" s="29">
        <v>44935</v>
      </c>
      <c r="D116" s="29">
        <v>44983</v>
      </c>
      <c r="E116">
        <v>21.66</v>
      </c>
      <c r="F116">
        <v>20</v>
      </c>
      <c r="G116">
        <v>1.66</v>
      </c>
    </row>
    <row r="117" spans="1:7" x14ac:dyDescent="0.2">
      <c r="A117" t="s">
        <v>48</v>
      </c>
      <c r="B117">
        <v>0.15222214000000001</v>
      </c>
      <c r="C117" s="29">
        <v>44982</v>
      </c>
      <c r="D117" s="29">
        <v>44983</v>
      </c>
      <c r="E117">
        <v>19.55</v>
      </c>
      <c r="F117">
        <v>20</v>
      </c>
      <c r="G117">
        <v>-0.45</v>
      </c>
    </row>
    <row r="118" spans="1:7" x14ac:dyDescent="0.2">
      <c r="A118" t="s">
        <v>48</v>
      </c>
      <c r="B118">
        <v>3.07045689</v>
      </c>
      <c r="C118" s="29">
        <v>44987</v>
      </c>
      <c r="D118" s="29">
        <v>44988</v>
      </c>
      <c r="E118">
        <v>369.59</v>
      </c>
      <c r="F118">
        <v>400.08</v>
      </c>
      <c r="G118">
        <v>-30.49</v>
      </c>
    </row>
    <row r="119" spans="1:7" x14ac:dyDescent="0.2">
      <c r="A119" t="s">
        <v>32</v>
      </c>
      <c r="B119">
        <v>2.6423610000000002</v>
      </c>
      <c r="C119" s="29">
        <v>44843</v>
      </c>
      <c r="D119" s="29">
        <v>44937</v>
      </c>
      <c r="E119">
        <v>28.81</v>
      </c>
      <c r="F119">
        <v>34.880000000000003</v>
      </c>
      <c r="G119">
        <v>-6.07</v>
      </c>
    </row>
    <row r="120" spans="1:7" x14ac:dyDescent="0.2">
      <c r="A120" t="s">
        <v>32</v>
      </c>
      <c r="B120">
        <v>3.8843999999999997E-2</v>
      </c>
      <c r="C120" s="29">
        <v>44870</v>
      </c>
      <c r="D120" s="29">
        <v>44937</v>
      </c>
      <c r="E120">
        <v>0.42</v>
      </c>
      <c r="F120">
        <v>0.59</v>
      </c>
      <c r="G120">
        <v>-0.17</v>
      </c>
    </row>
    <row r="121" spans="1:7" x14ac:dyDescent="0.2">
      <c r="A121" t="s">
        <v>32</v>
      </c>
      <c r="B121">
        <v>9.2077880000000007</v>
      </c>
      <c r="C121" s="29">
        <v>44843</v>
      </c>
      <c r="D121" s="29">
        <v>44982</v>
      </c>
      <c r="E121">
        <v>115.19</v>
      </c>
      <c r="F121">
        <v>121.54</v>
      </c>
      <c r="G121">
        <v>-6.35</v>
      </c>
    </row>
    <row r="122" spans="1:7" x14ac:dyDescent="0.2">
      <c r="A122" t="s">
        <v>32</v>
      </c>
      <c r="B122">
        <v>3.0880000000000001E-2</v>
      </c>
      <c r="C122" s="29">
        <v>44855</v>
      </c>
      <c r="D122" s="29">
        <v>44982</v>
      </c>
      <c r="E122">
        <v>0.39</v>
      </c>
      <c r="F122">
        <v>0.35</v>
      </c>
      <c r="G122">
        <v>0.04</v>
      </c>
    </row>
    <row r="123" spans="1:7" x14ac:dyDescent="0.2">
      <c r="A123" t="s">
        <v>32</v>
      </c>
      <c r="B123">
        <v>2.2512999999999998E-2</v>
      </c>
      <c r="C123" s="29">
        <v>44877</v>
      </c>
      <c r="D123" s="29">
        <v>44982</v>
      </c>
      <c r="E123">
        <v>0.28000000000000003</v>
      </c>
      <c r="F123">
        <v>0.26</v>
      </c>
      <c r="G123">
        <v>0.02</v>
      </c>
    </row>
    <row r="124" spans="1:7" x14ac:dyDescent="0.2">
      <c r="A124" t="s">
        <v>32</v>
      </c>
      <c r="B124">
        <v>1.1299999999999999E-3</v>
      </c>
      <c r="C124" s="29">
        <v>44883</v>
      </c>
      <c r="D124" s="29">
        <v>44982</v>
      </c>
      <c r="E124">
        <v>0.01</v>
      </c>
      <c r="F124">
        <v>0.01</v>
      </c>
      <c r="G124">
        <v>0</v>
      </c>
    </row>
    <row r="125" spans="1:7" x14ac:dyDescent="0.2">
      <c r="A125" t="s">
        <v>32</v>
      </c>
      <c r="B125">
        <v>2.4909000000000001E-2</v>
      </c>
      <c r="C125" s="29">
        <v>44887</v>
      </c>
      <c r="D125" s="29">
        <v>44982</v>
      </c>
      <c r="E125">
        <v>0.31</v>
      </c>
      <c r="F125">
        <v>0.23</v>
      </c>
      <c r="G125">
        <v>0.08</v>
      </c>
    </row>
    <row r="126" spans="1:7" x14ac:dyDescent="0.2">
      <c r="A126" t="s">
        <v>32</v>
      </c>
      <c r="B126">
        <v>2.1042999999999999E-2</v>
      </c>
      <c r="C126" s="29">
        <v>44890</v>
      </c>
      <c r="D126" s="29">
        <v>44982</v>
      </c>
      <c r="E126">
        <v>0.26</v>
      </c>
      <c r="F126">
        <v>0.21</v>
      </c>
      <c r="G126">
        <v>0.05</v>
      </c>
    </row>
    <row r="127" spans="1:7" x14ac:dyDescent="0.2">
      <c r="A127" t="s">
        <v>32</v>
      </c>
      <c r="B127">
        <v>2.4102999999999999E-2</v>
      </c>
      <c r="C127" s="29">
        <v>44898</v>
      </c>
      <c r="D127" s="29">
        <v>44982</v>
      </c>
      <c r="E127">
        <v>0.3</v>
      </c>
      <c r="F127">
        <v>0.25</v>
      </c>
      <c r="G127">
        <v>0.05</v>
      </c>
    </row>
    <row r="128" spans="1:7" x14ac:dyDescent="0.2">
      <c r="A128" t="s">
        <v>32</v>
      </c>
      <c r="B128">
        <v>1.7911E-2</v>
      </c>
      <c r="C128" s="29">
        <v>44909</v>
      </c>
      <c r="D128" s="29">
        <v>44982</v>
      </c>
      <c r="E128">
        <v>0.22</v>
      </c>
      <c r="F128">
        <v>0.17</v>
      </c>
      <c r="G128">
        <v>0.05</v>
      </c>
    </row>
    <row r="129" spans="1:7" x14ac:dyDescent="0.2">
      <c r="A129" t="s">
        <v>32</v>
      </c>
      <c r="B129">
        <v>1.942E-2</v>
      </c>
      <c r="C129" s="29">
        <v>44911</v>
      </c>
      <c r="D129" s="29">
        <v>44982</v>
      </c>
      <c r="E129">
        <v>0.24</v>
      </c>
      <c r="F129">
        <v>0.17</v>
      </c>
      <c r="G129">
        <v>7.0000000000000007E-2</v>
      </c>
    </row>
    <row r="130" spans="1:7" x14ac:dyDescent="0.2">
      <c r="A130" t="s">
        <v>32</v>
      </c>
      <c r="B130">
        <v>2.0128E-2</v>
      </c>
      <c r="C130" s="29">
        <v>44918</v>
      </c>
      <c r="D130" s="29">
        <v>44982</v>
      </c>
      <c r="E130">
        <v>0.25</v>
      </c>
      <c r="F130">
        <v>0.18</v>
      </c>
      <c r="G130">
        <v>7.0000000000000007E-2</v>
      </c>
    </row>
    <row r="131" spans="1:7" x14ac:dyDescent="0.2">
      <c r="A131" t="s">
        <v>32</v>
      </c>
      <c r="B131">
        <v>1.3061E-2</v>
      </c>
      <c r="C131" s="29">
        <v>44925</v>
      </c>
      <c r="D131" s="29">
        <v>44982</v>
      </c>
      <c r="E131">
        <v>0.16</v>
      </c>
      <c r="F131">
        <v>0.12</v>
      </c>
      <c r="G131">
        <v>0.04</v>
      </c>
    </row>
    <row r="132" spans="1:7" x14ac:dyDescent="0.2">
      <c r="A132" t="s">
        <v>32</v>
      </c>
      <c r="B132">
        <v>4.3310000000000001E-2</v>
      </c>
      <c r="C132" s="29">
        <v>44946</v>
      </c>
      <c r="D132" s="29">
        <v>44982</v>
      </c>
      <c r="E132">
        <v>0.54</v>
      </c>
      <c r="F132">
        <v>0.52</v>
      </c>
      <c r="G132">
        <v>0.02</v>
      </c>
    </row>
    <row r="133" spans="1:7" x14ac:dyDescent="0.2">
      <c r="A133" t="s">
        <v>32</v>
      </c>
      <c r="B133">
        <v>1.4947999999999999E-2</v>
      </c>
      <c r="C133" s="29">
        <v>44946</v>
      </c>
      <c r="D133" s="29">
        <v>44982</v>
      </c>
      <c r="E133">
        <v>0.19</v>
      </c>
      <c r="F133">
        <v>0.18</v>
      </c>
      <c r="G133">
        <v>0.01</v>
      </c>
    </row>
    <row r="134" spans="1:7" x14ac:dyDescent="0.2">
      <c r="A134" t="s">
        <v>32</v>
      </c>
      <c r="B134">
        <v>1.5280999999999999E-2</v>
      </c>
      <c r="C134" s="29">
        <v>44963</v>
      </c>
      <c r="D134" s="29">
        <v>44982</v>
      </c>
      <c r="E134">
        <v>0.19</v>
      </c>
      <c r="F134">
        <v>0.21</v>
      </c>
      <c r="G134">
        <v>-0.02</v>
      </c>
    </row>
    <row r="135" spans="1:7" x14ac:dyDescent="0.2">
      <c r="A135" t="s">
        <v>32</v>
      </c>
      <c r="B135">
        <v>5.7539899999999999</v>
      </c>
      <c r="C135" s="29">
        <v>44968</v>
      </c>
      <c r="D135" s="29">
        <v>44982</v>
      </c>
      <c r="E135">
        <v>71.989999999999995</v>
      </c>
      <c r="F135">
        <v>80.53</v>
      </c>
      <c r="G135">
        <v>-8.5399999999999991</v>
      </c>
    </row>
    <row r="136" spans="1:7" x14ac:dyDescent="0.2">
      <c r="A136" t="s">
        <v>32</v>
      </c>
      <c r="B136">
        <v>2.9390000000000002E-3</v>
      </c>
      <c r="C136" s="29">
        <v>44973</v>
      </c>
      <c r="D136" s="29">
        <v>44982</v>
      </c>
      <c r="E136">
        <v>0.04</v>
      </c>
      <c r="F136">
        <v>0.04</v>
      </c>
      <c r="G136">
        <v>0</v>
      </c>
    </row>
    <row r="137" spans="1:7" x14ac:dyDescent="0.2">
      <c r="A137" t="s">
        <v>32</v>
      </c>
      <c r="B137">
        <v>9.7800000000000005E-3</v>
      </c>
      <c r="C137" s="29">
        <v>44973</v>
      </c>
      <c r="D137" s="29">
        <v>44982</v>
      </c>
      <c r="E137">
        <v>0.12</v>
      </c>
      <c r="F137">
        <v>0.13</v>
      </c>
      <c r="G137">
        <v>-0.01</v>
      </c>
    </row>
    <row r="138" spans="1:7" x14ac:dyDescent="0.2">
      <c r="A138" t="s">
        <v>32</v>
      </c>
      <c r="B138">
        <v>8.2400000000000008E-3</v>
      </c>
      <c r="C138" s="29">
        <v>44973</v>
      </c>
      <c r="D138" s="29">
        <v>44982</v>
      </c>
      <c r="E138">
        <v>0.1</v>
      </c>
      <c r="F138">
        <v>0.11</v>
      </c>
      <c r="G138">
        <v>-0.01</v>
      </c>
    </row>
    <row r="139" spans="1:7" x14ac:dyDescent="0.2">
      <c r="A139" t="s">
        <v>32</v>
      </c>
      <c r="B139">
        <v>1.5312399999999999</v>
      </c>
      <c r="C139" s="29">
        <v>44982</v>
      </c>
      <c r="D139" s="29">
        <v>44982</v>
      </c>
      <c r="E139">
        <v>19.16</v>
      </c>
      <c r="F139">
        <v>20</v>
      </c>
      <c r="G139">
        <v>-0.84</v>
      </c>
    </row>
    <row r="140" spans="1:7" x14ac:dyDescent="0.2">
      <c r="A140" t="s">
        <v>32</v>
      </c>
      <c r="B140">
        <v>1.2748000000000001E-2</v>
      </c>
      <c r="C140" s="29">
        <v>44985</v>
      </c>
      <c r="D140" s="29">
        <v>44988</v>
      </c>
      <c r="E140">
        <v>0.15</v>
      </c>
      <c r="F140">
        <v>0.15</v>
      </c>
      <c r="G140">
        <v>0</v>
      </c>
    </row>
    <row r="141" spans="1:7" x14ac:dyDescent="0.2">
      <c r="A141" t="s">
        <v>32</v>
      </c>
      <c r="B141">
        <v>1.9869000000000001E-2</v>
      </c>
      <c r="C141" s="29">
        <v>44986</v>
      </c>
      <c r="D141" s="29">
        <v>44988</v>
      </c>
      <c r="E141">
        <v>0.23</v>
      </c>
      <c r="F141">
        <v>0.24</v>
      </c>
      <c r="G141">
        <v>-0.01</v>
      </c>
    </row>
    <row r="142" spans="1:7" x14ac:dyDescent="0.2">
      <c r="A142" t="s">
        <v>32</v>
      </c>
      <c r="B142">
        <v>15.381562000000001</v>
      </c>
      <c r="C142" s="29">
        <v>44987</v>
      </c>
      <c r="D142" s="29">
        <v>44988</v>
      </c>
      <c r="E142">
        <v>179.37</v>
      </c>
      <c r="F142">
        <v>199.95</v>
      </c>
      <c r="G142">
        <v>-20.58</v>
      </c>
    </row>
    <row r="143" spans="1:7" x14ac:dyDescent="0.2">
      <c r="A143" t="s">
        <v>32</v>
      </c>
      <c r="B143">
        <v>11.674170999999999</v>
      </c>
      <c r="C143" s="29">
        <v>45080</v>
      </c>
      <c r="D143" s="29">
        <v>45096</v>
      </c>
      <c r="E143">
        <v>99.88</v>
      </c>
      <c r="F143">
        <v>126.43</v>
      </c>
      <c r="G143">
        <v>-26.55</v>
      </c>
    </row>
    <row r="144" spans="1:7" x14ac:dyDescent="0.2">
      <c r="A144" t="s">
        <v>32</v>
      </c>
      <c r="B144">
        <v>5.0000000000000001E-3</v>
      </c>
      <c r="C144" s="29">
        <v>45080</v>
      </c>
      <c r="D144" s="29">
        <v>45096</v>
      </c>
      <c r="E144">
        <v>0.04</v>
      </c>
      <c r="F144">
        <v>0.05</v>
      </c>
      <c r="G144">
        <v>-0.01</v>
      </c>
    </row>
    <row r="145" spans="1:7" x14ac:dyDescent="0.2">
      <c r="A145" t="s">
        <v>32</v>
      </c>
      <c r="B145">
        <v>5.0000000000000001E-3</v>
      </c>
      <c r="C145" s="29">
        <v>45080</v>
      </c>
      <c r="D145" s="29">
        <v>45116</v>
      </c>
      <c r="E145">
        <v>0.05</v>
      </c>
      <c r="F145">
        <v>0.05</v>
      </c>
      <c r="G145">
        <v>0</v>
      </c>
    </row>
    <row r="146" spans="1:7" x14ac:dyDescent="0.2">
      <c r="A146" t="s">
        <v>32</v>
      </c>
      <c r="B146">
        <v>5.0000000000000001E-3</v>
      </c>
      <c r="C146" s="29">
        <v>45080</v>
      </c>
      <c r="D146" s="29">
        <v>45116</v>
      </c>
      <c r="E146">
        <v>0.05</v>
      </c>
      <c r="F146">
        <v>0.05</v>
      </c>
      <c r="G146">
        <v>0</v>
      </c>
    </row>
    <row r="147" spans="1:7" x14ac:dyDescent="0.2">
      <c r="A147" t="s">
        <v>32</v>
      </c>
      <c r="B147">
        <v>2.6050000000000001E-3</v>
      </c>
      <c r="C147" s="29">
        <v>45080</v>
      </c>
      <c r="D147" s="29">
        <v>45124</v>
      </c>
      <c r="E147">
        <v>0.02</v>
      </c>
      <c r="F147">
        <v>0.03</v>
      </c>
      <c r="G147">
        <v>-0.01</v>
      </c>
    </row>
    <row r="148" spans="1:7" x14ac:dyDescent="0.2">
      <c r="A148" t="s">
        <v>32</v>
      </c>
      <c r="B148">
        <v>2.065E-3</v>
      </c>
      <c r="C148" s="29">
        <v>45120</v>
      </c>
      <c r="D148" s="29">
        <v>45124</v>
      </c>
      <c r="E148">
        <v>0.02</v>
      </c>
      <c r="F148">
        <v>0.02</v>
      </c>
      <c r="G148">
        <v>0</v>
      </c>
    </row>
    <row r="149" spans="1:7" x14ac:dyDescent="0.2">
      <c r="A149" t="s">
        <v>32</v>
      </c>
      <c r="B149">
        <v>3.9220000000000001E-3</v>
      </c>
      <c r="C149" s="29">
        <v>45034</v>
      </c>
      <c r="D149" s="29">
        <v>45124</v>
      </c>
      <c r="E149">
        <v>0.04</v>
      </c>
      <c r="F149">
        <v>0.04</v>
      </c>
      <c r="G149">
        <v>0</v>
      </c>
    </row>
    <row r="150" spans="1:7" x14ac:dyDescent="0.2">
      <c r="A150" t="s">
        <v>32</v>
      </c>
      <c r="B150">
        <v>33.477586000000002</v>
      </c>
      <c r="C150" s="29">
        <v>45080</v>
      </c>
      <c r="D150" s="29">
        <v>45124</v>
      </c>
      <c r="E150">
        <v>301.76</v>
      </c>
      <c r="F150">
        <v>362.6</v>
      </c>
      <c r="G150">
        <v>-60.84</v>
      </c>
    </row>
    <row r="151" spans="1:7" x14ac:dyDescent="0.2">
      <c r="A151" t="s">
        <v>32</v>
      </c>
      <c r="B151">
        <v>0.16642000000000001</v>
      </c>
      <c r="C151" s="29">
        <v>45080</v>
      </c>
      <c r="D151" s="29">
        <v>45124</v>
      </c>
      <c r="E151">
        <v>1.5</v>
      </c>
      <c r="F151">
        <v>1.85</v>
      </c>
      <c r="G151">
        <v>-0.35</v>
      </c>
    </row>
    <row r="152" spans="1:7" x14ac:dyDescent="0.2">
      <c r="A152" t="s">
        <v>32</v>
      </c>
      <c r="B152">
        <v>0.83357999999999999</v>
      </c>
      <c r="C152" s="29">
        <v>45080</v>
      </c>
      <c r="D152" s="29">
        <v>45124</v>
      </c>
      <c r="E152">
        <v>7.51</v>
      </c>
      <c r="F152">
        <v>9.0500000000000007</v>
      </c>
      <c r="G152">
        <v>-1.54</v>
      </c>
    </row>
    <row r="153" spans="1:7" x14ac:dyDescent="0.2">
      <c r="A153" t="s">
        <v>32</v>
      </c>
      <c r="B153">
        <v>41.124938999999998</v>
      </c>
      <c r="C153" s="29">
        <v>45120</v>
      </c>
      <c r="D153" s="29">
        <v>45124</v>
      </c>
      <c r="E153">
        <v>370.69</v>
      </c>
      <c r="F153">
        <v>373.08</v>
      </c>
      <c r="G153">
        <v>-2.39</v>
      </c>
    </row>
    <row r="154" spans="1:7" x14ac:dyDescent="0.2">
      <c r="A154" t="s">
        <v>50</v>
      </c>
      <c r="B154">
        <v>119.36914477000001</v>
      </c>
      <c r="C154" s="29">
        <v>44873</v>
      </c>
      <c r="D154" s="29">
        <v>44968</v>
      </c>
      <c r="E154">
        <v>142.43</v>
      </c>
      <c r="F154">
        <v>150</v>
      </c>
      <c r="G154">
        <v>-7.57</v>
      </c>
    </row>
    <row r="155" spans="1:7" x14ac:dyDescent="0.2">
      <c r="A155" t="s">
        <v>43</v>
      </c>
      <c r="B155">
        <v>345.467266</v>
      </c>
      <c r="C155" s="29">
        <v>44966</v>
      </c>
      <c r="D155" s="29">
        <v>44987</v>
      </c>
      <c r="E155">
        <v>84.9</v>
      </c>
      <c r="F155">
        <v>100</v>
      </c>
      <c r="G155">
        <v>-15.1</v>
      </c>
    </row>
    <row r="156" spans="1:7" x14ac:dyDescent="0.2">
      <c r="A156" t="s">
        <v>43</v>
      </c>
      <c r="B156">
        <v>838.19814699999995</v>
      </c>
      <c r="C156" s="29">
        <v>44982</v>
      </c>
      <c r="D156" s="29">
        <v>44987</v>
      </c>
      <c r="E156">
        <v>205.99</v>
      </c>
      <c r="F156">
        <v>209.96</v>
      </c>
      <c r="G156">
        <v>-3.97</v>
      </c>
    </row>
    <row r="157" spans="1:7" x14ac:dyDescent="0.2">
      <c r="A157" t="s">
        <v>43</v>
      </c>
      <c r="B157">
        <v>444.33621499999998</v>
      </c>
      <c r="C157" s="29">
        <v>44983</v>
      </c>
      <c r="D157" s="29">
        <v>44987</v>
      </c>
      <c r="E157">
        <v>109.2</v>
      </c>
      <c r="F157">
        <v>111.26</v>
      </c>
      <c r="G157">
        <v>-2.06</v>
      </c>
    </row>
    <row r="158" spans="1:7" x14ac:dyDescent="0.2">
      <c r="A158" t="s">
        <v>43</v>
      </c>
      <c r="B158">
        <v>49.862876999999997</v>
      </c>
      <c r="C158" s="29">
        <v>44983</v>
      </c>
      <c r="D158" s="29">
        <v>45012</v>
      </c>
      <c r="E158">
        <v>10</v>
      </c>
      <c r="F158">
        <v>12.49</v>
      </c>
      <c r="G158">
        <v>-2.4900000000000002</v>
      </c>
    </row>
    <row r="159" spans="1:7" x14ac:dyDescent="0.2">
      <c r="A159" t="s">
        <v>43</v>
      </c>
      <c r="B159">
        <v>324.38193999999999</v>
      </c>
      <c r="C159" s="29">
        <v>44896</v>
      </c>
      <c r="D159" s="29">
        <v>45012</v>
      </c>
      <c r="E159">
        <v>65.069999999999993</v>
      </c>
      <c r="F159">
        <v>77.930000000000007</v>
      </c>
      <c r="G159">
        <v>-12.86</v>
      </c>
    </row>
    <row r="160" spans="1:7" x14ac:dyDescent="0.2">
      <c r="A160" t="s">
        <v>43</v>
      </c>
      <c r="B160">
        <v>0.87223099999999998</v>
      </c>
      <c r="C160" s="29">
        <v>44939</v>
      </c>
      <c r="D160" s="29">
        <v>45012</v>
      </c>
      <c r="E160">
        <v>0.17</v>
      </c>
      <c r="F160">
        <v>0.18</v>
      </c>
      <c r="G160">
        <v>-0.01</v>
      </c>
    </row>
    <row r="161" spans="1:7" x14ac:dyDescent="0.2">
      <c r="A161" t="s">
        <v>43</v>
      </c>
      <c r="B161">
        <v>570.41654500000004</v>
      </c>
      <c r="C161" s="29">
        <v>44968</v>
      </c>
      <c r="D161" s="29">
        <v>45012</v>
      </c>
      <c r="E161">
        <v>114.42</v>
      </c>
      <c r="F161">
        <v>142.43</v>
      </c>
      <c r="G161">
        <v>-28.01</v>
      </c>
    </row>
    <row r="162" spans="1:7" x14ac:dyDescent="0.2">
      <c r="A162" t="s">
        <v>43</v>
      </c>
      <c r="B162">
        <v>353.71018700000002</v>
      </c>
      <c r="C162" s="29">
        <v>44968</v>
      </c>
      <c r="D162" s="29">
        <v>45012</v>
      </c>
      <c r="E162">
        <v>70.95</v>
      </c>
      <c r="F162">
        <v>88.26</v>
      </c>
      <c r="G162">
        <v>-17.309999999999999</v>
      </c>
    </row>
    <row r="163" spans="1:7" x14ac:dyDescent="0.2">
      <c r="A163" t="s">
        <v>43</v>
      </c>
      <c r="B163">
        <v>491.241399</v>
      </c>
      <c r="C163" s="29">
        <v>44983</v>
      </c>
      <c r="D163" s="29">
        <v>45012</v>
      </c>
      <c r="E163">
        <v>98.54</v>
      </c>
      <c r="F163">
        <v>123</v>
      </c>
      <c r="G163">
        <v>-24.46</v>
      </c>
    </row>
    <row r="164" spans="1:7" x14ac:dyDescent="0.2">
      <c r="A164" t="s">
        <v>43</v>
      </c>
      <c r="B164">
        <v>1770.1610250000001</v>
      </c>
      <c r="C164" s="29">
        <v>45012</v>
      </c>
      <c r="D164" s="29">
        <v>45012</v>
      </c>
      <c r="E164">
        <v>355.09</v>
      </c>
      <c r="F164">
        <v>363.23</v>
      </c>
      <c r="G164">
        <v>-8.14</v>
      </c>
    </row>
    <row r="165" spans="1:7" x14ac:dyDescent="0.2">
      <c r="A165" t="s">
        <v>43</v>
      </c>
      <c r="B165">
        <v>1151.259779</v>
      </c>
      <c r="C165" s="29">
        <v>45013</v>
      </c>
      <c r="D165" s="29">
        <v>45014</v>
      </c>
      <c r="E165">
        <v>270.66000000000003</v>
      </c>
      <c r="F165">
        <v>229.5</v>
      </c>
      <c r="G165">
        <v>41.16</v>
      </c>
    </row>
    <row r="166" spans="1:7" x14ac:dyDescent="0.2">
      <c r="A166" t="s">
        <v>43</v>
      </c>
      <c r="B166">
        <v>452.25930699999998</v>
      </c>
      <c r="C166" s="29">
        <v>45021</v>
      </c>
      <c r="D166" s="29">
        <v>45021</v>
      </c>
      <c r="E166">
        <v>99</v>
      </c>
      <c r="F166">
        <v>100</v>
      </c>
      <c r="G166">
        <v>-1</v>
      </c>
    </row>
    <row r="167" spans="1:7" x14ac:dyDescent="0.2">
      <c r="A167" t="s">
        <v>43</v>
      </c>
      <c r="B167">
        <v>10.06667</v>
      </c>
      <c r="C167" s="29">
        <v>45030</v>
      </c>
      <c r="D167" s="29">
        <v>45034</v>
      </c>
      <c r="E167">
        <v>2.25</v>
      </c>
      <c r="F167">
        <v>2.2799999999999998</v>
      </c>
      <c r="G167">
        <v>-0.03</v>
      </c>
    </row>
    <row r="168" spans="1:7" x14ac:dyDescent="0.2">
      <c r="A168" t="s">
        <v>43</v>
      </c>
      <c r="B168">
        <v>4205.5225110000001</v>
      </c>
      <c r="C168" s="29">
        <v>45034</v>
      </c>
      <c r="D168" s="29">
        <v>45034</v>
      </c>
      <c r="E168">
        <v>939.09</v>
      </c>
      <c r="F168">
        <v>939.3</v>
      </c>
      <c r="G168">
        <v>-0.21</v>
      </c>
    </row>
    <row r="169" spans="1:7" x14ac:dyDescent="0.2">
      <c r="A169" t="s">
        <v>15</v>
      </c>
      <c r="B169">
        <v>3950.2304147499999</v>
      </c>
      <c r="C169" s="29">
        <v>44946</v>
      </c>
      <c r="D169" s="29">
        <v>44946</v>
      </c>
      <c r="E169">
        <v>299.82</v>
      </c>
      <c r="F169">
        <v>300.55</v>
      </c>
      <c r="G169">
        <v>-0.73</v>
      </c>
    </row>
    <row r="170" spans="1:7" x14ac:dyDescent="0.2">
      <c r="A170" t="s">
        <v>15</v>
      </c>
      <c r="B170">
        <v>2446.12929248</v>
      </c>
      <c r="C170" s="29">
        <v>44946</v>
      </c>
      <c r="D170" s="29">
        <v>44987</v>
      </c>
      <c r="E170">
        <v>168.62</v>
      </c>
      <c r="F170">
        <v>186.11</v>
      </c>
      <c r="G170">
        <v>-17.489999999999998</v>
      </c>
    </row>
    <row r="171" spans="1:7" x14ac:dyDescent="0.2">
      <c r="A171" t="s">
        <v>15</v>
      </c>
      <c r="B171">
        <v>226.59986336</v>
      </c>
      <c r="C171" s="29">
        <v>44970</v>
      </c>
      <c r="D171" s="29">
        <v>44987</v>
      </c>
      <c r="E171">
        <v>15.62</v>
      </c>
      <c r="F171">
        <v>20</v>
      </c>
      <c r="G171">
        <v>-4.38</v>
      </c>
    </row>
    <row r="172" spans="1:7" x14ac:dyDescent="0.2">
      <c r="A172" t="s">
        <v>15</v>
      </c>
      <c r="B172">
        <v>227.92349100999999</v>
      </c>
      <c r="C172" s="29">
        <v>44977</v>
      </c>
      <c r="D172" s="29">
        <v>44987</v>
      </c>
      <c r="E172">
        <v>15.71</v>
      </c>
      <c r="F172">
        <v>20</v>
      </c>
      <c r="G172">
        <v>-4.29</v>
      </c>
    </row>
    <row r="173" spans="1:7" x14ac:dyDescent="0.2">
      <c r="A173" t="s">
        <v>15</v>
      </c>
      <c r="B173">
        <v>1</v>
      </c>
      <c r="C173" s="29">
        <v>44946</v>
      </c>
      <c r="D173" s="29">
        <v>45012</v>
      </c>
      <c r="E173">
        <v>0.06</v>
      </c>
      <c r="F173">
        <v>0.08</v>
      </c>
      <c r="G173">
        <v>-0.02</v>
      </c>
    </row>
    <row r="174" spans="1:7" x14ac:dyDescent="0.2">
      <c r="A174" t="s">
        <v>15</v>
      </c>
      <c r="B174">
        <v>0.99999561999999997</v>
      </c>
      <c r="C174" s="29">
        <v>44937</v>
      </c>
      <c r="D174" s="29">
        <v>45012</v>
      </c>
      <c r="E174">
        <v>0.06</v>
      </c>
      <c r="F174">
        <v>0.04</v>
      </c>
      <c r="G174">
        <v>0.02</v>
      </c>
    </row>
    <row r="175" spans="1:7" x14ac:dyDescent="0.2">
      <c r="A175" t="s">
        <v>15</v>
      </c>
      <c r="B175">
        <v>84.666836000000004</v>
      </c>
      <c r="C175" s="29">
        <v>44946</v>
      </c>
      <c r="D175" s="29">
        <v>45146</v>
      </c>
      <c r="E175">
        <v>4.99</v>
      </c>
      <c r="F175">
        <v>6.44</v>
      </c>
      <c r="G175">
        <v>-1.45</v>
      </c>
    </row>
    <row r="176" spans="1:7" x14ac:dyDescent="0.2">
      <c r="A176" t="s">
        <v>37</v>
      </c>
      <c r="B176">
        <v>2.3085714300000002</v>
      </c>
      <c r="C176" s="29">
        <v>45062</v>
      </c>
      <c r="D176" s="29">
        <v>45230</v>
      </c>
      <c r="E176">
        <v>0.16</v>
      </c>
      <c r="F176">
        <v>0.16</v>
      </c>
      <c r="G176">
        <v>0</v>
      </c>
    </row>
    <row r="177" spans="1:7" x14ac:dyDescent="0.2">
      <c r="A177" t="s">
        <v>33</v>
      </c>
      <c r="B177">
        <v>9.936299999999999E-4</v>
      </c>
      <c r="C177" s="29">
        <v>44877</v>
      </c>
      <c r="D177" s="29">
        <v>44968</v>
      </c>
      <c r="E177">
        <v>0.02</v>
      </c>
      <c r="F177">
        <v>0.01</v>
      </c>
      <c r="G177">
        <v>0.01</v>
      </c>
    </row>
    <row r="178" spans="1:7" x14ac:dyDescent="0.2">
      <c r="A178" t="s">
        <v>33</v>
      </c>
      <c r="B178">
        <v>4.3594E-4</v>
      </c>
      <c r="C178" s="29">
        <v>44879</v>
      </c>
      <c r="D178" s="29">
        <v>44968</v>
      </c>
      <c r="E178">
        <v>0.01</v>
      </c>
      <c r="F178">
        <v>0</v>
      </c>
      <c r="G178">
        <v>0.01</v>
      </c>
    </row>
    <row r="179" spans="1:7" x14ac:dyDescent="0.2">
      <c r="A179" t="s">
        <v>33</v>
      </c>
      <c r="B179">
        <v>4.1938000000000001E-4</v>
      </c>
      <c r="C179" s="29">
        <v>44882</v>
      </c>
      <c r="D179" s="29">
        <v>44968</v>
      </c>
      <c r="E179">
        <v>0.01</v>
      </c>
      <c r="F179">
        <v>0</v>
      </c>
      <c r="G179">
        <v>0.01</v>
      </c>
    </row>
    <row r="180" spans="1:7" x14ac:dyDescent="0.2">
      <c r="A180" t="s">
        <v>33</v>
      </c>
      <c r="B180">
        <v>4.1976999999999997E-4</v>
      </c>
      <c r="C180" s="29">
        <v>44884</v>
      </c>
      <c r="D180" s="29">
        <v>44968</v>
      </c>
      <c r="E180">
        <v>0.01</v>
      </c>
      <c r="F180">
        <v>0</v>
      </c>
      <c r="G180">
        <v>0.01</v>
      </c>
    </row>
    <row r="181" spans="1:7" x14ac:dyDescent="0.2">
      <c r="A181" t="s">
        <v>33</v>
      </c>
      <c r="B181">
        <v>4.1147999999999998E-4</v>
      </c>
      <c r="C181" s="29">
        <v>44886</v>
      </c>
      <c r="D181" s="29">
        <v>44968</v>
      </c>
      <c r="E181">
        <v>0.01</v>
      </c>
      <c r="F181">
        <v>0</v>
      </c>
      <c r="G181">
        <v>0.01</v>
      </c>
    </row>
    <row r="182" spans="1:7" x14ac:dyDescent="0.2">
      <c r="A182" t="s">
        <v>33</v>
      </c>
      <c r="B182">
        <v>4.1515999999999998E-4</v>
      </c>
      <c r="C182" s="29">
        <v>44888</v>
      </c>
      <c r="D182" s="29">
        <v>44968</v>
      </c>
      <c r="E182">
        <v>0.01</v>
      </c>
      <c r="F182">
        <v>0</v>
      </c>
      <c r="G182">
        <v>0.01</v>
      </c>
    </row>
    <row r="183" spans="1:7" x14ac:dyDescent="0.2">
      <c r="A183" t="s">
        <v>33</v>
      </c>
      <c r="B183">
        <v>3.5089000000000002E-4</v>
      </c>
      <c r="C183" s="29">
        <v>44891</v>
      </c>
      <c r="D183" s="29">
        <v>44968</v>
      </c>
      <c r="E183">
        <v>0.01</v>
      </c>
      <c r="F183">
        <v>0</v>
      </c>
      <c r="G183">
        <v>0.01</v>
      </c>
    </row>
    <row r="184" spans="1:7" x14ac:dyDescent="0.2">
      <c r="A184" t="s">
        <v>33</v>
      </c>
      <c r="B184">
        <v>3.6950999999999998E-4</v>
      </c>
      <c r="C184" s="29">
        <v>44893</v>
      </c>
      <c r="D184" s="29">
        <v>44968</v>
      </c>
      <c r="E184">
        <v>0.01</v>
      </c>
      <c r="F184">
        <v>0</v>
      </c>
      <c r="G184">
        <v>0.01</v>
      </c>
    </row>
    <row r="185" spans="1:7" x14ac:dyDescent="0.2">
      <c r="A185" t="s">
        <v>33</v>
      </c>
      <c r="B185">
        <v>3.6335000000000002E-4</v>
      </c>
      <c r="C185" s="29">
        <v>44895</v>
      </c>
      <c r="D185" s="29">
        <v>44968</v>
      </c>
      <c r="E185">
        <v>0.01</v>
      </c>
      <c r="F185">
        <v>0</v>
      </c>
      <c r="G185">
        <v>0.01</v>
      </c>
    </row>
    <row r="186" spans="1:7" x14ac:dyDescent="0.2">
      <c r="A186" t="s">
        <v>33</v>
      </c>
      <c r="B186">
        <v>3.5968000000000003E-4</v>
      </c>
      <c r="C186" s="29">
        <v>44897</v>
      </c>
      <c r="D186" s="29">
        <v>44968</v>
      </c>
      <c r="E186">
        <v>0.01</v>
      </c>
      <c r="F186">
        <v>0</v>
      </c>
      <c r="G186">
        <v>0.01</v>
      </c>
    </row>
    <row r="187" spans="1:7" x14ac:dyDescent="0.2">
      <c r="A187" t="s">
        <v>33</v>
      </c>
      <c r="B187">
        <v>3.5209E-4</v>
      </c>
      <c r="C187" s="29">
        <v>44899</v>
      </c>
      <c r="D187" s="29">
        <v>44968</v>
      </c>
      <c r="E187">
        <v>0.01</v>
      </c>
      <c r="F187">
        <v>0</v>
      </c>
      <c r="G187">
        <v>0.01</v>
      </c>
    </row>
    <row r="188" spans="1:7" x14ac:dyDescent="0.2">
      <c r="A188" t="s">
        <v>33</v>
      </c>
      <c r="B188">
        <v>4.4574515999999997</v>
      </c>
      <c r="C188" s="29">
        <v>44946</v>
      </c>
      <c r="D188" s="29">
        <v>44968</v>
      </c>
      <c r="E188">
        <v>88.15</v>
      </c>
      <c r="F188">
        <v>100</v>
      </c>
      <c r="G188">
        <v>-11.85</v>
      </c>
    </row>
    <row r="189" spans="1:7" x14ac:dyDescent="0.2">
      <c r="A189" t="s">
        <v>49</v>
      </c>
      <c r="B189">
        <v>1.5234003700000001</v>
      </c>
      <c r="C189" s="29">
        <v>44886</v>
      </c>
      <c r="D189" s="29">
        <v>44968</v>
      </c>
      <c r="E189">
        <v>27</v>
      </c>
      <c r="F189">
        <v>20</v>
      </c>
      <c r="G189">
        <v>7</v>
      </c>
    </row>
    <row r="190" spans="1:7" x14ac:dyDescent="0.2">
      <c r="A190" t="s">
        <v>49</v>
      </c>
      <c r="B190">
        <v>1.6139497199999999</v>
      </c>
      <c r="C190" s="29">
        <v>44893</v>
      </c>
      <c r="D190" s="29">
        <v>44968</v>
      </c>
      <c r="E190">
        <v>28.6</v>
      </c>
      <c r="F190">
        <v>20</v>
      </c>
      <c r="G190">
        <v>8.6</v>
      </c>
    </row>
    <row r="191" spans="1:7" x14ac:dyDescent="0.2">
      <c r="A191" t="s">
        <v>49</v>
      </c>
      <c r="B191">
        <v>1.4063604199999999</v>
      </c>
      <c r="C191" s="29">
        <v>44900</v>
      </c>
      <c r="D191" s="29">
        <v>44968</v>
      </c>
      <c r="E191">
        <v>24.93</v>
      </c>
      <c r="F191">
        <v>20</v>
      </c>
      <c r="G191">
        <v>4.93</v>
      </c>
    </row>
    <row r="192" spans="1:7" x14ac:dyDescent="0.2">
      <c r="A192" t="s">
        <v>44</v>
      </c>
      <c r="B192">
        <v>374.7470457</v>
      </c>
      <c r="C192" s="29">
        <v>44896</v>
      </c>
      <c r="D192" s="29">
        <v>44937</v>
      </c>
      <c r="E192">
        <v>29.24</v>
      </c>
      <c r="F192">
        <v>32.9</v>
      </c>
      <c r="G192">
        <v>-3.66</v>
      </c>
    </row>
    <row r="193" spans="1:7" x14ac:dyDescent="0.2">
      <c r="A193" t="s">
        <v>44</v>
      </c>
      <c r="B193">
        <v>1290.8326978</v>
      </c>
      <c r="C193" s="29">
        <v>44896</v>
      </c>
      <c r="D193" s="29">
        <v>44968</v>
      </c>
      <c r="E193">
        <v>108.61</v>
      </c>
      <c r="F193">
        <v>113.33</v>
      </c>
      <c r="G193">
        <v>-4.72</v>
      </c>
    </row>
    <row r="194" spans="1:7" x14ac:dyDescent="0.2">
      <c r="A194" t="s">
        <v>44</v>
      </c>
      <c r="B194">
        <v>1062.7997565000001</v>
      </c>
      <c r="C194" s="29">
        <v>44966</v>
      </c>
      <c r="D194" s="29">
        <v>44968</v>
      </c>
      <c r="E194">
        <v>89.42</v>
      </c>
      <c r="F194">
        <v>100</v>
      </c>
      <c r="G194">
        <v>-10.58</v>
      </c>
    </row>
    <row r="195" spans="1:7" x14ac:dyDescent="0.2">
      <c r="A195" t="s">
        <v>44</v>
      </c>
      <c r="B195">
        <v>2140.2126904000002</v>
      </c>
      <c r="C195" s="29">
        <v>45006</v>
      </c>
      <c r="D195" s="29">
        <v>45012</v>
      </c>
      <c r="E195">
        <v>192.92</v>
      </c>
      <c r="F195">
        <v>200</v>
      </c>
      <c r="G195">
        <v>-7.08</v>
      </c>
    </row>
    <row r="196" spans="1:7" x14ac:dyDescent="0.2">
      <c r="A196" t="s">
        <v>14</v>
      </c>
      <c r="B196">
        <v>1.949411</v>
      </c>
      <c r="C196" s="29">
        <v>45006</v>
      </c>
      <c r="D196" s="29">
        <v>45021</v>
      </c>
      <c r="E196">
        <v>0.97</v>
      </c>
      <c r="F196">
        <v>0.85</v>
      </c>
      <c r="G196">
        <v>0.12</v>
      </c>
    </row>
    <row r="197" spans="1:7" x14ac:dyDescent="0.2">
      <c r="A197" t="s">
        <v>14</v>
      </c>
      <c r="B197">
        <v>218.05908600000001</v>
      </c>
      <c r="C197" s="29">
        <v>45006</v>
      </c>
      <c r="D197" s="29">
        <v>45021</v>
      </c>
      <c r="E197">
        <v>107.48</v>
      </c>
      <c r="F197">
        <v>95.33</v>
      </c>
      <c r="G197">
        <v>12.15</v>
      </c>
    </row>
    <row r="198" spans="1:7" x14ac:dyDescent="0.2">
      <c r="A198" t="s">
        <v>14</v>
      </c>
      <c r="B198">
        <v>2.0316010000000002</v>
      </c>
      <c r="C198" s="29">
        <v>45058</v>
      </c>
      <c r="D198" s="29">
        <v>45097</v>
      </c>
      <c r="E198">
        <v>1</v>
      </c>
      <c r="F198">
        <v>0.87</v>
      </c>
      <c r="G198">
        <v>0.13</v>
      </c>
    </row>
    <row r="199" spans="1:7" x14ac:dyDescent="0.2">
      <c r="A199" t="s">
        <v>42</v>
      </c>
      <c r="B199">
        <v>10581.61742294</v>
      </c>
      <c r="C199" s="29">
        <v>45006</v>
      </c>
      <c r="D199" s="29">
        <v>45012</v>
      </c>
      <c r="E199">
        <v>361.53</v>
      </c>
      <c r="F199">
        <v>400</v>
      </c>
      <c r="G199">
        <v>-38.47</v>
      </c>
    </row>
    <row r="200" spans="1:7" x14ac:dyDescent="0.2">
      <c r="A200" t="s">
        <v>42</v>
      </c>
      <c r="B200">
        <v>22.76346173</v>
      </c>
      <c r="C200" s="29">
        <v>45080</v>
      </c>
      <c r="D200" s="29">
        <v>45116</v>
      </c>
      <c r="E200">
        <v>0</v>
      </c>
      <c r="F200">
        <v>1.36</v>
      </c>
      <c r="G200">
        <v>-1.36</v>
      </c>
    </row>
    <row r="201" spans="1:7" x14ac:dyDescent="0.2">
      <c r="A201" t="s">
        <v>42</v>
      </c>
      <c r="B201">
        <v>30.233383910000001</v>
      </c>
      <c r="C201" s="29">
        <v>45080</v>
      </c>
      <c r="D201" s="29">
        <v>45116</v>
      </c>
      <c r="E201">
        <v>1.1499999999999999</v>
      </c>
      <c r="F201">
        <v>1.43</v>
      </c>
      <c r="G201">
        <v>-0.28000000000000003</v>
      </c>
    </row>
    <row r="202" spans="1:7" x14ac:dyDescent="0.2">
      <c r="A202" t="s">
        <v>42</v>
      </c>
      <c r="B202">
        <v>28.193308819999999</v>
      </c>
      <c r="C202" s="29">
        <v>45080</v>
      </c>
      <c r="D202" s="29">
        <v>45120</v>
      </c>
      <c r="E202">
        <v>1</v>
      </c>
      <c r="F202">
        <v>1.33</v>
      </c>
      <c r="G202">
        <v>-0.33</v>
      </c>
    </row>
    <row r="203" spans="1:7" x14ac:dyDescent="0.2">
      <c r="A203" t="s">
        <v>42</v>
      </c>
      <c r="B203">
        <v>10480.330599770001</v>
      </c>
      <c r="C203" s="29">
        <v>45080</v>
      </c>
      <c r="D203" s="29">
        <v>45120</v>
      </c>
      <c r="E203">
        <v>372.09</v>
      </c>
      <c r="F203">
        <v>496.16</v>
      </c>
      <c r="G203">
        <v>-124.07</v>
      </c>
    </row>
    <row r="204" spans="1:7" x14ac:dyDescent="0.2">
      <c r="A204" t="s">
        <v>40</v>
      </c>
      <c r="B204">
        <v>4.6079999999999998E-4</v>
      </c>
      <c r="C204" s="29">
        <v>44534</v>
      </c>
      <c r="D204" s="29">
        <v>44570</v>
      </c>
      <c r="E204">
        <v>18.91</v>
      </c>
      <c r="F204">
        <v>22.69</v>
      </c>
      <c r="G204">
        <v>-3.78</v>
      </c>
    </row>
    <row r="205" spans="1:7" x14ac:dyDescent="0.2">
      <c r="A205" t="s">
        <v>40</v>
      </c>
      <c r="B205">
        <v>2.0900000000000001E-4</v>
      </c>
      <c r="C205" s="29">
        <v>44539</v>
      </c>
      <c r="D205" s="29">
        <v>44570</v>
      </c>
      <c r="E205">
        <v>8.58</v>
      </c>
      <c r="F205">
        <v>10.01</v>
      </c>
      <c r="G205">
        <v>-1.43</v>
      </c>
    </row>
    <row r="206" spans="1:7" x14ac:dyDescent="0.2">
      <c r="A206" t="s">
        <v>40</v>
      </c>
      <c r="B206">
        <v>1.9387000000000001E-4</v>
      </c>
      <c r="C206" s="29">
        <v>44558</v>
      </c>
      <c r="D206" s="29">
        <v>44570</v>
      </c>
      <c r="E206">
        <v>7.96</v>
      </c>
      <c r="F206">
        <v>9.57</v>
      </c>
      <c r="G206">
        <v>-1.61</v>
      </c>
    </row>
    <row r="207" spans="1:7" x14ac:dyDescent="0.2">
      <c r="A207" t="s">
        <v>40</v>
      </c>
      <c r="B207">
        <v>6.7741999999999998E-4</v>
      </c>
      <c r="C207" s="29">
        <v>44566</v>
      </c>
      <c r="D207" s="29">
        <v>44570</v>
      </c>
      <c r="E207">
        <v>27.8</v>
      </c>
      <c r="F207">
        <v>29.98</v>
      </c>
      <c r="G207">
        <v>-2.1800000000000002</v>
      </c>
    </row>
    <row r="208" spans="1:7" x14ac:dyDescent="0.2">
      <c r="A208" t="s">
        <v>40</v>
      </c>
      <c r="B208">
        <v>6.9700000000000003E-4</v>
      </c>
      <c r="C208" s="29">
        <v>44571</v>
      </c>
      <c r="D208" s="29">
        <v>44577</v>
      </c>
      <c r="E208">
        <v>29.54</v>
      </c>
      <c r="F208">
        <v>29.01</v>
      </c>
      <c r="G208">
        <v>0.53</v>
      </c>
    </row>
    <row r="209" spans="1:7" x14ac:dyDescent="0.2">
      <c r="A209" t="s">
        <v>40</v>
      </c>
      <c r="B209">
        <v>8.1800000000000004E-4</v>
      </c>
      <c r="C209" s="29">
        <v>44571</v>
      </c>
      <c r="D209" s="29">
        <v>44582</v>
      </c>
      <c r="E209">
        <v>28.87</v>
      </c>
      <c r="F209">
        <v>34.049999999999997</v>
      </c>
      <c r="G209">
        <v>-5.18</v>
      </c>
    </row>
    <row r="210" spans="1:7" x14ac:dyDescent="0.2">
      <c r="A210" t="s">
        <v>40</v>
      </c>
      <c r="B210">
        <v>7.2000000000000005E-4</v>
      </c>
      <c r="C210" s="29">
        <v>44571</v>
      </c>
      <c r="D210" s="29">
        <v>44585</v>
      </c>
      <c r="E210">
        <v>24.93</v>
      </c>
      <c r="F210">
        <v>29.97</v>
      </c>
      <c r="G210">
        <v>-5.04</v>
      </c>
    </row>
    <row r="211" spans="1:7" x14ac:dyDescent="0.2">
      <c r="A211" t="s">
        <v>40</v>
      </c>
      <c r="B211">
        <v>4.6717999999999998E-4</v>
      </c>
      <c r="C211" s="29">
        <v>44609</v>
      </c>
      <c r="D211" s="29">
        <v>44636</v>
      </c>
      <c r="E211">
        <v>18.670000000000002</v>
      </c>
      <c r="F211">
        <v>20</v>
      </c>
      <c r="G211">
        <v>-1.33</v>
      </c>
    </row>
    <row r="212" spans="1:7" x14ac:dyDescent="0.2">
      <c r="A212" t="s">
        <v>40</v>
      </c>
      <c r="B212">
        <v>4.6669000000000002E-4</v>
      </c>
      <c r="C212" s="29">
        <v>44609</v>
      </c>
      <c r="D212" s="29">
        <v>44636</v>
      </c>
      <c r="E212">
        <v>18.66</v>
      </c>
      <c r="F212">
        <v>20</v>
      </c>
      <c r="G212">
        <v>-1.34</v>
      </c>
    </row>
    <row r="213" spans="1:7" x14ac:dyDescent="0.2">
      <c r="A213" t="s">
        <v>60</v>
      </c>
      <c r="B213">
        <v>13.196624590000001</v>
      </c>
      <c r="C213" s="29">
        <v>44570</v>
      </c>
      <c r="D213" s="29">
        <v>44571</v>
      </c>
      <c r="E213">
        <v>41.5</v>
      </c>
      <c r="F213">
        <v>49.03</v>
      </c>
      <c r="G213">
        <v>-7.53</v>
      </c>
    </row>
    <row r="214" spans="1:7" x14ac:dyDescent="0.2">
      <c r="A214" t="s">
        <v>41</v>
      </c>
      <c r="B214">
        <v>1.7812611300000001</v>
      </c>
      <c r="C214" s="29">
        <v>44570</v>
      </c>
      <c r="D214" s="29">
        <v>44570</v>
      </c>
      <c r="E214">
        <v>49.03</v>
      </c>
      <c r="F214">
        <v>50.14</v>
      </c>
      <c r="G214">
        <v>-1.1100000000000001</v>
      </c>
    </row>
    <row r="215" spans="1:7" x14ac:dyDescent="0.2">
      <c r="A215" t="s">
        <v>41</v>
      </c>
      <c r="B215">
        <v>2.0595949899999999</v>
      </c>
      <c r="C215" s="29">
        <v>44570</v>
      </c>
      <c r="D215" s="29">
        <v>44571</v>
      </c>
      <c r="E215">
        <v>53.4</v>
      </c>
      <c r="F215">
        <v>57.98</v>
      </c>
      <c r="G215">
        <v>-4.58</v>
      </c>
    </row>
    <row r="216" spans="1:7" x14ac:dyDescent="0.2">
      <c r="A216" t="s">
        <v>41</v>
      </c>
      <c r="B216">
        <v>0.75839652999999996</v>
      </c>
      <c r="C216" s="29">
        <v>44591</v>
      </c>
      <c r="D216" s="29">
        <v>44602</v>
      </c>
      <c r="E216">
        <v>13.74</v>
      </c>
      <c r="F216">
        <v>13.29</v>
      </c>
      <c r="G216">
        <v>0.45</v>
      </c>
    </row>
    <row r="217" spans="1:7" x14ac:dyDescent="0.2">
      <c r="A217" t="s">
        <v>41</v>
      </c>
      <c r="B217">
        <v>1.0893102800000001</v>
      </c>
      <c r="C217" s="29">
        <v>44591</v>
      </c>
      <c r="D217" s="29">
        <v>44602</v>
      </c>
      <c r="E217">
        <v>19.37</v>
      </c>
      <c r="F217">
        <v>19.09</v>
      </c>
      <c r="G217">
        <v>0.28000000000000003</v>
      </c>
    </row>
    <row r="218" spans="1:7" x14ac:dyDescent="0.2">
      <c r="A218" t="s">
        <v>34</v>
      </c>
      <c r="B218">
        <v>8.6095939999999995</v>
      </c>
      <c r="C218" s="29">
        <v>44541</v>
      </c>
      <c r="D218" s="29">
        <v>44570</v>
      </c>
      <c r="E218">
        <v>10.25</v>
      </c>
      <c r="F218">
        <v>11.33</v>
      </c>
      <c r="G218">
        <v>-1.08</v>
      </c>
    </row>
    <row r="219" spans="1:7" x14ac:dyDescent="0.2">
      <c r="A219" t="s">
        <v>34</v>
      </c>
      <c r="B219">
        <v>8.7615110000000005</v>
      </c>
      <c r="C219" s="29">
        <v>44553</v>
      </c>
      <c r="D219" s="29">
        <v>44570</v>
      </c>
      <c r="E219">
        <v>10.44</v>
      </c>
      <c r="F219">
        <v>12.49</v>
      </c>
      <c r="G219">
        <v>-2.0499999999999998</v>
      </c>
    </row>
    <row r="220" spans="1:7" x14ac:dyDescent="0.2">
      <c r="A220" t="s">
        <v>34</v>
      </c>
      <c r="B220">
        <v>292.78099800000001</v>
      </c>
      <c r="C220" s="29">
        <v>44777</v>
      </c>
      <c r="D220" s="29">
        <v>44811</v>
      </c>
      <c r="E220">
        <v>140.32</v>
      </c>
      <c r="F220">
        <v>146.94</v>
      </c>
      <c r="G220">
        <v>-6.62</v>
      </c>
    </row>
    <row r="221" spans="1:7" x14ac:dyDescent="0.2">
      <c r="A221" t="s">
        <v>34</v>
      </c>
      <c r="B221">
        <v>0.112633</v>
      </c>
      <c r="C221" s="29">
        <v>44800</v>
      </c>
      <c r="D221" s="29">
        <v>44811</v>
      </c>
      <c r="E221">
        <v>0.05</v>
      </c>
      <c r="F221">
        <v>0.05</v>
      </c>
      <c r="G221">
        <v>0</v>
      </c>
    </row>
    <row r="222" spans="1:7" x14ac:dyDescent="0.2">
      <c r="A222" t="s">
        <v>34</v>
      </c>
      <c r="B222">
        <v>0.112285</v>
      </c>
      <c r="C222" s="29">
        <v>44805</v>
      </c>
      <c r="D222" s="29">
        <v>44811</v>
      </c>
      <c r="E222">
        <v>0.05</v>
      </c>
      <c r="F222">
        <v>0.04</v>
      </c>
      <c r="G222">
        <v>0.01</v>
      </c>
    </row>
    <row r="223" spans="1:7" x14ac:dyDescent="0.2">
      <c r="A223" t="s">
        <v>34</v>
      </c>
      <c r="B223">
        <v>0.11355</v>
      </c>
      <c r="C223" s="29">
        <v>44815</v>
      </c>
      <c r="D223" s="29">
        <v>44867</v>
      </c>
      <c r="E223">
        <v>0.04</v>
      </c>
      <c r="F223">
        <v>0.05</v>
      </c>
      <c r="G223">
        <v>-0.01</v>
      </c>
    </row>
    <row r="224" spans="1:7" x14ac:dyDescent="0.2">
      <c r="A224" t="s">
        <v>34</v>
      </c>
      <c r="B224">
        <v>125.19973299999999</v>
      </c>
      <c r="C224" s="29">
        <v>44843</v>
      </c>
      <c r="D224" s="29">
        <v>44867</v>
      </c>
      <c r="E224">
        <v>48.69</v>
      </c>
      <c r="F224">
        <v>54.41</v>
      </c>
      <c r="G224">
        <v>-5.72</v>
      </c>
    </row>
    <row r="225" spans="1:7" x14ac:dyDescent="0.2">
      <c r="A225" t="s">
        <v>61</v>
      </c>
      <c r="B225">
        <v>78.847219999999993</v>
      </c>
      <c r="C225" s="29">
        <v>44570</v>
      </c>
      <c r="D225" s="29">
        <v>44571</v>
      </c>
      <c r="E225">
        <v>45.95</v>
      </c>
      <c r="F225">
        <v>49.04</v>
      </c>
      <c r="G225">
        <v>-3.09</v>
      </c>
    </row>
    <row r="226" spans="1:7" x14ac:dyDescent="0.2">
      <c r="A226" t="s">
        <v>39</v>
      </c>
      <c r="B226">
        <v>8.8701000000000003E-4</v>
      </c>
      <c r="C226" s="29">
        <v>44540</v>
      </c>
      <c r="D226" s="29">
        <v>44570</v>
      </c>
      <c r="E226">
        <v>2.78</v>
      </c>
      <c r="F226">
        <v>3.61</v>
      </c>
      <c r="G226">
        <v>-0.83</v>
      </c>
    </row>
    <row r="227" spans="1:7" x14ac:dyDescent="0.2">
      <c r="A227" t="s">
        <v>39</v>
      </c>
      <c r="B227">
        <v>3.88375E-3</v>
      </c>
      <c r="C227" s="29">
        <v>44558</v>
      </c>
      <c r="D227" s="29">
        <v>44570</v>
      </c>
      <c r="E227">
        <v>12.16</v>
      </c>
      <c r="F227">
        <v>15.21</v>
      </c>
      <c r="G227">
        <v>-3.05</v>
      </c>
    </row>
    <row r="228" spans="1:7" x14ac:dyDescent="0.2">
      <c r="A228" t="s">
        <v>39</v>
      </c>
      <c r="B228">
        <v>2.37521E-3</v>
      </c>
      <c r="C228" s="29">
        <v>44558</v>
      </c>
      <c r="D228" s="29">
        <v>44570</v>
      </c>
      <c r="E228">
        <v>7.44</v>
      </c>
      <c r="F228">
        <v>9.2899999999999991</v>
      </c>
      <c r="G228">
        <v>-1.85</v>
      </c>
    </row>
    <row r="229" spans="1:7" x14ac:dyDescent="0.2">
      <c r="A229" t="s">
        <v>39</v>
      </c>
      <c r="B229">
        <v>2.2016620000000001E-2</v>
      </c>
      <c r="C229" s="29">
        <v>44566</v>
      </c>
      <c r="D229" s="29">
        <v>44570</v>
      </c>
      <c r="E229">
        <v>68.959999999999994</v>
      </c>
      <c r="F229">
        <v>82.9</v>
      </c>
      <c r="G229">
        <v>-13.94</v>
      </c>
    </row>
    <row r="230" spans="1:7" x14ac:dyDescent="0.2">
      <c r="A230" t="s">
        <v>39</v>
      </c>
      <c r="B230">
        <v>4.5423499999999997E-3</v>
      </c>
      <c r="C230" s="29">
        <v>44566</v>
      </c>
      <c r="D230" s="29">
        <v>44570</v>
      </c>
      <c r="E230">
        <v>14.27</v>
      </c>
      <c r="F230">
        <v>17.100000000000001</v>
      </c>
      <c r="G230">
        <v>-2.83</v>
      </c>
    </row>
    <row r="231" spans="1:7" x14ac:dyDescent="0.2">
      <c r="A231" t="s">
        <v>39</v>
      </c>
      <c r="B231">
        <v>4.5952299999999996E-3</v>
      </c>
      <c r="C231" s="29">
        <v>44570</v>
      </c>
      <c r="D231" s="29">
        <v>44570</v>
      </c>
      <c r="E231">
        <v>14.44</v>
      </c>
      <c r="F231">
        <v>14.34</v>
      </c>
      <c r="G231">
        <v>0.1</v>
      </c>
    </row>
    <row r="232" spans="1:7" x14ac:dyDescent="0.2">
      <c r="A232" t="s">
        <v>39</v>
      </c>
      <c r="B232">
        <v>6.4715900000000002E-3</v>
      </c>
      <c r="C232" s="29">
        <v>44570</v>
      </c>
      <c r="D232" s="29">
        <v>44570</v>
      </c>
      <c r="E232">
        <v>20.329999999999998</v>
      </c>
      <c r="F232">
        <v>20.69</v>
      </c>
      <c r="G232">
        <v>-0.36</v>
      </c>
    </row>
    <row r="233" spans="1:7" x14ac:dyDescent="0.2">
      <c r="A233" t="s">
        <v>39</v>
      </c>
      <c r="B233">
        <v>1.5663179999999999E-2</v>
      </c>
      <c r="C233" s="29">
        <v>44570</v>
      </c>
      <c r="D233" s="29">
        <v>44571</v>
      </c>
      <c r="E233">
        <v>47.22</v>
      </c>
      <c r="F233">
        <v>48.9</v>
      </c>
      <c r="G233">
        <v>-1.68</v>
      </c>
    </row>
    <row r="234" spans="1:7" x14ac:dyDescent="0.2">
      <c r="A234" t="s">
        <v>39</v>
      </c>
      <c r="B234">
        <v>1.519364E-2</v>
      </c>
      <c r="C234" s="29">
        <v>44571</v>
      </c>
      <c r="D234" s="29">
        <v>44571</v>
      </c>
      <c r="E234">
        <v>45.81</v>
      </c>
      <c r="F234">
        <v>46.77</v>
      </c>
      <c r="G234">
        <v>-0.96</v>
      </c>
    </row>
    <row r="235" spans="1:7" x14ac:dyDescent="0.2">
      <c r="A235" t="s">
        <v>39</v>
      </c>
      <c r="B235">
        <v>6.8607800000000004E-3</v>
      </c>
      <c r="C235" s="29">
        <v>44571</v>
      </c>
      <c r="D235" s="29">
        <v>44577</v>
      </c>
      <c r="E235">
        <v>22.35</v>
      </c>
      <c r="F235">
        <v>21</v>
      </c>
      <c r="G235">
        <v>1.35</v>
      </c>
    </row>
    <row r="236" spans="1:7" x14ac:dyDescent="0.2">
      <c r="A236" t="s">
        <v>39</v>
      </c>
      <c r="B236">
        <v>2.1541199999999998E-3</v>
      </c>
      <c r="C236" s="29">
        <v>44571</v>
      </c>
      <c r="D236" s="29">
        <v>44577</v>
      </c>
      <c r="E236">
        <v>7.02</v>
      </c>
      <c r="F236">
        <v>6.63</v>
      </c>
      <c r="G236">
        <v>0.39</v>
      </c>
    </row>
    <row r="237" spans="1:7" x14ac:dyDescent="0.2">
      <c r="A237" t="s">
        <v>39</v>
      </c>
      <c r="B237">
        <v>8.1530400000000003E-3</v>
      </c>
      <c r="C237" s="29">
        <v>44571</v>
      </c>
      <c r="D237" s="29">
        <v>44582</v>
      </c>
      <c r="E237">
        <v>20.94</v>
      </c>
      <c r="F237">
        <v>24.95</v>
      </c>
      <c r="G237">
        <v>-4.01</v>
      </c>
    </row>
    <row r="238" spans="1:7" x14ac:dyDescent="0.2">
      <c r="A238" t="s">
        <v>39</v>
      </c>
      <c r="B238">
        <v>1.36589E-3</v>
      </c>
      <c r="C238" s="29">
        <v>44571</v>
      </c>
      <c r="D238" s="29">
        <v>44582</v>
      </c>
      <c r="E238">
        <v>3.51</v>
      </c>
      <c r="F238">
        <v>4.1399999999999997</v>
      </c>
      <c r="G238">
        <v>-0.63</v>
      </c>
    </row>
    <row r="239" spans="1:7" x14ac:dyDescent="0.2">
      <c r="A239" t="s">
        <v>39</v>
      </c>
      <c r="B239">
        <v>1.232188E-2</v>
      </c>
      <c r="C239" s="29">
        <v>44571</v>
      </c>
      <c r="D239" s="29">
        <v>44591</v>
      </c>
      <c r="E239">
        <v>31.16</v>
      </c>
      <c r="F239">
        <v>37.36</v>
      </c>
      <c r="G239">
        <v>-6.2</v>
      </c>
    </row>
    <row r="240" spans="1:7" x14ac:dyDescent="0.2">
      <c r="A240" t="s">
        <v>39</v>
      </c>
      <c r="B240">
        <v>4.8343000000000003E-4</v>
      </c>
      <c r="C240" s="29">
        <v>44585</v>
      </c>
      <c r="D240" s="29">
        <v>44591</v>
      </c>
      <c r="E240">
        <v>1.22</v>
      </c>
      <c r="F240">
        <v>1.24</v>
      </c>
      <c r="G240">
        <v>-0.02</v>
      </c>
    </row>
    <row r="241" spans="1:7" x14ac:dyDescent="0.2">
      <c r="A241" t="s">
        <v>39</v>
      </c>
      <c r="B241">
        <v>1.2713240000000001E-2</v>
      </c>
      <c r="C241" s="29">
        <v>44585</v>
      </c>
      <c r="D241" s="29">
        <v>44591</v>
      </c>
      <c r="E241">
        <v>32.369999999999997</v>
      </c>
      <c r="F241">
        <v>32.619999999999997</v>
      </c>
      <c r="G241">
        <v>-0.25</v>
      </c>
    </row>
    <row r="242" spans="1:7" x14ac:dyDescent="0.2">
      <c r="A242" t="s">
        <v>39</v>
      </c>
      <c r="B242">
        <v>3.3121499999999998E-3</v>
      </c>
      <c r="C242" s="29">
        <v>44585</v>
      </c>
      <c r="D242" s="29">
        <v>44597</v>
      </c>
      <c r="E242">
        <v>9.8699999999999992</v>
      </c>
      <c r="F242">
        <v>8.5</v>
      </c>
      <c r="G242">
        <v>1.37</v>
      </c>
    </row>
    <row r="243" spans="1:7" x14ac:dyDescent="0.2">
      <c r="A243" t="s">
        <v>39</v>
      </c>
      <c r="B243">
        <v>3.4363699999999998E-3</v>
      </c>
      <c r="C243" s="29">
        <v>44585</v>
      </c>
      <c r="D243" s="29">
        <v>44609</v>
      </c>
      <c r="E243">
        <v>10.24</v>
      </c>
      <c r="F243">
        <v>8.82</v>
      </c>
      <c r="G243">
        <v>1.42</v>
      </c>
    </row>
    <row r="244" spans="1:7" x14ac:dyDescent="0.2">
      <c r="A244" t="s">
        <v>39</v>
      </c>
      <c r="B244">
        <v>3.2756600000000001E-3</v>
      </c>
      <c r="C244" s="29">
        <v>44585</v>
      </c>
      <c r="D244" s="29">
        <v>44609</v>
      </c>
      <c r="E244">
        <v>9.76</v>
      </c>
      <c r="F244">
        <v>8.35</v>
      </c>
      <c r="G244">
        <v>1.41</v>
      </c>
    </row>
    <row r="245" spans="1:7" x14ac:dyDescent="0.2">
      <c r="A245" t="s">
        <v>39</v>
      </c>
      <c r="B245">
        <v>5.3464699999999999E-3</v>
      </c>
      <c r="C245" s="29">
        <v>44585</v>
      </c>
      <c r="D245" s="29">
        <v>44777</v>
      </c>
      <c r="E245">
        <v>8.43</v>
      </c>
      <c r="F245">
        <v>13.63</v>
      </c>
      <c r="G245">
        <v>-5.2</v>
      </c>
    </row>
    <row r="246" spans="1:7" x14ac:dyDescent="0.2">
      <c r="A246" t="s">
        <v>39</v>
      </c>
      <c r="B246">
        <v>2.7235999999999997E-4</v>
      </c>
      <c r="C246" s="29">
        <v>44585</v>
      </c>
      <c r="D246" s="29">
        <v>44777</v>
      </c>
      <c r="E246">
        <v>0.43</v>
      </c>
      <c r="F246">
        <v>0.69</v>
      </c>
      <c r="G246">
        <v>-0.26</v>
      </c>
    </row>
    <row r="247" spans="1:7" x14ac:dyDescent="0.2">
      <c r="A247" t="s">
        <v>39</v>
      </c>
      <c r="B247">
        <v>1.0627559999999999E-2</v>
      </c>
      <c r="C247" s="29">
        <v>44585</v>
      </c>
      <c r="D247" s="29">
        <v>44777</v>
      </c>
      <c r="E247">
        <v>16.75</v>
      </c>
      <c r="F247">
        <v>24.93</v>
      </c>
      <c r="G247">
        <v>-8.18</v>
      </c>
    </row>
    <row r="248" spans="1:7" x14ac:dyDescent="0.2">
      <c r="A248" t="s">
        <v>39</v>
      </c>
      <c r="B248">
        <v>7.0839999999999998E-4</v>
      </c>
      <c r="C248" s="29">
        <v>44635</v>
      </c>
      <c r="D248" s="29">
        <v>44777</v>
      </c>
      <c r="E248">
        <v>1.1200000000000001</v>
      </c>
      <c r="F248">
        <v>1.9</v>
      </c>
      <c r="G248">
        <v>-0.78</v>
      </c>
    </row>
    <row r="249" spans="1:7" x14ac:dyDescent="0.2">
      <c r="A249" t="s">
        <v>39</v>
      </c>
      <c r="B249">
        <v>1.3743E-2</v>
      </c>
      <c r="C249" s="29">
        <v>44636</v>
      </c>
      <c r="D249" s="29">
        <v>44777</v>
      </c>
      <c r="E249">
        <v>21.66</v>
      </c>
      <c r="F249">
        <v>37.33</v>
      </c>
      <c r="G249">
        <v>-15.67</v>
      </c>
    </row>
    <row r="250" spans="1:7" x14ac:dyDescent="0.2">
      <c r="A250" t="s">
        <v>39</v>
      </c>
      <c r="B250">
        <v>1.4940470000000001E-2</v>
      </c>
      <c r="C250" s="29">
        <v>44645</v>
      </c>
      <c r="D250" s="29">
        <v>44777</v>
      </c>
      <c r="E250">
        <v>23.55</v>
      </c>
      <c r="F250">
        <v>47.37</v>
      </c>
      <c r="G250">
        <v>-23.82</v>
      </c>
    </row>
    <row r="251" spans="1:7" x14ac:dyDescent="0.2">
      <c r="A251" t="s">
        <v>39</v>
      </c>
      <c r="B251">
        <v>2.4495449999999998E-2</v>
      </c>
      <c r="C251" s="29">
        <v>44767</v>
      </c>
      <c r="D251" s="29">
        <v>44777</v>
      </c>
      <c r="E251">
        <v>38.6</v>
      </c>
      <c r="F251">
        <v>39.01</v>
      </c>
      <c r="G251">
        <v>-0.41</v>
      </c>
    </row>
    <row r="252" spans="1:7" x14ac:dyDescent="0.2">
      <c r="A252" t="s">
        <v>39</v>
      </c>
      <c r="B252">
        <v>2.9329959999999999E-2</v>
      </c>
      <c r="C252" s="29">
        <v>44774</v>
      </c>
      <c r="D252" s="29">
        <v>44777</v>
      </c>
      <c r="E252">
        <v>46.22</v>
      </c>
      <c r="F252">
        <v>50</v>
      </c>
      <c r="G252">
        <v>-3.78</v>
      </c>
    </row>
    <row r="253" spans="1:7" x14ac:dyDescent="0.2">
      <c r="A253" t="s">
        <v>39</v>
      </c>
      <c r="B253">
        <v>3.356058E-2</v>
      </c>
      <c r="C253" s="29">
        <v>44737</v>
      </c>
      <c r="D253" s="29">
        <v>44777</v>
      </c>
      <c r="E253">
        <v>53.19</v>
      </c>
      <c r="F253">
        <v>43</v>
      </c>
      <c r="G253">
        <v>10.19</v>
      </c>
    </row>
    <row r="254" spans="1:7" x14ac:dyDescent="0.2">
      <c r="A254" t="s">
        <v>39</v>
      </c>
      <c r="B254">
        <v>2.029829E-2</v>
      </c>
      <c r="C254" s="29">
        <v>44737</v>
      </c>
      <c r="D254" s="29">
        <v>44777</v>
      </c>
      <c r="E254">
        <v>32.17</v>
      </c>
      <c r="F254">
        <v>25.83</v>
      </c>
      <c r="G254">
        <v>6.34</v>
      </c>
    </row>
    <row r="255" spans="1:7" x14ac:dyDescent="0.2">
      <c r="A255" t="s">
        <v>39</v>
      </c>
      <c r="B255">
        <v>3.1947830000000003E-2</v>
      </c>
      <c r="C255" s="29">
        <v>44760</v>
      </c>
      <c r="D255" s="29">
        <v>44777</v>
      </c>
      <c r="E255">
        <v>50.64</v>
      </c>
      <c r="F255">
        <v>50</v>
      </c>
      <c r="G255">
        <v>0.64</v>
      </c>
    </row>
    <row r="256" spans="1:7" x14ac:dyDescent="0.2">
      <c r="A256" t="s">
        <v>39</v>
      </c>
      <c r="B256">
        <v>6.9026399999999998E-3</v>
      </c>
      <c r="C256" s="29">
        <v>44767</v>
      </c>
      <c r="D256" s="29">
        <v>44777</v>
      </c>
      <c r="E256">
        <v>10.94</v>
      </c>
      <c r="F256">
        <v>10.99</v>
      </c>
      <c r="G256">
        <v>-0.05</v>
      </c>
    </row>
    <row r="257" spans="1:7" x14ac:dyDescent="0.2">
      <c r="A257" t="s">
        <v>39</v>
      </c>
      <c r="B257">
        <v>6.3976299999999996E-3</v>
      </c>
      <c r="C257" s="29">
        <v>44737</v>
      </c>
      <c r="D257" s="29">
        <v>44799</v>
      </c>
      <c r="E257">
        <v>10.53</v>
      </c>
      <c r="F257">
        <v>8.14</v>
      </c>
      <c r="G257">
        <v>2.39</v>
      </c>
    </row>
    <row r="258" spans="1:7" x14ac:dyDescent="0.2">
      <c r="A258" t="s">
        <v>39</v>
      </c>
      <c r="B258">
        <v>2.7035590000000002E-2</v>
      </c>
      <c r="C258" s="29">
        <v>44781</v>
      </c>
      <c r="D258" s="29">
        <v>44799</v>
      </c>
      <c r="E258">
        <v>44.51</v>
      </c>
      <c r="F258">
        <v>50</v>
      </c>
      <c r="G258">
        <v>-5.49</v>
      </c>
    </row>
    <row r="259" spans="1:7" x14ac:dyDescent="0.2">
      <c r="A259" t="s">
        <v>39</v>
      </c>
      <c r="B259">
        <v>2.5103E-2</v>
      </c>
      <c r="C259" s="29">
        <v>44788</v>
      </c>
      <c r="D259" s="29">
        <v>44799</v>
      </c>
      <c r="E259">
        <v>41.33</v>
      </c>
      <c r="F259">
        <v>50</v>
      </c>
      <c r="G259">
        <v>-8.67</v>
      </c>
    </row>
    <row r="260" spans="1:7" x14ac:dyDescent="0.2">
      <c r="A260" t="s">
        <v>39</v>
      </c>
      <c r="B260">
        <v>3.028424E-2</v>
      </c>
      <c r="C260" s="29">
        <v>44795</v>
      </c>
      <c r="D260" s="29">
        <v>44799</v>
      </c>
      <c r="E260">
        <v>49.86</v>
      </c>
      <c r="F260">
        <v>50</v>
      </c>
      <c r="G260">
        <v>-0.14000000000000001</v>
      </c>
    </row>
    <row r="261" spans="1:7" x14ac:dyDescent="0.2">
      <c r="A261" t="s">
        <v>39</v>
      </c>
      <c r="B261">
        <v>8.3335389999999995E-2</v>
      </c>
      <c r="C261" s="29">
        <v>44811</v>
      </c>
      <c r="D261" s="29">
        <v>44843</v>
      </c>
      <c r="E261">
        <v>107.65</v>
      </c>
      <c r="F261">
        <v>140.43</v>
      </c>
      <c r="G261">
        <v>-32.78</v>
      </c>
    </row>
    <row r="262" spans="1:7" x14ac:dyDescent="0.2">
      <c r="A262" t="s">
        <v>39</v>
      </c>
      <c r="B262">
        <v>2.0042200000000001E-3</v>
      </c>
      <c r="C262" s="29">
        <v>44811</v>
      </c>
      <c r="D262" s="29">
        <v>44843</v>
      </c>
      <c r="E262">
        <v>2.59</v>
      </c>
      <c r="F262">
        <v>3.38</v>
      </c>
      <c r="G262">
        <v>-0.79</v>
      </c>
    </row>
    <row r="263" spans="1:7" x14ac:dyDescent="0.2">
      <c r="A263" t="s">
        <v>39</v>
      </c>
      <c r="B263">
        <v>2.7867079999999999E-2</v>
      </c>
      <c r="C263" s="29">
        <v>44816</v>
      </c>
      <c r="D263" s="29">
        <v>44843</v>
      </c>
      <c r="E263">
        <v>36</v>
      </c>
      <c r="F263">
        <v>50</v>
      </c>
      <c r="G263">
        <v>-14</v>
      </c>
    </row>
    <row r="264" spans="1:7" x14ac:dyDescent="0.2">
      <c r="A264" t="s">
        <v>39</v>
      </c>
      <c r="B264">
        <v>1.2590530000000001E-2</v>
      </c>
      <c r="C264" s="29">
        <v>44737</v>
      </c>
      <c r="D264" s="29">
        <v>44843</v>
      </c>
      <c r="E264">
        <v>16.260000000000002</v>
      </c>
      <c r="F264">
        <v>16.02</v>
      </c>
      <c r="G264">
        <v>0.24</v>
      </c>
    </row>
    <row r="265" spans="1:7" x14ac:dyDescent="0.2">
      <c r="A265" t="s">
        <v>39</v>
      </c>
      <c r="B265">
        <v>4.3246680000000003E-2</v>
      </c>
      <c r="C265" s="29">
        <v>44746</v>
      </c>
      <c r="D265" s="29">
        <v>44843</v>
      </c>
      <c r="E265">
        <v>55.85</v>
      </c>
      <c r="F265">
        <v>50</v>
      </c>
      <c r="G265">
        <v>5.85</v>
      </c>
    </row>
    <row r="266" spans="1:7" x14ac:dyDescent="0.2">
      <c r="A266" t="s">
        <v>39</v>
      </c>
      <c r="B266">
        <v>4.1425660000000003E-2</v>
      </c>
      <c r="C266" s="29">
        <v>44753</v>
      </c>
      <c r="D266" s="29">
        <v>44843</v>
      </c>
      <c r="E266">
        <v>53.5</v>
      </c>
      <c r="F266">
        <v>50</v>
      </c>
      <c r="G266">
        <v>3.5</v>
      </c>
    </row>
    <row r="267" spans="1:7" x14ac:dyDescent="0.2">
      <c r="A267" t="s">
        <v>39</v>
      </c>
      <c r="B267">
        <v>3.1119709999999998E-2</v>
      </c>
      <c r="C267" s="29">
        <v>44802</v>
      </c>
      <c r="D267" s="29">
        <v>44843</v>
      </c>
      <c r="E267">
        <v>40.19</v>
      </c>
      <c r="F267">
        <v>50</v>
      </c>
      <c r="G267">
        <v>-9.81</v>
      </c>
    </row>
    <row r="268" spans="1:7" x14ac:dyDescent="0.2">
      <c r="A268" t="s">
        <v>39</v>
      </c>
      <c r="B268">
        <v>2.99414E-2</v>
      </c>
      <c r="C268" s="29">
        <v>44809</v>
      </c>
      <c r="D268" s="29">
        <v>44843</v>
      </c>
      <c r="E268">
        <v>38.67</v>
      </c>
      <c r="F268">
        <v>50</v>
      </c>
      <c r="G268">
        <v>-11.33</v>
      </c>
    </row>
    <row r="269" spans="1:7" x14ac:dyDescent="0.2">
      <c r="A269" t="s">
        <v>39</v>
      </c>
      <c r="B269">
        <v>7.8843269999999993E-2</v>
      </c>
      <c r="C269" s="29">
        <v>44811</v>
      </c>
      <c r="D269" s="29">
        <v>44843</v>
      </c>
      <c r="E269">
        <v>101.83</v>
      </c>
      <c r="F269">
        <v>132.53</v>
      </c>
      <c r="G269">
        <v>-30.7</v>
      </c>
    </row>
    <row r="270" spans="1:7" x14ac:dyDescent="0.2">
      <c r="A270" t="s">
        <v>39</v>
      </c>
      <c r="B270">
        <v>8.6738670000000004E-2</v>
      </c>
      <c r="C270" s="29">
        <v>44811</v>
      </c>
      <c r="D270" s="29">
        <v>44843</v>
      </c>
      <c r="E270">
        <v>112.02</v>
      </c>
      <c r="F270">
        <v>146.07</v>
      </c>
      <c r="G270">
        <v>-34.049999999999997</v>
      </c>
    </row>
    <row r="271" spans="1:7" x14ac:dyDescent="0.2">
      <c r="A271" t="s">
        <v>39</v>
      </c>
      <c r="B271">
        <v>3.524733E-2</v>
      </c>
      <c r="C271" s="29">
        <v>44823</v>
      </c>
      <c r="D271" s="29">
        <v>44843</v>
      </c>
      <c r="E271">
        <v>45.52</v>
      </c>
      <c r="F271">
        <v>50</v>
      </c>
      <c r="G271">
        <v>-4.4800000000000004</v>
      </c>
    </row>
    <row r="272" spans="1:7" x14ac:dyDescent="0.2">
      <c r="A272" t="s">
        <v>39</v>
      </c>
      <c r="B272">
        <v>3.6367650000000001E-2</v>
      </c>
      <c r="C272" s="29">
        <v>44830</v>
      </c>
      <c r="D272" s="29">
        <v>44843</v>
      </c>
      <c r="E272">
        <v>46.97</v>
      </c>
      <c r="F272">
        <v>50</v>
      </c>
      <c r="G272">
        <v>-3.03</v>
      </c>
    </row>
    <row r="273" spans="1:7" x14ac:dyDescent="0.2">
      <c r="A273" t="s">
        <v>39</v>
      </c>
      <c r="B273">
        <v>3.5982489999999999E-2</v>
      </c>
      <c r="C273" s="29">
        <v>44837</v>
      </c>
      <c r="D273" s="29">
        <v>44843</v>
      </c>
      <c r="E273">
        <v>46.47</v>
      </c>
      <c r="F273">
        <v>50</v>
      </c>
      <c r="G273">
        <v>-3.53</v>
      </c>
    </row>
    <row r="274" spans="1:7" x14ac:dyDescent="0.2">
      <c r="A274" t="s">
        <v>39</v>
      </c>
      <c r="B274">
        <v>1.1130000000000001E-3</v>
      </c>
      <c r="C274" s="29">
        <v>44871</v>
      </c>
      <c r="D274" s="29">
        <v>44893</v>
      </c>
      <c r="E274">
        <v>1.34</v>
      </c>
      <c r="F274">
        <v>1.86</v>
      </c>
      <c r="G274">
        <v>-0.52</v>
      </c>
    </row>
    <row r="275" spans="1:7" x14ac:dyDescent="0.2">
      <c r="A275" t="s">
        <v>39</v>
      </c>
      <c r="B275">
        <v>4.2763000000000002E-2</v>
      </c>
      <c r="C275" s="29">
        <v>44871</v>
      </c>
      <c r="D275" s="29">
        <v>44893</v>
      </c>
      <c r="E275">
        <v>50.03</v>
      </c>
      <c r="F275">
        <v>71.400000000000006</v>
      </c>
      <c r="G275">
        <v>-21.37</v>
      </c>
    </row>
    <row r="276" spans="1:7" x14ac:dyDescent="0.2">
      <c r="A276" t="s">
        <v>39</v>
      </c>
      <c r="B276">
        <v>8.1899999999999996E-4</v>
      </c>
      <c r="C276" s="29">
        <v>44864</v>
      </c>
      <c r="D276" s="29">
        <v>44893</v>
      </c>
      <c r="E276">
        <v>0.97</v>
      </c>
      <c r="F276">
        <v>1.34</v>
      </c>
      <c r="G276">
        <v>-0.37</v>
      </c>
    </row>
    <row r="277" spans="1:7" x14ac:dyDescent="0.2">
      <c r="A277" t="s">
        <v>39</v>
      </c>
      <c r="B277">
        <v>2.6946689999999999E-2</v>
      </c>
      <c r="C277" s="29">
        <v>44864</v>
      </c>
      <c r="D277" s="29">
        <v>44893</v>
      </c>
      <c r="E277">
        <v>31.34</v>
      </c>
      <c r="F277">
        <v>44.22</v>
      </c>
      <c r="G277">
        <v>-12.88</v>
      </c>
    </row>
    <row r="278" spans="1:7" x14ac:dyDescent="0.2">
      <c r="A278" t="s">
        <v>39</v>
      </c>
      <c r="B278">
        <v>1.601431E-2</v>
      </c>
      <c r="C278" s="29">
        <v>44871</v>
      </c>
      <c r="D278" s="29">
        <v>44893</v>
      </c>
      <c r="E278">
        <v>18.63</v>
      </c>
      <c r="F278">
        <v>26.74</v>
      </c>
      <c r="G278">
        <v>-8.11</v>
      </c>
    </row>
    <row r="279" spans="1:7" x14ac:dyDescent="0.2">
      <c r="A279" t="s">
        <v>39</v>
      </c>
      <c r="B279">
        <v>6.5099999999999999E-4</v>
      </c>
      <c r="C279" s="29">
        <v>44843</v>
      </c>
      <c r="D279" s="29">
        <v>44893</v>
      </c>
      <c r="E279">
        <v>0.76</v>
      </c>
      <c r="F279">
        <v>0.89</v>
      </c>
      <c r="G279">
        <v>-0.13</v>
      </c>
    </row>
    <row r="280" spans="1:7" x14ac:dyDescent="0.2">
      <c r="A280" t="s">
        <v>39</v>
      </c>
      <c r="B280">
        <v>5.2980649999999997E-2</v>
      </c>
      <c r="C280" s="29">
        <v>44843</v>
      </c>
      <c r="D280" s="29">
        <v>44893</v>
      </c>
      <c r="E280">
        <v>61.49</v>
      </c>
      <c r="F280">
        <v>72.72</v>
      </c>
      <c r="G280">
        <v>-11.23</v>
      </c>
    </row>
    <row r="281" spans="1:7" x14ac:dyDescent="0.2">
      <c r="A281" t="s">
        <v>39</v>
      </c>
      <c r="B281">
        <v>3.3175349999999999E-2</v>
      </c>
      <c r="C281" s="29">
        <v>44864</v>
      </c>
      <c r="D281" s="29">
        <v>44893</v>
      </c>
      <c r="E281">
        <v>38.51</v>
      </c>
      <c r="F281">
        <v>54.44</v>
      </c>
      <c r="G281">
        <v>-15.93</v>
      </c>
    </row>
    <row r="282" spans="1:7" x14ac:dyDescent="0.2">
      <c r="A282" t="s">
        <v>39</v>
      </c>
      <c r="B282">
        <v>1.922138E-2</v>
      </c>
      <c r="C282" s="29">
        <v>44843</v>
      </c>
      <c r="D282" s="29">
        <v>44893</v>
      </c>
      <c r="E282">
        <v>22.6</v>
      </c>
      <c r="F282">
        <v>26.38</v>
      </c>
      <c r="G282">
        <v>-3.78</v>
      </c>
    </row>
    <row r="283" spans="1:7" x14ac:dyDescent="0.2">
      <c r="A283" t="s">
        <v>39</v>
      </c>
      <c r="B283">
        <v>7.3598159999999996E-2</v>
      </c>
      <c r="C283" s="29">
        <v>44843</v>
      </c>
      <c r="D283" s="29">
        <v>44893</v>
      </c>
      <c r="E283">
        <v>86.55</v>
      </c>
      <c r="F283">
        <v>99.99</v>
      </c>
      <c r="G283">
        <v>-13.44</v>
      </c>
    </row>
    <row r="284" spans="1:7" x14ac:dyDescent="0.2">
      <c r="A284" t="s">
        <v>39</v>
      </c>
      <c r="B284">
        <v>7.5120039999999999E-2</v>
      </c>
      <c r="C284" s="29">
        <v>44850</v>
      </c>
      <c r="D284" s="29">
        <v>44893</v>
      </c>
      <c r="E284">
        <v>88.34</v>
      </c>
      <c r="F284">
        <v>100</v>
      </c>
      <c r="G284">
        <v>-11.66</v>
      </c>
    </row>
    <row r="285" spans="1:7" x14ac:dyDescent="0.2">
      <c r="A285" t="s">
        <v>39</v>
      </c>
      <c r="B285">
        <v>7.3430300000000004E-2</v>
      </c>
      <c r="C285" s="29">
        <v>44857</v>
      </c>
      <c r="D285" s="29">
        <v>44893</v>
      </c>
      <c r="E285">
        <v>86.35</v>
      </c>
      <c r="F285">
        <v>100</v>
      </c>
      <c r="G285">
        <v>-13.65</v>
      </c>
    </row>
    <row r="286" spans="1:7" x14ac:dyDescent="0.2">
      <c r="A286" t="s">
        <v>39</v>
      </c>
      <c r="B286">
        <v>5.2499999999999997E-4</v>
      </c>
      <c r="C286" s="29">
        <v>44878</v>
      </c>
      <c r="D286" s="29">
        <v>44893</v>
      </c>
      <c r="E286">
        <v>0.62</v>
      </c>
      <c r="F286">
        <v>0.67</v>
      </c>
      <c r="G286">
        <v>-0.05</v>
      </c>
    </row>
    <row r="287" spans="1:7" x14ac:dyDescent="0.2">
      <c r="A287" t="s">
        <v>39</v>
      </c>
      <c r="B287">
        <v>1.3748120000000001E-2</v>
      </c>
      <c r="C287" s="29">
        <v>44878</v>
      </c>
      <c r="D287" s="29">
        <v>44893</v>
      </c>
      <c r="E287">
        <v>16.170000000000002</v>
      </c>
      <c r="F287">
        <v>17.5</v>
      </c>
      <c r="G287">
        <v>-1.33</v>
      </c>
    </row>
    <row r="288" spans="1:7" x14ac:dyDescent="0.2">
      <c r="A288" t="s">
        <v>39</v>
      </c>
      <c r="B288">
        <v>6.4292150000000006E-2</v>
      </c>
      <c r="C288" s="29">
        <v>44878</v>
      </c>
      <c r="D288" s="29">
        <v>44896</v>
      </c>
      <c r="E288">
        <v>79.92</v>
      </c>
      <c r="F288">
        <v>81.83</v>
      </c>
      <c r="G288">
        <v>-1.91</v>
      </c>
    </row>
    <row r="289" spans="1:7" x14ac:dyDescent="0.2">
      <c r="A289" t="s">
        <v>39</v>
      </c>
      <c r="B289">
        <v>3.715446E-2</v>
      </c>
      <c r="C289" s="29">
        <v>44885</v>
      </c>
      <c r="D289" s="29">
        <v>44896</v>
      </c>
      <c r="E289">
        <v>46.18</v>
      </c>
      <c r="F289">
        <v>45.48</v>
      </c>
      <c r="G289">
        <v>0.7</v>
      </c>
    </row>
    <row r="290" spans="1:7" x14ac:dyDescent="0.2">
      <c r="A290" t="s">
        <v>39</v>
      </c>
      <c r="B290">
        <v>1.6193989999999998E-2</v>
      </c>
      <c r="C290" s="29">
        <v>44886</v>
      </c>
      <c r="D290" s="29">
        <v>44896</v>
      </c>
      <c r="E290">
        <v>20.13</v>
      </c>
      <c r="F290">
        <v>20</v>
      </c>
      <c r="G290">
        <v>0.13</v>
      </c>
    </row>
    <row r="291" spans="1:7" x14ac:dyDescent="0.2">
      <c r="A291" t="s">
        <v>39</v>
      </c>
      <c r="B291">
        <v>2.423407E-2</v>
      </c>
      <c r="C291" s="29">
        <v>44885</v>
      </c>
      <c r="D291" s="29">
        <v>44901</v>
      </c>
      <c r="E291">
        <v>30.61</v>
      </c>
      <c r="F291">
        <v>29.67</v>
      </c>
      <c r="G291">
        <v>0.94</v>
      </c>
    </row>
    <row r="292" spans="1:7" x14ac:dyDescent="0.2">
      <c r="A292" t="s">
        <v>39</v>
      </c>
      <c r="B292">
        <v>3.1500000000000001E-4</v>
      </c>
      <c r="C292" s="29">
        <v>44885</v>
      </c>
      <c r="D292" s="29">
        <v>44901</v>
      </c>
      <c r="E292">
        <v>0.4</v>
      </c>
      <c r="F292">
        <v>0.39</v>
      </c>
      <c r="G292">
        <v>0.01</v>
      </c>
    </row>
    <row r="293" spans="1:7" x14ac:dyDescent="0.2">
      <c r="A293" t="s">
        <v>39</v>
      </c>
      <c r="B293">
        <v>1.5361929999999999E-2</v>
      </c>
      <c r="C293" s="29">
        <v>44900</v>
      </c>
      <c r="D293" s="29">
        <v>44901</v>
      </c>
      <c r="E293">
        <v>19.399999999999999</v>
      </c>
      <c r="F293">
        <v>20</v>
      </c>
      <c r="G293">
        <v>-0.6</v>
      </c>
    </row>
    <row r="294" spans="1:7" x14ac:dyDescent="0.2">
      <c r="A294" t="s">
        <v>39</v>
      </c>
      <c r="B294">
        <v>1.9987330000000001E-2</v>
      </c>
      <c r="C294" s="29">
        <v>44885</v>
      </c>
      <c r="D294" s="29">
        <v>44901</v>
      </c>
      <c r="E294">
        <v>25.35</v>
      </c>
      <c r="F294">
        <v>24.47</v>
      </c>
      <c r="G294">
        <v>0.88</v>
      </c>
    </row>
    <row r="295" spans="1:7" x14ac:dyDescent="0.2">
      <c r="A295" t="s">
        <v>39</v>
      </c>
      <c r="B295">
        <v>2.52E-4</v>
      </c>
      <c r="C295" s="29">
        <v>44894</v>
      </c>
      <c r="D295" s="29">
        <v>44901</v>
      </c>
      <c r="E295">
        <v>0.32</v>
      </c>
      <c r="F295">
        <v>0.3</v>
      </c>
      <c r="G295">
        <v>0.02</v>
      </c>
    </row>
    <row r="296" spans="1:7" x14ac:dyDescent="0.2">
      <c r="A296" t="s">
        <v>39</v>
      </c>
      <c r="B296">
        <v>5.8927670000000001E-2</v>
      </c>
      <c r="C296" s="29">
        <v>44894</v>
      </c>
      <c r="D296" s="29">
        <v>44901</v>
      </c>
      <c r="E296">
        <v>74.739999999999995</v>
      </c>
      <c r="F296">
        <v>71.16</v>
      </c>
      <c r="G296">
        <v>3.58</v>
      </c>
    </row>
    <row r="297" spans="1:7" x14ac:dyDescent="0.2">
      <c r="A297" t="s">
        <v>39</v>
      </c>
      <c r="B297">
        <v>3.1500000000000001E-4</v>
      </c>
      <c r="C297" s="29">
        <v>44894</v>
      </c>
      <c r="D297" s="29">
        <v>44901</v>
      </c>
      <c r="E297">
        <v>0.4</v>
      </c>
      <c r="F297">
        <v>0.38</v>
      </c>
      <c r="G297">
        <v>0.02</v>
      </c>
    </row>
    <row r="298" spans="1:7" x14ac:dyDescent="0.2">
      <c r="A298" t="s">
        <v>39</v>
      </c>
      <c r="B298">
        <v>0.31627699999999997</v>
      </c>
      <c r="C298" s="29">
        <v>44894</v>
      </c>
      <c r="D298" s="29">
        <v>44901</v>
      </c>
      <c r="E298">
        <v>400.13</v>
      </c>
      <c r="F298">
        <v>381.94</v>
      </c>
      <c r="G298">
        <v>18.190000000000001</v>
      </c>
    </row>
    <row r="299" spans="1:7" x14ac:dyDescent="0.2">
      <c r="A299" t="s">
        <v>39</v>
      </c>
      <c r="B299">
        <v>6.546E-5</v>
      </c>
      <c r="C299" s="29">
        <v>44902</v>
      </c>
      <c r="D299" s="29">
        <v>44916</v>
      </c>
      <c r="E299">
        <v>0.08</v>
      </c>
      <c r="F299">
        <v>0.08</v>
      </c>
      <c r="G299">
        <v>0</v>
      </c>
    </row>
    <row r="300" spans="1:7" x14ac:dyDescent="0.2">
      <c r="A300" t="s">
        <v>39</v>
      </c>
      <c r="B300">
        <v>2.5112740000000001E-2</v>
      </c>
      <c r="C300" s="29">
        <v>44902</v>
      </c>
      <c r="D300" s="29">
        <v>44916</v>
      </c>
      <c r="E300">
        <v>30.54</v>
      </c>
      <c r="F300">
        <v>30.96</v>
      </c>
      <c r="G300">
        <v>-0.42</v>
      </c>
    </row>
    <row r="301" spans="1:7" x14ac:dyDescent="0.2">
      <c r="A301" t="s">
        <v>39</v>
      </c>
      <c r="B301">
        <v>1.5972259999999999E-2</v>
      </c>
      <c r="C301" s="29">
        <v>44907</v>
      </c>
      <c r="D301" s="29">
        <v>44916</v>
      </c>
      <c r="E301">
        <v>19.420000000000002</v>
      </c>
      <c r="F301">
        <v>20</v>
      </c>
      <c r="G301">
        <v>-0.57999999999999996</v>
      </c>
    </row>
    <row r="302" spans="1:7" x14ac:dyDescent="0.2">
      <c r="A302" t="s">
        <v>39</v>
      </c>
      <c r="B302">
        <v>8.2324999999999995E-2</v>
      </c>
      <c r="C302" s="29">
        <v>44902</v>
      </c>
      <c r="D302" s="29">
        <v>44916</v>
      </c>
      <c r="E302">
        <v>100</v>
      </c>
      <c r="F302">
        <v>101.48</v>
      </c>
      <c r="G302">
        <v>-1.48</v>
      </c>
    </row>
    <row r="303" spans="1:7" x14ac:dyDescent="0.2">
      <c r="A303" t="s">
        <v>39</v>
      </c>
      <c r="B303">
        <v>6.5539999999999999E-5</v>
      </c>
      <c r="C303" s="29">
        <v>44902</v>
      </c>
      <c r="D303" s="29">
        <v>44916</v>
      </c>
      <c r="E303">
        <v>0.08</v>
      </c>
      <c r="F303">
        <v>0.08</v>
      </c>
      <c r="G303">
        <v>0</v>
      </c>
    </row>
    <row r="304" spans="1:7" x14ac:dyDescent="0.2">
      <c r="A304" t="s">
        <v>39</v>
      </c>
      <c r="B304">
        <v>4.0683999999999998E-2</v>
      </c>
      <c r="C304" s="29">
        <v>44902</v>
      </c>
      <c r="D304" s="29">
        <v>44922</v>
      </c>
      <c r="E304">
        <v>49.99</v>
      </c>
      <c r="F304">
        <v>50.15</v>
      </c>
      <c r="G304">
        <v>-0.16</v>
      </c>
    </row>
    <row r="305" spans="1:7" x14ac:dyDescent="0.2">
      <c r="A305" t="s">
        <v>39</v>
      </c>
      <c r="B305">
        <v>6.6379999999999998E-5</v>
      </c>
      <c r="C305" s="29">
        <v>44902</v>
      </c>
      <c r="D305" s="29">
        <v>44922</v>
      </c>
      <c r="E305">
        <v>0.08</v>
      </c>
      <c r="F305">
        <v>0.08</v>
      </c>
      <c r="G305">
        <v>0</v>
      </c>
    </row>
    <row r="306" spans="1:7" x14ac:dyDescent="0.2">
      <c r="A306" t="s">
        <v>39</v>
      </c>
      <c r="B306">
        <v>8.1725000000000006E-2</v>
      </c>
      <c r="C306" s="29">
        <v>44902</v>
      </c>
      <c r="D306" s="29">
        <v>44922</v>
      </c>
      <c r="E306">
        <v>99.93</v>
      </c>
      <c r="F306">
        <v>100.74</v>
      </c>
      <c r="G306">
        <v>-0.81</v>
      </c>
    </row>
    <row r="307" spans="1:7" x14ac:dyDescent="0.2">
      <c r="A307" t="s">
        <v>39</v>
      </c>
      <c r="B307">
        <v>6.622E-5</v>
      </c>
      <c r="C307" s="29">
        <v>44902</v>
      </c>
      <c r="D307" s="29">
        <v>44922</v>
      </c>
      <c r="E307">
        <v>0.08</v>
      </c>
      <c r="F307">
        <v>0.08</v>
      </c>
      <c r="G307">
        <v>0</v>
      </c>
    </row>
    <row r="308" spans="1:7" x14ac:dyDescent="0.2">
      <c r="A308" t="s">
        <v>39</v>
      </c>
      <c r="B308">
        <v>6.3810000000000001E-5</v>
      </c>
      <c r="C308" s="29">
        <v>44922</v>
      </c>
      <c r="D308" s="29">
        <v>44925</v>
      </c>
      <c r="E308">
        <v>0.08</v>
      </c>
      <c r="F308">
        <v>0.08</v>
      </c>
      <c r="G308">
        <v>0</v>
      </c>
    </row>
    <row r="309" spans="1:7" x14ac:dyDescent="0.2">
      <c r="A309" t="s">
        <v>39</v>
      </c>
      <c r="B309">
        <v>4.1825000000000001E-2</v>
      </c>
      <c r="C309" s="29">
        <v>44922</v>
      </c>
      <c r="D309" s="29">
        <v>44925</v>
      </c>
      <c r="E309">
        <v>49.98</v>
      </c>
      <c r="F309">
        <v>51.66</v>
      </c>
      <c r="G309">
        <v>-1.68</v>
      </c>
    </row>
    <row r="310" spans="1:7" x14ac:dyDescent="0.2">
      <c r="A310" t="s">
        <v>39</v>
      </c>
      <c r="B310">
        <v>8.3696000000000007E-2</v>
      </c>
      <c r="C310" s="29">
        <v>44922</v>
      </c>
      <c r="D310" s="29">
        <v>44925</v>
      </c>
      <c r="E310">
        <v>100</v>
      </c>
      <c r="F310">
        <v>103.37</v>
      </c>
      <c r="G310">
        <v>-3.37</v>
      </c>
    </row>
    <row r="311" spans="1:7" x14ac:dyDescent="0.2">
      <c r="A311" t="s">
        <v>39</v>
      </c>
      <c r="B311">
        <v>6.3239999999999998E-5</v>
      </c>
      <c r="C311" s="29">
        <v>44922</v>
      </c>
      <c r="D311" s="29">
        <v>44925</v>
      </c>
      <c r="E311">
        <v>0.08</v>
      </c>
      <c r="F311">
        <v>0.08</v>
      </c>
      <c r="G311">
        <v>0</v>
      </c>
    </row>
    <row r="312" spans="1:7" x14ac:dyDescent="0.2">
      <c r="A312" t="s">
        <v>56</v>
      </c>
      <c r="B312">
        <v>37.85224736</v>
      </c>
      <c r="C312" s="29">
        <v>44582</v>
      </c>
      <c r="D312" s="29">
        <v>44585</v>
      </c>
      <c r="E312">
        <v>21.98</v>
      </c>
      <c r="F312">
        <v>24.45</v>
      </c>
      <c r="G312">
        <v>-2.4700000000000002</v>
      </c>
    </row>
    <row r="313" spans="1:7" x14ac:dyDescent="0.2">
      <c r="A313" t="s">
        <v>57</v>
      </c>
      <c r="B313">
        <v>840.67473926000002</v>
      </c>
      <c r="C313" s="29">
        <v>44582</v>
      </c>
      <c r="D313" s="29">
        <v>44585</v>
      </c>
      <c r="E313">
        <v>29.81</v>
      </c>
      <c r="F313">
        <v>28.87</v>
      </c>
      <c r="G313">
        <v>0.94</v>
      </c>
    </row>
    <row r="314" spans="1:7" x14ac:dyDescent="0.2">
      <c r="A314" t="s">
        <v>57</v>
      </c>
      <c r="B314">
        <v>602.30154056000003</v>
      </c>
      <c r="C314" s="29">
        <v>44583</v>
      </c>
      <c r="D314" s="29">
        <v>44585</v>
      </c>
      <c r="E314">
        <v>21.36</v>
      </c>
      <c r="F314">
        <v>23.52</v>
      </c>
      <c r="G314">
        <v>-2.16</v>
      </c>
    </row>
    <row r="315" spans="1:7" x14ac:dyDescent="0.2">
      <c r="A315" t="s">
        <v>53</v>
      </c>
      <c r="B315">
        <v>36.42306705</v>
      </c>
      <c r="C315" s="29">
        <v>44597</v>
      </c>
      <c r="D315" s="29">
        <v>44602</v>
      </c>
      <c r="E315">
        <v>9.32</v>
      </c>
      <c r="F315">
        <v>9.8699999999999992</v>
      </c>
      <c r="G315">
        <v>-0.55000000000000004</v>
      </c>
    </row>
    <row r="316" spans="1:7" x14ac:dyDescent="0.2">
      <c r="A316" t="s">
        <v>32</v>
      </c>
      <c r="B316">
        <v>11.074009999999999</v>
      </c>
      <c r="C316" s="29">
        <v>44843</v>
      </c>
      <c r="D316" s="29">
        <v>44843</v>
      </c>
      <c r="E316">
        <v>146.19</v>
      </c>
      <c r="F316">
        <v>146.24</v>
      </c>
      <c r="G316">
        <v>-0.05</v>
      </c>
    </row>
    <row r="317" spans="1:7" x14ac:dyDescent="0.2">
      <c r="A317" t="s">
        <v>32</v>
      </c>
      <c r="B317">
        <v>4.0729150000000001</v>
      </c>
      <c r="C317" s="29">
        <v>44843</v>
      </c>
      <c r="D317" s="29">
        <v>44843</v>
      </c>
      <c r="E317">
        <v>53.77</v>
      </c>
      <c r="F317">
        <v>53.76</v>
      </c>
      <c r="G317">
        <v>0.01</v>
      </c>
    </row>
    <row r="318" spans="1:7" x14ac:dyDescent="0.2">
      <c r="A318" t="s">
        <v>32</v>
      </c>
      <c r="B318">
        <v>7.5809259999999998</v>
      </c>
      <c r="C318" s="29">
        <v>44843</v>
      </c>
      <c r="D318" s="29">
        <v>44843</v>
      </c>
      <c r="E318">
        <v>99.99</v>
      </c>
      <c r="F318">
        <v>100.07</v>
      </c>
      <c r="G318">
        <v>-0.08</v>
      </c>
    </row>
    <row r="319" spans="1:7" x14ac:dyDescent="0.2">
      <c r="A319" t="s">
        <v>32</v>
      </c>
      <c r="B319">
        <v>15.158405</v>
      </c>
      <c r="C319" s="29">
        <v>44843</v>
      </c>
      <c r="D319" s="29">
        <v>44843</v>
      </c>
      <c r="E319">
        <v>199.96</v>
      </c>
      <c r="F319">
        <v>200.09</v>
      </c>
      <c r="G319">
        <v>-0.13</v>
      </c>
    </row>
    <row r="320" spans="1:7" x14ac:dyDescent="0.2">
      <c r="A320" t="s">
        <v>32</v>
      </c>
      <c r="B320">
        <v>3.556632</v>
      </c>
      <c r="C320" s="29">
        <v>44843</v>
      </c>
      <c r="D320" s="29">
        <v>44867</v>
      </c>
      <c r="E320">
        <v>48.29</v>
      </c>
      <c r="F320">
        <v>46.95</v>
      </c>
      <c r="G320">
        <v>1.34</v>
      </c>
    </row>
    <row r="321" spans="1:7" x14ac:dyDescent="0.2">
      <c r="A321" t="s">
        <v>32</v>
      </c>
      <c r="B321">
        <v>3.3258999999999997E-2</v>
      </c>
      <c r="C321" s="29">
        <v>44862</v>
      </c>
      <c r="D321" s="29">
        <v>44867</v>
      </c>
      <c r="E321">
        <v>0.45</v>
      </c>
      <c r="F321">
        <v>0.44</v>
      </c>
      <c r="G321">
        <v>0.01</v>
      </c>
    </row>
    <row r="322" spans="1:7" x14ac:dyDescent="0.2">
      <c r="A322" t="s">
        <v>50</v>
      </c>
      <c r="B322">
        <v>6.0493305599999996</v>
      </c>
      <c r="C322" s="29">
        <v>44560</v>
      </c>
      <c r="D322" s="29">
        <v>44570</v>
      </c>
      <c r="E322">
        <v>12.25</v>
      </c>
      <c r="F322">
        <v>14.68</v>
      </c>
      <c r="G322">
        <v>-2.4300000000000002</v>
      </c>
    </row>
    <row r="323" spans="1:7" x14ac:dyDescent="0.2">
      <c r="A323" t="s">
        <v>50</v>
      </c>
      <c r="B323">
        <v>6.29638235</v>
      </c>
      <c r="C323" s="29">
        <v>44602</v>
      </c>
      <c r="D323" s="29">
        <v>44609</v>
      </c>
      <c r="E323">
        <v>10.98</v>
      </c>
      <c r="F323">
        <v>12.14</v>
      </c>
      <c r="G323">
        <v>-1.1599999999999999</v>
      </c>
    </row>
    <row r="324" spans="1:7" x14ac:dyDescent="0.2">
      <c r="A324" t="s">
        <v>50</v>
      </c>
      <c r="B324">
        <v>4.9322087999999997</v>
      </c>
      <c r="C324" s="29">
        <v>44602</v>
      </c>
      <c r="D324" s="29">
        <v>44609</v>
      </c>
      <c r="E324">
        <v>8.6</v>
      </c>
      <c r="F324">
        <v>9.32</v>
      </c>
      <c r="G324">
        <v>-0.72</v>
      </c>
    </row>
    <row r="325" spans="1:7" x14ac:dyDescent="0.2">
      <c r="A325" t="s">
        <v>50</v>
      </c>
      <c r="B325">
        <v>0.23732640999999999</v>
      </c>
      <c r="C325" s="29">
        <v>44608</v>
      </c>
      <c r="D325" s="29">
        <v>44609</v>
      </c>
      <c r="E325">
        <v>0.41</v>
      </c>
      <c r="F325">
        <v>0.44</v>
      </c>
      <c r="G325">
        <v>-0.03</v>
      </c>
    </row>
    <row r="326" spans="1:7" x14ac:dyDescent="0.2">
      <c r="A326" t="s">
        <v>50</v>
      </c>
      <c r="B326">
        <v>20.12041597</v>
      </c>
      <c r="C326" s="29">
        <v>44591</v>
      </c>
      <c r="D326" s="29">
        <v>44645</v>
      </c>
      <c r="E326">
        <v>31.82</v>
      </c>
      <c r="F326">
        <v>32.369999999999997</v>
      </c>
      <c r="G326">
        <v>-0.55000000000000004</v>
      </c>
    </row>
    <row r="327" spans="1:7" x14ac:dyDescent="0.2">
      <c r="A327" t="s">
        <v>50</v>
      </c>
      <c r="B327">
        <v>9.8318377899999998</v>
      </c>
      <c r="C327" s="29">
        <v>44608</v>
      </c>
      <c r="D327" s="29">
        <v>44645</v>
      </c>
      <c r="E327">
        <v>15.55</v>
      </c>
      <c r="F327">
        <v>18.440000000000001</v>
      </c>
      <c r="G327">
        <v>-2.89</v>
      </c>
    </row>
    <row r="328" spans="1:7" x14ac:dyDescent="0.2">
      <c r="A328" t="s">
        <v>50</v>
      </c>
      <c r="B328">
        <v>176.07568337000001</v>
      </c>
      <c r="C328" s="29">
        <v>44799</v>
      </c>
      <c r="D328" s="29">
        <v>44811</v>
      </c>
      <c r="E328">
        <v>149.44999999999999</v>
      </c>
      <c r="F328">
        <v>146.22</v>
      </c>
      <c r="G328">
        <v>3.23</v>
      </c>
    </row>
    <row r="329" spans="1:7" x14ac:dyDescent="0.2">
      <c r="A329" t="s">
        <v>33</v>
      </c>
      <c r="B329">
        <v>0.13994595000000001</v>
      </c>
      <c r="C329" s="29">
        <v>44570</v>
      </c>
      <c r="D329" s="29">
        <v>44570</v>
      </c>
      <c r="E329">
        <v>19.649999999999999</v>
      </c>
      <c r="F329">
        <v>20.72</v>
      </c>
      <c r="G329">
        <v>-1.07</v>
      </c>
    </row>
    <row r="330" spans="1:7" x14ac:dyDescent="0.2">
      <c r="A330" t="s">
        <v>33</v>
      </c>
      <c r="B330">
        <v>0.63016919999999998</v>
      </c>
      <c r="C330" s="29">
        <v>44570</v>
      </c>
      <c r="D330" s="29">
        <v>44570</v>
      </c>
      <c r="E330">
        <v>88.47</v>
      </c>
      <c r="F330">
        <v>91.34</v>
      </c>
      <c r="G330">
        <v>-2.87</v>
      </c>
    </row>
    <row r="331" spans="1:7" x14ac:dyDescent="0.2">
      <c r="A331" t="s">
        <v>33</v>
      </c>
      <c r="B331">
        <v>4.0490642799999996</v>
      </c>
      <c r="C331" s="29">
        <v>44777</v>
      </c>
      <c r="D331" s="29">
        <v>44811</v>
      </c>
      <c r="E331">
        <v>132.12</v>
      </c>
      <c r="F331">
        <v>156.75</v>
      </c>
      <c r="G331">
        <v>-24.63</v>
      </c>
    </row>
    <row r="332" spans="1:7" x14ac:dyDescent="0.2">
      <c r="A332" t="s">
        <v>33</v>
      </c>
      <c r="B332">
        <v>1.30503E-3</v>
      </c>
      <c r="C332" s="29">
        <v>44783</v>
      </c>
      <c r="D332" s="29">
        <v>44811</v>
      </c>
      <c r="E332">
        <v>0.04</v>
      </c>
      <c r="F332">
        <v>0.05</v>
      </c>
      <c r="G332">
        <v>-0.01</v>
      </c>
    </row>
    <row r="333" spans="1:7" x14ac:dyDescent="0.2">
      <c r="A333" t="s">
        <v>33</v>
      </c>
      <c r="B333">
        <v>1.3001600000000001E-3</v>
      </c>
      <c r="C333" s="29">
        <v>44786</v>
      </c>
      <c r="D333" s="29">
        <v>44811</v>
      </c>
      <c r="E333">
        <v>0.04</v>
      </c>
      <c r="F333">
        <v>0.06</v>
      </c>
      <c r="G333">
        <v>-0.02</v>
      </c>
    </row>
    <row r="334" spans="1:7" x14ac:dyDescent="0.2">
      <c r="A334" t="s">
        <v>33</v>
      </c>
      <c r="B334">
        <v>1.2923100000000001E-3</v>
      </c>
      <c r="C334" s="29">
        <v>44789</v>
      </c>
      <c r="D334" s="29">
        <v>44811</v>
      </c>
      <c r="E334">
        <v>0.04</v>
      </c>
      <c r="F334">
        <v>0.05</v>
      </c>
      <c r="G334">
        <v>-0.01</v>
      </c>
    </row>
    <row r="335" spans="1:7" x14ac:dyDescent="0.2">
      <c r="A335" t="s">
        <v>33</v>
      </c>
      <c r="B335">
        <v>1.29766E-3</v>
      </c>
      <c r="C335" s="29">
        <v>44792</v>
      </c>
      <c r="D335" s="29">
        <v>44811</v>
      </c>
      <c r="E335">
        <v>0.04</v>
      </c>
      <c r="F335">
        <v>0.04</v>
      </c>
      <c r="G335">
        <v>0</v>
      </c>
    </row>
    <row r="336" spans="1:7" x14ac:dyDescent="0.2">
      <c r="A336" t="s">
        <v>33</v>
      </c>
      <c r="B336">
        <v>6.5089E-4</v>
      </c>
      <c r="C336" s="29">
        <v>44795</v>
      </c>
      <c r="D336" s="29">
        <v>44811</v>
      </c>
      <c r="E336">
        <v>0.02</v>
      </c>
      <c r="F336">
        <v>0.02</v>
      </c>
      <c r="G336">
        <v>0</v>
      </c>
    </row>
    <row r="337" spans="1:7" x14ac:dyDescent="0.2">
      <c r="A337" t="s">
        <v>33</v>
      </c>
      <c r="B337">
        <v>1.39926E-3</v>
      </c>
      <c r="C337" s="29">
        <v>44798</v>
      </c>
      <c r="D337" s="29">
        <v>44811</v>
      </c>
      <c r="E337">
        <v>0.05</v>
      </c>
      <c r="F337">
        <v>0.04</v>
      </c>
      <c r="G337">
        <v>0.01</v>
      </c>
    </row>
    <row r="338" spans="1:7" x14ac:dyDescent="0.2">
      <c r="A338" t="s">
        <v>33</v>
      </c>
      <c r="B338">
        <v>1.42425E-3</v>
      </c>
      <c r="C338" s="29">
        <v>44801</v>
      </c>
      <c r="D338" s="29">
        <v>44811</v>
      </c>
      <c r="E338">
        <v>0.05</v>
      </c>
      <c r="F338">
        <v>0.04</v>
      </c>
      <c r="G338">
        <v>0.01</v>
      </c>
    </row>
    <row r="339" spans="1:7" x14ac:dyDescent="0.2">
      <c r="A339" t="s">
        <v>33</v>
      </c>
      <c r="B339">
        <v>1.2448299999999999E-3</v>
      </c>
      <c r="C339" s="29">
        <v>44805</v>
      </c>
      <c r="D339" s="29">
        <v>44811</v>
      </c>
      <c r="E339">
        <v>0.04</v>
      </c>
      <c r="F339">
        <v>0.03</v>
      </c>
      <c r="G339">
        <v>0.01</v>
      </c>
    </row>
    <row r="340" spans="1:7" x14ac:dyDescent="0.2">
      <c r="A340" t="s">
        <v>33</v>
      </c>
      <c r="B340">
        <v>1.3996900000000001E-3</v>
      </c>
      <c r="C340" s="29">
        <v>44807</v>
      </c>
      <c r="D340" s="29">
        <v>44811</v>
      </c>
      <c r="E340">
        <v>0.05</v>
      </c>
      <c r="F340">
        <v>0.04</v>
      </c>
      <c r="G340">
        <v>0.01</v>
      </c>
    </row>
    <row r="341" spans="1:7" x14ac:dyDescent="0.2">
      <c r="A341" t="s">
        <v>33</v>
      </c>
      <c r="B341">
        <v>1.4032599999999999E-3</v>
      </c>
      <c r="C341" s="29">
        <v>44809</v>
      </c>
      <c r="D341" s="29">
        <v>44811</v>
      </c>
      <c r="E341">
        <v>0.05</v>
      </c>
      <c r="F341">
        <v>0.04</v>
      </c>
      <c r="G341">
        <v>0.01</v>
      </c>
    </row>
    <row r="342" spans="1:7" x14ac:dyDescent="0.2">
      <c r="A342" t="s">
        <v>33</v>
      </c>
      <c r="B342">
        <v>1.3926800000000001E-3</v>
      </c>
      <c r="C342" s="29">
        <v>44813</v>
      </c>
      <c r="D342" s="29">
        <v>44896</v>
      </c>
      <c r="E342">
        <v>0.02</v>
      </c>
      <c r="F342">
        <v>0.04</v>
      </c>
      <c r="G342">
        <v>-0.02</v>
      </c>
    </row>
    <row r="343" spans="1:7" x14ac:dyDescent="0.2">
      <c r="A343" t="s">
        <v>33</v>
      </c>
      <c r="B343">
        <v>1.3742400000000001E-3</v>
      </c>
      <c r="C343" s="29">
        <v>44815</v>
      </c>
      <c r="D343" s="29">
        <v>44896</v>
      </c>
      <c r="E343">
        <v>0.02</v>
      </c>
      <c r="F343">
        <v>0.04</v>
      </c>
      <c r="G343">
        <v>-0.02</v>
      </c>
    </row>
    <row r="344" spans="1:7" x14ac:dyDescent="0.2">
      <c r="A344" t="s">
        <v>33</v>
      </c>
      <c r="B344">
        <v>5.8921217700000001</v>
      </c>
      <c r="C344" s="29">
        <v>44843</v>
      </c>
      <c r="D344" s="29">
        <v>44896</v>
      </c>
      <c r="E344">
        <v>77.59</v>
      </c>
      <c r="F344">
        <v>199.96</v>
      </c>
      <c r="G344">
        <v>-122.37</v>
      </c>
    </row>
    <row r="345" spans="1:7" x14ac:dyDescent="0.2">
      <c r="A345" t="s">
        <v>33</v>
      </c>
      <c r="B345">
        <v>1.8760700000000001E-3</v>
      </c>
      <c r="C345" s="29">
        <v>44848</v>
      </c>
      <c r="D345" s="29">
        <v>44896</v>
      </c>
      <c r="E345">
        <v>0.02</v>
      </c>
      <c r="F345">
        <v>0.05</v>
      </c>
      <c r="G345">
        <v>-0.03</v>
      </c>
    </row>
    <row r="346" spans="1:7" x14ac:dyDescent="0.2">
      <c r="A346" t="s">
        <v>33</v>
      </c>
      <c r="B346">
        <v>1.86506E-3</v>
      </c>
      <c r="C346" s="29">
        <v>44851</v>
      </c>
      <c r="D346" s="29">
        <v>44896</v>
      </c>
      <c r="E346">
        <v>0.02</v>
      </c>
      <c r="F346">
        <v>0.05</v>
      </c>
      <c r="G346">
        <v>-0.03</v>
      </c>
    </row>
    <row r="347" spans="1:7" x14ac:dyDescent="0.2">
      <c r="A347" t="s">
        <v>33</v>
      </c>
      <c r="B347">
        <v>1.8747E-3</v>
      </c>
      <c r="C347" s="29">
        <v>44854</v>
      </c>
      <c r="D347" s="29">
        <v>44896</v>
      </c>
      <c r="E347">
        <v>0.02</v>
      </c>
      <c r="F347">
        <v>0.05</v>
      </c>
      <c r="G347">
        <v>-0.03</v>
      </c>
    </row>
    <row r="348" spans="1:7" x14ac:dyDescent="0.2">
      <c r="A348" t="s">
        <v>33</v>
      </c>
      <c r="B348">
        <v>1.79028E-3</v>
      </c>
      <c r="C348" s="29">
        <v>44856</v>
      </c>
      <c r="D348" s="29">
        <v>44896</v>
      </c>
      <c r="E348">
        <v>0.02</v>
      </c>
      <c r="F348">
        <v>0.04</v>
      </c>
      <c r="G348">
        <v>-0.02</v>
      </c>
    </row>
    <row r="349" spans="1:7" x14ac:dyDescent="0.2">
      <c r="A349" t="s">
        <v>33</v>
      </c>
      <c r="B349">
        <v>1.8121700000000001E-3</v>
      </c>
      <c r="C349" s="29">
        <v>44858</v>
      </c>
      <c r="D349" s="29">
        <v>44896</v>
      </c>
      <c r="E349">
        <v>0.02</v>
      </c>
      <c r="F349">
        <v>0.05</v>
      </c>
      <c r="G349">
        <v>-0.03</v>
      </c>
    </row>
    <row r="350" spans="1:7" x14ac:dyDescent="0.2">
      <c r="A350" t="s">
        <v>33</v>
      </c>
      <c r="B350">
        <v>1.8444799999999999E-3</v>
      </c>
      <c r="C350" s="29">
        <v>44860</v>
      </c>
      <c r="D350" s="29">
        <v>44896</v>
      </c>
      <c r="E350">
        <v>0.02</v>
      </c>
      <c r="F350">
        <v>0.05</v>
      </c>
      <c r="G350">
        <v>-0.03</v>
      </c>
    </row>
    <row r="351" spans="1:7" x14ac:dyDescent="0.2">
      <c r="A351" t="s">
        <v>33</v>
      </c>
      <c r="B351">
        <v>1.80689E-3</v>
      </c>
      <c r="C351" s="29">
        <v>44863</v>
      </c>
      <c r="D351" s="29">
        <v>44896</v>
      </c>
      <c r="E351">
        <v>0.02</v>
      </c>
      <c r="F351">
        <v>0.05</v>
      </c>
      <c r="G351">
        <v>-0.03</v>
      </c>
    </row>
    <row r="352" spans="1:7" x14ac:dyDescent="0.2">
      <c r="A352" t="s">
        <v>33</v>
      </c>
      <c r="B352">
        <v>1.85092E-3</v>
      </c>
      <c r="C352" s="29">
        <v>44865</v>
      </c>
      <c r="D352" s="29">
        <v>44896</v>
      </c>
      <c r="E352">
        <v>0.02</v>
      </c>
      <c r="F352">
        <v>0.06</v>
      </c>
      <c r="G352">
        <v>-0.04</v>
      </c>
    </row>
    <row r="353" spans="1:7" x14ac:dyDescent="0.2">
      <c r="A353" t="s">
        <v>33</v>
      </c>
      <c r="B353">
        <v>1.8058E-3</v>
      </c>
      <c r="C353" s="29">
        <v>44867</v>
      </c>
      <c r="D353" s="29">
        <v>44896</v>
      </c>
      <c r="E353">
        <v>0.02</v>
      </c>
      <c r="F353">
        <v>0.05</v>
      </c>
      <c r="G353">
        <v>-0.03</v>
      </c>
    </row>
    <row r="354" spans="1:7" x14ac:dyDescent="0.2">
      <c r="A354" t="s">
        <v>33</v>
      </c>
      <c r="B354">
        <v>1.82763E-3</v>
      </c>
      <c r="C354" s="29">
        <v>44870</v>
      </c>
      <c r="D354" s="29">
        <v>44896</v>
      </c>
      <c r="E354">
        <v>0.02</v>
      </c>
      <c r="F354">
        <v>0.06</v>
      </c>
      <c r="G354">
        <v>-0.04</v>
      </c>
    </row>
    <row r="355" spans="1:7" x14ac:dyDescent="0.2">
      <c r="A355" t="s">
        <v>33</v>
      </c>
      <c r="B355">
        <v>1.94488E-3</v>
      </c>
      <c r="C355" s="29">
        <v>44875</v>
      </c>
      <c r="D355" s="29">
        <v>44896</v>
      </c>
      <c r="E355">
        <v>0.03</v>
      </c>
      <c r="F355">
        <v>0.03</v>
      </c>
      <c r="G355">
        <v>0</v>
      </c>
    </row>
    <row r="356" spans="1:7" x14ac:dyDescent="0.2">
      <c r="A356" t="s">
        <v>33</v>
      </c>
      <c r="B356">
        <v>1.87458E-3</v>
      </c>
      <c r="C356" s="29">
        <v>44876</v>
      </c>
      <c r="D356" s="29">
        <v>44896</v>
      </c>
      <c r="E356">
        <v>0.02</v>
      </c>
      <c r="F356">
        <v>0.03</v>
      </c>
      <c r="G356">
        <v>-0.01</v>
      </c>
    </row>
    <row r="357" spans="1:7" x14ac:dyDescent="0.2">
      <c r="A357" t="s">
        <v>33</v>
      </c>
      <c r="B357">
        <v>8.3726999999999998E-4</v>
      </c>
      <c r="C357" s="29">
        <v>44877</v>
      </c>
      <c r="D357" s="29">
        <v>44896</v>
      </c>
      <c r="E357">
        <v>0.01</v>
      </c>
      <c r="F357">
        <v>0.01</v>
      </c>
      <c r="G357">
        <v>0</v>
      </c>
    </row>
    <row r="358" spans="1:7" x14ac:dyDescent="0.2">
      <c r="A358" t="s">
        <v>51</v>
      </c>
      <c r="B358">
        <v>0.269179</v>
      </c>
      <c r="C358" s="29">
        <v>44597</v>
      </c>
      <c r="D358" s="29">
        <v>44635</v>
      </c>
      <c r="E358">
        <v>0.63</v>
      </c>
      <c r="F358">
        <v>0.99</v>
      </c>
      <c r="G358">
        <v>-0.36</v>
      </c>
    </row>
    <row r="359" spans="1:7" x14ac:dyDescent="0.2">
      <c r="A359" t="s">
        <v>51</v>
      </c>
      <c r="B359">
        <v>0.26954177000000001</v>
      </c>
      <c r="C359" s="29">
        <v>44597</v>
      </c>
      <c r="D359" s="29">
        <v>44635</v>
      </c>
      <c r="E359">
        <v>0.63</v>
      </c>
      <c r="F359">
        <v>1</v>
      </c>
      <c r="G359">
        <v>-0.37</v>
      </c>
    </row>
    <row r="360" spans="1:7" x14ac:dyDescent="0.2">
      <c r="A360" t="s">
        <v>51</v>
      </c>
      <c r="B360">
        <v>0.26990553</v>
      </c>
      <c r="C360" s="29">
        <v>44597</v>
      </c>
      <c r="D360" s="29">
        <v>44635</v>
      </c>
      <c r="E360">
        <v>0.63</v>
      </c>
      <c r="F360">
        <v>0.99</v>
      </c>
      <c r="G360">
        <v>-0.36</v>
      </c>
    </row>
    <row r="361" spans="1:7" x14ac:dyDescent="0.2">
      <c r="A361" t="s">
        <v>62</v>
      </c>
      <c r="B361">
        <v>242.62441733</v>
      </c>
      <c r="C361" s="29">
        <v>44570</v>
      </c>
      <c r="D361" s="29">
        <v>44570</v>
      </c>
      <c r="E361">
        <v>20.72</v>
      </c>
      <c r="F361">
        <v>23.77</v>
      </c>
      <c r="G361">
        <v>-3.05</v>
      </c>
    </row>
    <row r="362" spans="1:7" x14ac:dyDescent="0.2">
      <c r="A362" t="s">
        <v>58</v>
      </c>
      <c r="B362">
        <v>52.526181739999998</v>
      </c>
      <c r="C362" s="29">
        <v>44582</v>
      </c>
      <c r="D362" s="29">
        <v>44583</v>
      </c>
      <c r="E362">
        <v>23.52</v>
      </c>
      <c r="F362">
        <v>40.04</v>
      </c>
      <c r="G362">
        <v>-16.52</v>
      </c>
    </row>
    <row r="363" spans="1:7" x14ac:dyDescent="0.2">
      <c r="A363" t="s">
        <v>59</v>
      </c>
      <c r="B363">
        <v>0.19981545000000001</v>
      </c>
      <c r="C363" s="29">
        <v>44577</v>
      </c>
      <c r="D363" s="29">
        <v>44582</v>
      </c>
      <c r="E363">
        <v>20.100000000000001</v>
      </c>
      <c r="F363">
        <v>29.37</v>
      </c>
      <c r="G363">
        <v>-9.27</v>
      </c>
    </row>
    <row r="364" spans="1:7" x14ac:dyDescent="0.2">
      <c r="A364" t="s">
        <v>59</v>
      </c>
      <c r="B364">
        <v>0.19831138000000001</v>
      </c>
      <c r="C364" s="29">
        <v>44577</v>
      </c>
      <c r="D364" s="29">
        <v>44582</v>
      </c>
      <c r="E364">
        <v>19.940000000000001</v>
      </c>
      <c r="F364">
        <v>29.54</v>
      </c>
      <c r="G364">
        <v>-9.6</v>
      </c>
    </row>
    <row r="365" spans="1:7" x14ac:dyDescent="0.2">
      <c r="A365" t="s">
        <v>64</v>
      </c>
      <c r="B365">
        <v>279.60738657000002</v>
      </c>
      <c r="C365" s="29">
        <v>44556</v>
      </c>
      <c r="D365" s="29">
        <v>44566</v>
      </c>
      <c r="E365">
        <v>17.989999999999998</v>
      </c>
      <c r="F365">
        <v>17.64</v>
      </c>
      <c r="G365">
        <v>0.35</v>
      </c>
    </row>
    <row r="366" spans="1:7" x14ac:dyDescent="0.2">
      <c r="A366" t="s">
        <v>64</v>
      </c>
      <c r="B366">
        <v>186.24469737000001</v>
      </c>
      <c r="C366" s="29">
        <v>44556</v>
      </c>
      <c r="D366" s="29">
        <v>44566</v>
      </c>
      <c r="E366">
        <v>11.99</v>
      </c>
      <c r="F366">
        <v>11.74</v>
      </c>
      <c r="G366">
        <v>0.25</v>
      </c>
    </row>
    <row r="367" spans="1:7" x14ac:dyDescent="0.2">
      <c r="A367" t="s">
        <v>63</v>
      </c>
      <c r="B367">
        <v>289.4535285</v>
      </c>
      <c r="C367" s="29">
        <v>44553</v>
      </c>
      <c r="D367" s="29">
        <v>44570</v>
      </c>
      <c r="E367">
        <v>12.1</v>
      </c>
      <c r="F367">
        <v>15</v>
      </c>
      <c r="G367">
        <v>-2.9</v>
      </c>
    </row>
    <row r="368" spans="1:7" x14ac:dyDescent="0.2">
      <c r="A368" t="s">
        <v>63</v>
      </c>
      <c r="B368">
        <v>279.24018813999999</v>
      </c>
      <c r="C368" s="29">
        <v>44570</v>
      </c>
      <c r="D368" s="29">
        <v>44570</v>
      </c>
      <c r="E368">
        <v>11.67</v>
      </c>
      <c r="F368">
        <v>12.25</v>
      </c>
      <c r="G368">
        <v>-0.57999999999999996</v>
      </c>
    </row>
    <row r="369" spans="1:7" x14ac:dyDescent="0.2">
      <c r="A369" t="s">
        <v>52</v>
      </c>
      <c r="B369">
        <v>56.116802880000002</v>
      </c>
      <c r="C369" s="29">
        <v>44602</v>
      </c>
      <c r="D369" s="29">
        <v>44608</v>
      </c>
      <c r="E369">
        <v>18.88</v>
      </c>
      <c r="F369">
        <v>19.37</v>
      </c>
      <c r="G369">
        <v>-0.49</v>
      </c>
    </row>
    <row r="370" spans="1:7" x14ac:dyDescent="0.2">
      <c r="A370" t="s">
        <v>55</v>
      </c>
      <c r="B370">
        <v>1.6941973699999999</v>
      </c>
      <c r="C370" s="29">
        <v>44573</v>
      </c>
      <c r="D370" s="29">
        <v>44585</v>
      </c>
      <c r="E370">
        <v>0.69</v>
      </c>
      <c r="F370">
        <v>1</v>
      </c>
      <c r="G370">
        <v>-0.31</v>
      </c>
    </row>
    <row r="371" spans="1:7" x14ac:dyDescent="0.2">
      <c r="A371" t="s">
        <v>54</v>
      </c>
      <c r="B371">
        <v>3.853386</v>
      </c>
      <c r="C371" s="29">
        <v>44602</v>
      </c>
      <c r="D371" s="29">
        <v>44602</v>
      </c>
      <c r="E371">
        <v>12.14</v>
      </c>
      <c r="F371">
        <v>13.74</v>
      </c>
      <c r="G371">
        <v>-1.6</v>
      </c>
    </row>
    <row r="372" spans="1:7" x14ac:dyDescent="0.2">
      <c r="A372" t="s">
        <v>40</v>
      </c>
      <c r="B372">
        <v>8.2360000000000004E-5</v>
      </c>
      <c r="C372" s="29">
        <v>44530</v>
      </c>
      <c r="D372" s="29">
        <v>44535</v>
      </c>
      <c r="E372">
        <v>3.99</v>
      </c>
      <c r="F372">
        <v>4.87</v>
      </c>
      <c r="G372">
        <v>-0.88</v>
      </c>
    </row>
    <row r="373" spans="1:7" x14ac:dyDescent="0.2">
      <c r="A373" t="s">
        <v>40</v>
      </c>
      <c r="B373">
        <v>6.5290000000000007E-5</v>
      </c>
      <c r="C373" s="29">
        <v>44530</v>
      </c>
      <c r="D373" s="29">
        <v>44535</v>
      </c>
      <c r="E373">
        <v>3.16</v>
      </c>
      <c r="F373">
        <v>3.86</v>
      </c>
      <c r="G373">
        <v>-0.7</v>
      </c>
    </row>
    <row r="374" spans="1:7" x14ac:dyDescent="0.2">
      <c r="A374" t="s">
        <v>40</v>
      </c>
      <c r="B374">
        <v>4.6035E-4</v>
      </c>
      <c r="C374" s="29">
        <v>44534</v>
      </c>
      <c r="D374" s="29">
        <v>44535</v>
      </c>
      <c r="E374">
        <v>22.31</v>
      </c>
      <c r="F374">
        <v>23.55</v>
      </c>
      <c r="G374">
        <v>-1.24</v>
      </c>
    </row>
    <row r="375" spans="1:7" x14ac:dyDescent="0.2">
      <c r="A375" t="s">
        <v>40</v>
      </c>
      <c r="B375">
        <v>2.0599999999999999E-4</v>
      </c>
      <c r="C375" s="29">
        <v>44534</v>
      </c>
      <c r="D375" s="29">
        <v>44535</v>
      </c>
      <c r="E375">
        <v>9.7799999999999994</v>
      </c>
      <c r="F375">
        <v>10.54</v>
      </c>
      <c r="G375">
        <v>-0.76</v>
      </c>
    </row>
    <row r="376" spans="1:7" x14ac:dyDescent="0.2">
      <c r="A376" t="s">
        <v>40</v>
      </c>
      <c r="B376">
        <v>1.9799999999999999E-4</v>
      </c>
      <c r="C376" s="29">
        <v>44534</v>
      </c>
      <c r="D376" s="29">
        <v>44538</v>
      </c>
      <c r="E376">
        <v>9.7899999999999991</v>
      </c>
      <c r="F376">
        <v>10.130000000000001</v>
      </c>
      <c r="G376">
        <v>-0.34</v>
      </c>
    </row>
    <row r="377" spans="1:7" x14ac:dyDescent="0.2">
      <c r="A377" t="s">
        <v>40</v>
      </c>
      <c r="B377">
        <v>1.9819999999999999E-4</v>
      </c>
      <c r="C377" s="29">
        <v>44534</v>
      </c>
      <c r="D377" s="29">
        <v>44538</v>
      </c>
      <c r="E377">
        <v>10</v>
      </c>
      <c r="F377">
        <v>10.14</v>
      </c>
      <c r="G377">
        <v>-0.14000000000000001</v>
      </c>
    </row>
    <row r="378" spans="1:7" x14ac:dyDescent="0.2">
      <c r="A378" t="s">
        <v>40</v>
      </c>
      <c r="B378">
        <v>3.27E-6</v>
      </c>
      <c r="C378" s="29">
        <v>44534</v>
      </c>
      <c r="D378" s="29">
        <v>44538</v>
      </c>
      <c r="E378">
        <v>0.17</v>
      </c>
      <c r="F378">
        <v>0.17</v>
      </c>
      <c r="G378">
        <v>0</v>
      </c>
    </row>
    <row r="379" spans="1:7" x14ac:dyDescent="0.2">
      <c r="A379" t="s">
        <v>40</v>
      </c>
      <c r="B379">
        <v>3.9500000000000001E-4</v>
      </c>
      <c r="C379" s="29">
        <v>44534</v>
      </c>
      <c r="D379" s="29">
        <v>44539</v>
      </c>
      <c r="E379">
        <v>19.579999999999998</v>
      </c>
      <c r="F379">
        <v>20.21</v>
      </c>
      <c r="G379">
        <v>-0.63</v>
      </c>
    </row>
    <row r="380" spans="1:7" x14ac:dyDescent="0.2">
      <c r="A380" t="s">
        <v>40</v>
      </c>
      <c r="B380">
        <v>5.1699999999999996E-6</v>
      </c>
      <c r="C380" s="29">
        <v>44534</v>
      </c>
      <c r="D380" s="29">
        <v>44539</v>
      </c>
      <c r="E380">
        <v>0.25</v>
      </c>
      <c r="F380">
        <v>0.26</v>
      </c>
      <c r="G380">
        <v>-0.01</v>
      </c>
    </row>
    <row r="381" spans="1:7" x14ac:dyDescent="0.2">
      <c r="A381" t="s">
        <v>40</v>
      </c>
      <c r="B381">
        <v>5.7300000000000002E-6</v>
      </c>
      <c r="C381" s="29">
        <v>44534</v>
      </c>
      <c r="D381" s="29">
        <v>44539</v>
      </c>
      <c r="E381">
        <v>0.28000000000000003</v>
      </c>
      <c r="F381">
        <v>0.28999999999999998</v>
      </c>
      <c r="G381">
        <v>-0.01</v>
      </c>
    </row>
    <row r="382" spans="1:7" x14ac:dyDescent="0.2">
      <c r="A382" t="s">
        <v>40</v>
      </c>
      <c r="B382">
        <v>1.8709999999999999E-4</v>
      </c>
      <c r="C382" s="29">
        <v>44539</v>
      </c>
      <c r="D382" s="29">
        <v>44539</v>
      </c>
      <c r="E382">
        <v>9.17</v>
      </c>
      <c r="F382">
        <v>9.4499999999999993</v>
      </c>
      <c r="G382">
        <v>-0.28000000000000003</v>
      </c>
    </row>
    <row r="383" spans="1:7" x14ac:dyDescent="0.2">
      <c r="A383" t="s">
        <v>40</v>
      </c>
      <c r="B383">
        <v>2.2253E-4</v>
      </c>
      <c r="C383" s="29">
        <v>44534</v>
      </c>
      <c r="D383" s="29">
        <v>44553</v>
      </c>
      <c r="E383">
        <v>10.85</v>
      </c>
      <c r="F383">
        <v>10.96</v>
      </c>
      <c r="G383">
        <v>-0.11</v>
      </c>
    </row>
    <row r="384" spans="1:7" x14ac:dyDescent="0.2">
      <c r="A384" t="s">
        <v>40</v>
      </c>
      <c r="B384">
        <v>1.9903E-4</v>
      </c>
      <c r="C384" s="29">
        <v>44534</v>
      </c>
      <c r="D384" s="29">
        <v>44553</v>
      </c>
      <c r="E384">
        <v>9.7100000000000009</v>
      </c>
      <c r="F384">
        <v>9.9499999999999993</v>
      </c>
      <c r="G384">
        <v>-0.24</v>
      </c>
    </row>
    <row r="385" spans="1:7" x14ac:dyDescent="0.2">
      <c r="A385" t="s">
        <v>40</v>
      </c>
      <c r="B385">
        <v>7.9140000000000005E-5</v>
      </c>
      <c r="C385" s="29">
        <v>44534</v>
      </c>
      <c r="D385" s="29">
        <v>44553</v>
      </c>
      <c r="E385">
        <v>3.86</v>
      </c>
      <c r="F385">
        <v>3.97</v>
      </c>
      <c r="G385">
        <v>-0.11</v>
      </c>
    </row>
    <row r="386" spans="1:7" x14ac:dyDescent="0.2">
      <c r="A386" t="s">
        <v>40</v>
      </c>
      <c r="B386">
        <v>5.3749999999999999E-5</v>
      </c>
      <c r="C386" s="29">
        <v>44534</v>
      </c>
      <c r="D386" s="29">
        <v>44553</v>
      </c>
      <c r="E386">
        <v>2.62</v>
      </c>
      <c r="F386">
        <v>2.7</v>
      </c>
      <c r="G386">
        <v>-0.08</v>
      </c>
    </row>
    <row r="387" spans="1:7" x14ac:dyDescent="0.2">
      <c r="A387" t="s">
        <v>40</v>
      </c>
      <c r="B387">
        <v>5.9500000000000003E-5</v>
      </c>
      <c r="C387" s="29">
        <v>44534</v>
      </c>
      <c r="D387" s="29">
        <v>44553</v>
      </c>
      <c r="E387">
        <v>2.9</v>
      </c>
      <c r="F387">
        <v>2.99</v>
      </c>
      <c r="G387">
        <v>-0.09</v>
      </c>
    </row>
    <row r="388" spans="1:7" x14ac:dyDescent="0.2">
      <c r="A388" t="s">
        <v>40</v>
      </c>
      <c r="B388">
        <v>5.9004999999999995E-4</v>
      </c>
      <c r="C388" s="29">
        <v>44553</v>
      </c>
      <c r="D388" s="29">
        <v>44553</v>
      </c>
      <c r="E388">
        <v>28.77</v>
      </c>
      <c r="F388">
        <v>30</v>
      </c>
      <c r="G388">
        <v>-1.23</v>
      </c>
    </row>
    <row r="389" spans="1:7" x14ac:dyDescent="0.2">
      <c r="A389" t="s">
        <v>67</v>
      </c>
      <c r="B389">
        <v>345.35023947000002</v>
      </c>
      <c r="C389" s="29">
        <v>44538</v>
      </c>
      <c r="D389" s="29">
        <v>44540</v>
      </c>
      <c r="E389">
        <v>5.1100000000000003</v>
      </c>
      <c r="F389">
        <v>6.29</v>
      </c>
      <c r="G389">
        <v>-1.18</v>
      </c>
    </row>
    <row r="390" spans="1:7" x14ac:dyDescent="0.2">
      <c r="A390" t="s">
        <v>67</v>
      </c>
      <c r="B390">
        <v>1073.7916747199999</v>
      </c>
      <c r="C390" s="29">
        <v>44539</v>
      </c>
      <c r="D390" s="29">
        <v>44540</v>
      </c>
      <c r="E390">
        <v>15.9</v>
      </c>
      <c r="F390">
        <v>19.579999999999998</v>
      </c>
      <c r="G390">
        <v>-3.68</v>
      </c>
    </row>
    <row r="391" spans="1:7" x14ac:dyDescent="0.2">
      <c r="A391" t="s">
        <v>67</v>
      </c>
      <c r="B391">
        <v>191.78071926999999</v>
      </c>
      <c r="C391" s="29">
        <v>44538</v>
      </c>
      <c r="D391" s="29">
        <v>44540</v>
      </c>
      <c r="E391">
        <v>2.59</v>
      </c>
      <c r="F391">
        <v>3.5</v>
      </c>
      <c r="G391">
        <v>-0.91</v>
      </c>
    </row>
    <row r="392" spans="1:7" x14ac:dyDescent="0.2">
      <c r="A392" t="s">
        <v>67</v>
      </c>
      <c r="B392">
        <v>705.97175244000005</v>
      </c>
      <c r="C392" s="29">
        <v>44539</v>
      </c>
      <c r="D392" s="29">
        <v>44540</v>
      </c>
      <c r="E392">
        <v>9.5299999999999994</v>
      </c>
      <c r="F392">
        <v>12.82</v>
      </c>
      <c r="G392">
        <v>-3.29</v>
      </c>
    </row>
    <row r="393" spans="1:7" x14ac:dyDescent="0.2">
      <c r="A393" t="s">
        <v>67</v>
      </c>
      <c r="B393">
        <v>536.74854684000002</v>
      </c>
      <c r="C393" s="29">
        <v>44539</v>
      </c>
      <c r="D393" s="29">
        <v>44540</v>
      </c>
      <c r="E393">
        <v>7.24</v>
      </c>
      <c r="F393">
        <v>9.4700000000000006</v>
      </c>
      <c r="G393">
        <v>-2.23</v>
      </c>
    </row>
    <row r="394" spans="1:7" x14ac:dyDescent="0.2">
      <c r="A394" t="s">
        <v>34</v>
      </c>
      <c r="B394">
        <v>21.051154</v>
      </c>
      <c r="C394" s="29">
        <v>44541</v>
      </c>
      <c r="D394" s="29">
        <v>44553</v>
      </c>
      <c r="E394">
        <v>30</v>
      </c>
      <c r="F394">
        <v>27.71</v>
      </c>
      <c r="G394">
        <v>2.29</v>
      </c>
    </row>
    <row r="395" spans="1:7" x14ac:dyDescent="0.2">
      <c r="A395" t="s">
        <v>34</v>
      </c>
      <c r="B395">
        <v>13.678955</v>
      </c>
      <c r="C395" s="29">
        <v>44553</v>
      </c>
      <c r="D395" s="29">
        <v>44553</v>
      </c>
      <c r="E395">
        <v>19.989999999999998</v>
      </c>
      <c r="F395">
        <v>19.489999999999998</v>
      </c>
      <c r="G395">
        <v>0.5</v>
      </c>
    </row>
    <row r="396" spans="1:7" x14ac:dyDescent="0.2">
      <c r="A396" t="s">
        <v>34</v>
      </c>
      <c r="B396">
        <v>10.284186</v>
      </c>
      <c r="C396" s="29">
        <v>44553</v>
      </c>
      <c r="D396" s="29">
        <v>44553</v>
      </c>
      <c r="E396">
        <v>15</v>
      </c>
      <c r="F396">
        <v>14.65</v>
      </c>
      <c r="G396">
        <v>0.35</v>
      </c>
    </row>
    <row r="397" spans="1:7" x14ac:dyDescent="0.2">
      <c r="A397" t="s">
        <v>34</v>
      </c>
      <c r="B397">
        <v>8.4757730000000002</v>
      </c>
      <c r="C397" s="29">
        <v>44553</v>
      </c>
      <c r="D397" s="29">
        <v>44556</v>
      </c>
      <c r="E397">
        <v>11.74</v>
      </c>
      <c r="F397">
        <v>12.08</v>
      </c>
      <c r="G397">
        <v>-0.34</v>
      </c>
    </row>
    <row r="398" spans="1:7" x14ac:dyDescent="0.2">
      <c r="A398" t="s">
        <v>39</v>
      </c>
      <c r="B398">
        <v>2.19871E-3</v>
      </c>
      <c r="C398" s="29">
        <v>44534</v>
      </c>
      <c r="D398" s="29">
        <v>44541</v>
      </c>
      <c r="E398">
        <v>8.7799999999999994</v>
      </c>
      <c r="F398">
        <v>10</v>
      </c>
      <c r="G398">
        <v>-1.22</v>
      </c>
    </row>
    <row r="399" spans="1:7" x14ac:dyDescent="0.2">
      <c r="A399" t="s">
        <v>39</v>
      </c>
      <c r="B399">
        <v>4.3178399999999999E-3</v>
      </c>
      <c r="C399" s="29">
        <v>44535</v>
      </c>
      <c r="D399" s="29">
        <v>44541</v>
      </c>
      <c r="E399">
        <v>17.25</v>
      </c>
      <c r="F399">
        <v>17.96</v>
      </c>
      <c r="G399">
        <v>-0.71</v>
      </c>
    </row>
    <row r="400" spans="1:7" x14ac:dyDescent="0.2">
      <c r="A400" t="s">
        <v>39</v>
      </c>
      <c r="B400">
        <v>3.2554799999999998E-3</v>
      </c>
      <c r="C400" s="29">
        <v>44539</v>
      </c>
      <c r="D400" s="29">
        <v>44541</v>
      </c>
      <c r="E400">
        <v>13.01</v>
      </c>
      <c r="F400">
        <v>15</v>
      </c>
      <c r="G400">
        <v>-1.99</v>
      </c>
    </row>
    <row r="401" spans="1:7" x14ac:dyDescent="0.2">
      <c r="A401" t="s">
        <v>39</v>
      </c>
      <c r="B401">
        <v>2.7631600000000002E-3</v>
      </c>
      <c r="C401" s="29">
        <v>44535</v>
      </c>
      <c r="D401" s="29">
        <v>44553</v>
      </c>
      <c r="E401">
        <v>11.15</v>
      </c>
      <c r="F401">
        <v>11.5</v>
      </c>
      <c r="G401">
        <v>-0.35</v>
      </c>
    </row>
    <row r="402" spans="1:7" x14ac:dyDescent="0.2">
      <c r="A402" t="s">
        <v>39</v>
      </c>
      <c r="B402">
        <v>2.1023299999999999E-3</v>
      </c>
      <c r="C402" s="29">
        <v>44540</v>
      </c>
      <c r="D402" s="29">
        <v>44553</v>
      </c>
      <c r="E402">
        <v>8.48</v>
      </c>
      <c r="F402">
        <v>8.5500000000000007</v>
      </c>
      <c r="G402">
        <v>-7.0000000000000007E-2</v>
      </c>
    </row>
    <row r="403" spans="1:7" x14ac:dyDescent="0.2">
      <c r="A403" t="s">
        <v>39</v>
      </c>
      <c r="B403">
        <v>4.47964E-3</v>
      </c>
      <c r="C403" s="29">
        <v>44540</v>
      </c>
      <c r="D403" s="29">
        <v>44556</v>
      </c>
      <c r="E403">
        <v>17.64</v>
      </c>
      <c r="F403">
        <v>18.23</v>
      </c>
      <c r="G403">
        <v>-0.59</v>
      </c>
    </row>
    <row r="404" spans="1:7" x14ac:dyDescent="0.2">
      <c r="A404" t="s">
        <v>39</v>
      </c>
      <c r="B404">
        <v>4.1052199999999997E-3</v>
      </c>
      <c r="C404" s="29">
        <v>44540</v>
      </c>
      <c r="D404" s="29">
        <v>44560</v>
      </c>
      <c r="E404">
        <v>14.68</v>
      </c>
      <c r="F404">
        <v>16.7</v>
      </c>
      <c r="G404">
        <v>-2.02</v>
      </c>
    </row>
    <row r="405" spans="1:7" x14ac:dyDescent="0.2">
      <c r="A405" t="s">
        <v>65</v>
      </c>
      <c r="B405">
        <v>66.262746960000001</v>
      </c>
      <c r="C405" s="29">
        <v>44556</v>
      </c>
      <c r="D405" s="29">
        <v>44558</v>
      </c>
      <c r="E405">
        <v>7.62</v>
      </c>
      <c r="F405">
        <v>9.9</v>
      </c>
      <c r="G405">
        <v>-2.2799999999999998</v>
      </c>
    </row>
    <row r="406" spans="1:7" x14ac:dyDescent="0.2">
      <c r="A406" t="s">
        <v>65</v>
      </c>
      <c r="B406">
        <v>66.007402159999998</v>
      </c>
      <c r="C406" s="29">
        <v>44556</v>
      </c>
      <c r="D406" s="29">
        <v>44558</v>
      </c>
      <c r="E406">
        <v>7.59</v>
      </c>
      <c r="F406">
        <v>9.77</v>
      </c>
      <c r="G406">
        <v>-2.1800000000000002</v>
      </c>
    </row>
    <row r="407" spans="1:7" x14ac:dyDescent="0.2">
      <c r="A407" t="s">
        <v>66</v>
      </c>
      <c r="B407">
        <v>19.849543650000001</v>
      </c>
      <c r="C407" s="29">
        <v>44540</v>
      </c>
      <c r="D407" s="29">
        <v>44540</v>
      </c>
      <c r="E407">
        <v>3.64</v>
      </c>
      <c r="F407">
        <v>3.03</v>
      </c>
      <c r="G407">
        <v>0.61</v>
      </c>
    </row>
    <row r="408" spans="1:7" x14ac:dyDescent="0.2">
      <c r="A408" t="s">
        <v>66</v>
      </c>
      <c r="B408">
        <v>139.17749337999999</v>
      </c>
      <c r="C408" s="29">
        <v>44540</v>
      </c>
      <c r="D408" s="29">
        <v>44540</v>
      </c>
      <c r="E408">
        <v>25.54</v>
      </c>
      <c r="F408">
        <v>21.01</v>
      </c>
      <c r="G408">
        <v>4.53</v>
      </c>
    </row>
    <row r="409" spans="1:7" x14ac:dyDescent="0.2">
      <c r="A409" t="s">
        <v>66</v>
      </c>
      <c r="B409">
        <v>97.598800580000002</v>
      </c>
      <c r="C409" s="29">
        <v>44540</v>
      </c>
      <c r="D409" s="29">
        <v>44540</v>
      </c>
      <c r="E409">
        <v>17.91</v>
      </c>
      <c r="F409">
        <v>19.36</v>
      </c>
      <c r="G409">
        <v>-1.45</v>
      </c>
    </row>
    <row r="410" spans="1:7" x14ac:dyDescent="0.2">
      <c r="A410" t="s">
        <v>69</v>
      </c>
      <c r="B410">
        <v>5.6008289199999997</v>
      </c>
      <c r="C410" s="29">
        <v>44539</v>
      </c>
      <c r="D410" s="29">
        <v>44539</v>
      </c>
      <c r="E410">
        <v>1</v>
      </c>
      <c r="F410">
        <v>0.99</v>
      </c>
      <c r="G410">
        <v>0.01</v>
      </c>
    </row>
    <row r="411" spans="1:7" x14ac:dyDescent="0.2">
      <c r="A411" t="s">
        <v>69</v>
      </c>
      <c r="B411">
        <v>5.6002016000000001</v>
      </c>
      <c r="C411" s="29">
        <v>44539</v>
      </c>
      <c r="D411" s="29">
        <v>44539</v>
      </c>
      <c r="E411">
        <v>1</v>
      </c>
      <c r="F411">
        <v>0.99</v>
      </c>
      <c r="G411">
        <v>0.01</v>
      </c>
    </row>
    <row r="412" spans="1:7" x14ac:dyDescent="0.2">
      <c r="A412" t="s">
        <v>69</v>
      </c>
      <c r="B412">
        <v>5.60051524</v>
      </c>
      <c r="C412" s="29">
        <v>44539</v>
      </c>
      <c r="D412" s="29">
        <v>44539</v>
      </c>
      <c r="E412">
        <v>1</v>
      </c>
      <c r="F412">
        <v>1</v>
      </c>
      <c r="G412">
        <v>0</v>
      </c>
    </row>
    <row r="413" spans="1:7" x14ac:dyDescent="0.2">
      <c r="A413" t="s">
        <v>48</v>
      </c>
      <c r="B413">
        <v>6.1327100000000004E-3</v>
      </c>
      <c r="C413" s="29">
        <v>44540</v>
      </c>
      <c r="D413" s="29">
        <v>44540</v>
      </c>
      <c r="E413">
        <v>1.01</v>
      </c>
      <c r="F413">
        <v>0.99</v>
      </c>
      <c r="G413">
        <v>0.02</v>
      </c>
    </row>
    <row r="414" spans="1:7" x14ac:dyDescent="0.2">
      <c r="A414" t="s">
        <v>48</v>
      </c>
      <c r="B414">
        <v>6.1327100000000004E-3</v>
      </c>
      <c r="C414" s="29">
        <v>44540</v>
      </c>
      <c r="D414" s="29">
        <v>44540</v>
      </c>
      <c r="E414">
        <v>1.01</v>
      </c>
      <c r="F414">
        <v>1</v>
      </c>
      <c r="G414">
        <v>0.01</v>
      </c>
    </row>
    <row r="415" spans="1:7" x14ac:dyDescent="0.2">
      <c r="A415" t="s">
        <v>48</v>
      </c>
      <c r="B415">
        <v>6.1327100000000004E-3</v>
      </c>
      <c r="C415" s="29">
        <v>44540</v>
      </c>
      <c r="D415" s="29">
        <v>44540</v>
      </c>
      <c r="E415">
        <v>1.01</v>
      </c>
      <c r="F415">
        <v>0.99</v>
      </c>
      <c r="G415">
        <v>0.02</v>
      </c>
    </row>
    <row r="416" spans="1:7" x14ac:dyDescent="0.2">
      <c r="A416" t="s">
        <v>70</v>
      </c>
      <c r="B416">
        <v>1.4834594299999999</v>
      </c>
      <c r="C416" s="29">
        <v>44534</v>
      </c>
      <c r="D416" s="29">
        <v>44534</v>
      </c>
      <c r="E416">
        <v>1</v>
      </c>
      <c r="F416">
        <v>1</v>
      </c>
      <c r="G416">
        <v>0</v>
      </c>
    </row>
    <row r="417" spans="1:7" x14ac:dyDescent="0.2">
      <c r="A417" t="s">
        <v>70</v>
      </c>
      <c r="B417">
        <v>1.4834594299999999</v>
      </c>
      <c r="C417" s="29">
        <v>44534</v>
      </c>
      <c r="D417" s="29">
        <v>44534</v>
      </c>
      <c r="E417">
        <v>1</v>
      </c>
      <c r="F417">
        <v>1</v>
      </c>
      <c r="G417">
        <v>0</v>
      </c>
    </row>
    <row r="418" spans="1:7" x14ac:dyDescent="0.2">
      <c r="A418" t="s">
        <v>70</v>
      </c>
      <c r="B418">
        <v>1.4838996900000001</v>
      </c>
      <c r="C418" s="29">
        <v>44534</v>
      </c>
      <c r="D418" s="29">
        <v>44534</v>
      </c>
      <c r="E418">
        <v>1</v>
      </c>
      <c r="F418">
        <v>1</v>
      </c>
      <c r="G418">
        <v>0</v>
      </c>
    </row>
    <row r="419" spans="1:7" x14ac:dyDescent="0.2">
      <c r="A419" t="s">
        <v>71</v>
      </c>
      <c r="B419">
        <v>6.4038935600000002</v>
      </c>
      <c r="C419" s="29">
        <v>44530</v>
      </c>
      <c r="D419" s="29">
        <v>44530</v>
      </c>
      <c r="E419">
        <v>0.96</v>
      </c>
      <c r="F419">
        <v>1</v>
      </c>
      <c r="G419">
        <v>-0.04</v>
      </c>
    </row>
    <row r="420" spans="1:7" x14ac:dyDescent="0.2">
      <c r="A420" t="s">
        <v>71</v>
      </c>
      <c r="B420">
        <v>6.4040986200000001</v>
      </c>
      <c r="C420" s="29">
        <v>44530</v>
      </c>
      <c r="D420" s="29">
        <v>44530</v>
      </c>
      <c r="E420">
        <v>0.97</v>
      </c>
      <c r="F420">
        <v>1</v>
      </c>
      <c r="G420">
        <v>-0.03</v>
      </c>
    </row>
    <row r="421" spans="1:7" x14ac:dyDescent="0.2">
      <c r="A421" t="s">
        <v>71</v>
      </c>
      <c r="B421">
        <v>6.4040986200000001</v>
      </c>
      <c r="C421" s="29">
        <v>44530</v>
      </c>
      <c r="D421" s="29">
        <v>44530</v>
      </c>
      <c r="E421">
        <v>0.97</v>
      </c>
      <c r="F421">
        <v>1</v>
      </c>
      <c r="G421">
        <v>-0.03</v>
      </c>
    </row>
    <row r="422" spans="1:7" x14ac:dyDescent="0.2">
      <c r="A422" t="s">
        <v>71</v>
      </c>
      <c r="B422">
        <v>6.4036885200000002</v>
      </c>
      <c r="C422" s="29">
        <v>44530</v>
      </c>
      <c r="D422" s="29">
        <v>44530</v>
      </c>
      <c r="E422">
        <v>0.96</v>
      </c>
      <c r="F422">
        <v>1</v>
      </c>
      <c r="G422">
        <v>-0.04</v>
      </c>
    </row>
    <row r="423" spans="1:7" x14ac:dyDescent="0.2">
      <c r="A423" t="s">
        <v>68</v>
      </c>
      <c r="B423">
        <v>27.310846389999998</v>
      </c>
      <c r="C423" s="29">
        <v>44539</v>
      </c>
      <c r="D423" s="29">
        <v>44539</v>
      </c>
      <c r="E423">
        <v>9.4700000000000006</v>
      </c>
      <c r="F423">
        <v>9.6999999999999993</v>
      </c>
      <c r="G423">
        <v>-0.23</v>
      </c>
    </row>
    <row r="424" spans="1:7" x14ac:dyDescent="0.2">
      <c r="A424" t="s">
        <v>33</v>
      </c>
      <c r="B424">
        <v>5.2260519999999998E-2</v>
      </c>
      <c r="C424" s="29">
        <v>44535</v>
      </c>
      <c r="D424" s="29">
        <v>44539</v>
      </c>
      <c r="E424">
        <v>9.9600000000000009</v>
      </c>
      <c r="F424">
        <v>9.7799999999999994</v>
      </c>
      <c r="G424">
        <v>0.18</v>
      </c>
    </row>
    <row r="425" spans="1:7" x14ac:dyDescent="0.2">
      <c r="A425" t="s">
        <v>33</v>
      </c>
      <c r="B425">
        <v>1.499268E-2</v>
      </c>
      <c r="C425" s="29">
        <v>44539</v>
      </c>
      <c r="D425" s="29">
        <v>44539</v>
      </c>
      <c r="E425">
        <v>2.86</v>
      </c>
      <c r="F425">
        <v>3</v>
      </c>
      <c r="G425">
        <v>-0.14000000000000001</v>
      </c>
    </row>
    <row r="426" spans="1:7" x14ac:dyDescent="0.2">
      <c r="A426" t="s">
        <v>33</v>
      </c>
      <c r="B426">
        <v>5.2185259999999997E-2</v>
      </c>
      <c r="C426" s="29">
        <v>44553</v>
      </c>
      <c r="D426" s="29">
        <v>44556</v>
      </c>
      <c r="E426">
        <v>9.9</v>
      </c>
      <c r="F426">
        <v>9.91</v>
      </c>
      <c r="G426">
        <v>-0.01</v>
      </c>
    </row>
    <row r="427" spans="1:7" x14ac:dyDescent="0.2">
      <c r="A427" t="s">
        <v>33</v>
      </c>
      <c r="B427">
        <v>5.116967E-2</v>
      </c>
      <c r="C427" s="29">
        <v>44553</v>
      </c>
      <c r="D427" s="29">
        <v>44558</v>
      </c>
      <c r="E427">
        <v>9.2899999999999991</v>
      </c>
      <c r="F427">
        <v>9.7200000000000006</v>
      </c>
      <c r="G427">
        <v>-0.43</v>
      </c>
    </row>
    <row r="428" spans="1:7" x14ac:dyDescent="0.2">
      <c r="A428" t="s">
        <v>44</v>
      </c>
      <c r="B428">
        <v>6.8333550000000001</v>
      </c>
      <c r="C428" s="29">
        <v>44534</v>
      </c>
      <c r="D428" s="29">
        <v>44534</v>
      </c>
      <c r="E428">
        <v>1.99</v>
      </c>
      <c r="F428">
        <v>2</v>
      </c>
      <c r="G428">
        <v>-0.01</v>
      </c>
    </row>
    <row r="429" spans="1:7" x14ac:dyDescent="0.2">
      <c r="A429" t="s">
        <v>44</v>
      </c>
      <c r="B429">
        <v>6.8249601999999996</v>
      </c>
      <c r="C429" s="29">
        <v>44534</v>
      </c>
      <c r="D429" s="29">
        <v>44534</v>
      </c>
      <c r="E429">
        <v>1.99</v>
      </c>
      <c r="F429">
        <v>2</v>
      </c>
      <c r="G429">
        <v>-0.01</v>
      </c>
    </row>
    <row r="430" spans="1:7" x14ac:dyDescent="0.2">
      <c r="A430" t="s">
        <v>44</v>
      </c>
      <c r="B430">
        <v>6.8175156000000001</v>
      </c>
      <c r="C430" s="29">
        <v>44534</v>
      </c>
      <c r="D430" s="29">
        <v>44534</v>
      </c>
      <c r="E430">
        <v>1.99</v>
      </c>
      <c r="F430">
        <v>2</v>
      </c>
      <c r="G430">
        <v>-0.01</v>
      </c>
    </row>
    <row r="431" spans="1:7" x14ac:dyDescent="0.2">
      <c r="A431" t="s">
        <v>44</v>
      </c>
      <c r="B431">
        <v>6.8223992999999998</v>
      </c>
      <c r="C431" s="29">
        <v>44534</v>
      </c>
      <c r="D431" s="29">
        <v>44534</v>
      </c>
      <c r="E431">
        <v>1.99</v>
      </c>
      <c r="F431">
        <v>2</v>
      </c>
      <c r="G431">
        <v>-0.01</v>
      </c>
    </row>
    <row r="432" spans="1:7" x14ac:dyDescent="0.2">
      <c r="A432" t="s">
        <v>44</v>
      </c>
      <c r="B432">
        <v>6.8210031999999998</v>
      </c>
      <c r="C432" s="29">
        <v>44534</v>
      </c>
      <c r="D432" s="29">
        <v>44534</v>
      </c>
      <c r="E432">
        <v>1.99</v>
      </c>
      <c r="F432">
        <v>2</v>
      </c>
      <c r="G432">
        <v>-0.01</v>
      </c>
    </row>
    <row r="433" spans="1:7" x14ac:dyDescent="0.2">
      <c r="A433" t="s">
        <v>44</v>
      </c>
      <c r="B433">
        <v>34.710953199999999</v>
      </c>
      <c r="C433" s="29">
        <v>44553</v>
      </c>
      <c r="D433" s="29">
        <v>44556</v>
      </c>
      <c r="E433">
        <v>9.77</v>
      </c>
      <c r="F433">
        <v>10.19</v>
      </c>
      <c r="G433">
        <v>-0.42</v>
      </c>
    </row>
    <row r="434" spans="1:7" x14ac:dyDescent="0.2">
      <c r="A434" t="s">
        <v>44</v>
      </c>
      <c r="B434">
        <v>33.403924099999998</v>
      </c>
      <c r="C434" s="29">
        <v>44553</v>
      </c>
      <c r="D434" s="29">
        <v>44558</v>
      </c>
      <c r="E434">
        <v>9.57</v>
      </c>
      <c r="F434">
        <v>9.8000000000000007</v>
      </c>
      <c r="G434">
        <v>-0.23</v>
      </c>
    </row>
    <row r="435" spans="1:7" x14ac:dyDescent="0.2">
      <c r="A435" t="s">
        <v>63</v>
      </c>
      <c r="B435">
        <v>18.871485190000001</v>
      </c>
      <c r="C435" s="29">
        <v>44534</v>
      </c>
      <c r="D435" s="29">
        <v>44534</v>
      </c>
      <c r="E435">
        <v>1</v>
      </c>
      <c r="F435">
        <v>1</v>
      </c>
      <c r="G435">
        <v>0</v>
      </c>
    </row>
    <row r="436" spans="1:7" x14ac:dyDescent="0.2">
      <c r="A436" t="s">
        <v>63</v>
      </c>
      <c r="B436">
        <v>18.871485190000001</v>
      </c>
      <c r="C436" s="29">
        <v>44534</v>
      </c>
      <c r="D436" s="29">
        <v>44534</v>
      </c>
      <c r="E436">
        <v>1</v>
      </c>
      <c r="F436">
        <v>1</v>
      </c>
      <c r="G436">
        <v>0</v>
      </c>
    </row>
    <row r="437" spans="1:7" x14ac:dyDescent="0.2">
      <c r="A437" t="s">
        <v>63</v>
      </c>
      <c r="B437">
        <v>18.910741300000002</v>
      </c>
      <c r="C437" s="29">
        <v>44534</v>
      </c>
      <c r="D437" s="29">
        <v>44534</v>
      </c>
      <c r="E437">
        <v>1</v>
      </c>
      <c r="F437">
        <v>1</v>
      </c>
      <c r="G437">
        <v>0</v>
      </c>
    </row>
    <row r="438" spans="1:7" x14ac:dyDescent="0.2">
      <c r="A438" t="s">
        <v>55</v>
      </c>
      <c r="B438">
        <v>1.35851107</v>
      </c>
      <c r="C438" s="29">
        <v>44534</v>
      </c>
      <c r="D438" s="29">
        <v>44534</v>
      </c>
      <c r="E438">
        <v>0.99</v>
      </c>
      <c r="F438">
        <v>1</v>
      </c>
      <c r="G438">
        <v>-0.01</v>
      </c>
    </row>
    <row r="439" spans="1:7" x14ac:dyDescent="0.2">
      <c r="A439" t="s">
        <v>55</v>
      </c>
      <c r="B439">
        <v>1.35630001</v>
      </c>
      <c r="C439" s="29">
        <v>44534</v>
      </c>
      <c r="D439" s="29">
        <v>44534</v>
      </c>
      <c r="E439">
        <v>0.99</v>
      </c>
      <c r="F439">
        <v>1</v>
      </c>
      <c r="G439">
        <v>-0.01</v>
      </c>
    </row>
    <row r="440" spans="1:7" x14ac:dyDescent="0.2">
      <c r="A440" t="s">
        <v>55</v>
      </c>
      <c r="B440">
        <v>1.35869565</v>
      </c>
      <c r="C440" s="29">
        <v>44534</v>
      </c>
      <c r="D440" s="29">
        <v>44534</v>
      </c>
      <c r="E440">
        <v>0.99</v>
      </c>
      <c r="F440">
        <v>1</v>
      </c>
      <c r="G440">
        <v>-0.01</v>
      </c>
    </row>
    <row r="441" spans="1:7" x14ac:dyDescent="0.2">
      <c r="A441" t="s">
        <v>55</v>
      </c>
      <c r="B441">
        <v>1.35869565</v>
      </c>
      <c r="C441" s="29">
        <v>44534</v>
      </c>
      <c r="D441" s="29">
        <v>44534</v>
      </c>
      <c r="E441">
        <v>0.99</v>
      </c>
      <c r="F441">
        <v>1</v>
      </c>
      <c r="G441">
        <v>-0.01</v>
      </c>
    </row>
    <row r="442" spans="1:7" x14ac:dyDescent="0.2">
      <c r="A442" t="s">
        <v>72</v>
      </c>
      <c r="B442">
        <v>0.87336243999999996</v>
      </c>
      <c r="C442" s="29">
        <v>44530</v>
      </c>
      <c r="D442" s="29">
        <v>44530</v>
      </c>
      <c r="E442">
        <v>0.97</v>
      </c>
      <c r="F442">
        <v>1</v>
      </c>
      <c r="G442">
        <v>-0.03</v>
      </c>
    </row>
    <row r="443" spans="1:7" x14ac:dyDescent="0.2">
      <c r="A443" t="s">
        <v>72</v>
      </c>
      <c r="B443">
        <v>0.87336243999999996</v>
      </c>
      <c r="C443" s="29">
        <v>44530</v>
      </c>
      <c r="D443" s="29">
        <v>44530</v>
      </c>
      <c r="E443">
        <v>0.97</v>
      </c>
      <c r="F443">
        <v>1</v>
      </c>
      <c r="G443">
        <v>-0.03</v>
      </c>
    </row>
    <row r="444" spans="1:7" x14ac:dyDescent="0.2">
      <c r="A444" t="s">
        <v>72</v>
      </c>
      <c r="B444">
        <v>0.87336243999999996</v>
      </c>
      <c r="C444" s="29">
        <v>44530</v>
      </c>
      <c r="D444" s="29">
        <v>44530</v>
      </c>
      <c r="E444">
        <v>0.97</v>
      </c>
      <c r="F444">
        <v>1</v>
      </c>
      <c r="G444">
        <v>-0.03</v>
      </c>
    </row>
    <row r="445" spans="1:7" x14ac:dyDescent="0.2">
      <c r="A445" t="s">
        <v>72</v>
      </c>
      <c r="B445">
        <v>0.87336243999999996</v>
      </c>
      <c r="C445" s="29">
        <v>44530</v>
      </c>
      <c r="D445" s="29">
        <v>44530</v>
      </c>
      <c r="E445">
        <v>0.97</v>
      </c>
      <c r="F445">
        <v>1</v>
      </c>
      <c r="G445">
        <v>-0.03</v>
      </c>
    </row>
    <row r="446" spans="1:7" x14ac:dyDescent="0.2">
      <c r="A446" t="s">
        <v>72</v>
      </c>
      <c r="B446">
        <v>0.87336243999999996</v>
      </c>
      <c r="C446" s="29">
        <v>44530</v>
      </c>
      <c r="D446" s="29">
        <v>44530</v>
      </c>
      <c r="E446">
        <v>0.97</v>
      </c>
      <c r="F446">
        <v>1</v>
      </c>
      <c r="G446">
        <v>-0.03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T4" sqref="T4:U4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86</v>
      </c>
      <c r="B1" t="s">
        <v>87</v>
      </c>
    </row>
    <row r="2" spans="1:2" x14ac:dyDescent="0.2">
      <c r="A2" t="s">
        <v>85</v>
      </c>
      <c r="B2" t="s">
        <v>88</v>
      </c>
    </row>
    <row r="3" spans="1:2" x14ac:dyDescent="0.2">
      <c r="A3" t="s">
        <v>40</v>
      </c>
      <c r="B3">
        <v>64756.061903939997</v>
      </c>
    </row>
    <row r="4" spans="1:2" x14ac:dyDescent="0.2">
      <c r="A4" t="s">
        <v>39</v>
      </c>
      <c r="B4">
        <v>3511.4809556599998</v>
      </c>
    </row>
    <row r="5" spans="1:2" x14ac:dyDescent="0.2">
      <c r="A5" t="s">
        <v>33</v>
      </c>
      <c r="B5">
        <v>133.20307276</v>
      </c>
    </row>
    <row r="6" spans="1:2" x14ac:dyDescent="0.2">
      <c r="A6" t="s">
        <v>36</v>
      </c>
      <c r="B6">
        <v>0.99950212000000005</v>
      </c>
    </row>
    <row r="7" spans="1:2" x14ac:dyDescent="0.2">
      <c r="A7" t="s">
        <v>14</v>
      </c>
      <c r="B7">
        <v>0.49045993999999998</v>
      </c>
    </row>
    <row r="8" spans="1:2" x14ac:dyDescent="0.2">
      <c r="A8" t="s">
        <v>37</v>
      </c>
      <c r="B8">
        <v>0.12315153</v>
      </c>
    </row>
    <row r="9" spans="1:2" x14ac:dyDescent="0.2">
      <c r="A9" t="s">
        <v>34</v>
      </c>
      <c r="B9">
        <v>0.38178376000000003</v>
      </c>
    </row>
    <row r="10" spans="1:2" x14ac:dyDescent="0.2">
      <c r="A10" t="s">
        <v>49</v>
      </c>
      <c r="B10">
        <v>27.477787159999998</v>
      </c>
    </row>
    <row r="11" spans="1:2" x14ac:dyDescent="0.2">
      <c r="A11" t="s">
        <v>41</v>
      </c>
      <c r="B11">
        <v>14.276041230000001</v>
      </c>
    </row>
    <row r="12" spans="1:2" x14ac:dyDescent="0.2">
      <c r="A12" t="s">
        <v>50</v>
      </c>
      <c r="B12">
        <v>0.57479535000000004</v>
      </c>
    </row>
    <row r="13" spans="1:2" x14ac:dyDescent="0.2">
      <c r="A13" t="s">
        <v>70</v>
      </c>
      <c r="B13">
        <v>1.5799763099999999</v>
      </c>
    </row>
    <row r="14" spans="1:2" x14ac:dyDescent="0.2">
      <c r="A14" t="s">
        <v>51</v>
      </c>
      <c r="B14">
        <v>7.66581373</v>
      </c>
    </row>
    <row r="15" spans="1:2" x14ac:dyDescent="0.2">
      <c r="A15" t="s">
        <v>15</v>
      </c>
      <c r="B15">
        <v>8.1482529999999997E-2</v>
      </c>
    </row>
    <row r="16" spans="1:2" x14ac:dyDescent="0.2">
      <c r="A16" t="s">
        <v>44</v>
      </c>
      <c r="B16">
        <v>9.3683900000000001E-2</v>
      </c>
    </row>
    <row r="17" spans="1:2" x14ac:dyDescent="0.2">
      <c r="A17" t="s">
        <v>32</v>
      </c>
      <c r="B17">
        <v>6.8682803300000002</v>
      </c>
    </row>
    <row r="18" spans="1:2" x14ac:dyDescent="0.2">
      <c r="A18" t="s">
        <v>45</v>
      </c>
      <c r="B18">
        <v>0.81154302</v>
      </c>
    </row>
    <row r="19" spans="1:2" x14ac:dyDescent="0.2">
      <c r="A19" t="s">
        <v>47</v>
      </c>
      <c r="B19">
        <v>4.3942195899999996</v>
      </c>
    </row>
    <row r="20" spans="1:2" x14ac:dyDescent="0.2">
      <c r="A20" t="s">
        <v>55</v>
      </c>
      <c r="B20">
        <v>0.22397475999999999</v>
      </c>
    </row>
    <row r="21" spans="1:2" x14ac:dyDescent="0.2">
      <c r="A21" t="s">
        <v>46</v>
      </c>
      <c r="B21">
        <v>1.8633397</v>
      </c>
    </row>
    <row r="22" spans="1:2" x14ac:dyDescent="0.2">
      <c r="A22" t="s">
        <v>43</v>
      </c>
      <c r="B22">
        <v>0.13958271999999999</v>
      </c>
    </row>
    <row r="23" spans="1:2" x14ac:dyDescent="0.2">
      <c r="A23" t="s">
        <v>48</v>
      </c>
      <c r="B23">
        <v>77.943886169999999</v>
      </c>
    </row>
    <row r="24" spans="1:2" x14ac:dyDescent="0.2">
      <c r="A24" t="s">
        <v>52</v>
      </c>
      <c r="B24">
        <v>2.8055469999999999E-2</v>
      </c>
    </row>
    <row r="25" spans="1:2" x14ac:dyDescent="0.2">
      <c r="A25" t="s">
        <v>69</v>
      </c>
      <c r="B25">
        <v>4.5981220000000003E-2</v>
      </c>
    </row>
    <row r="26" spans="1:2" x14ac:dyDescent="0.2">
      <c r="A26" t="s">
        <v>71</v>
      </c>
      <c r="B26">
        <v>3.1823249999999997E-2</v>
      </c>
    </row>
    <row r="27" spans="1:2" x14ac:dyDescent="0.2">
      <c r="A27" t="s">
        <v>63</v>
      </c>
      <c r="B27">
        <v>4.7876100000000003E-3</v>
      </c>
    </row>
    <row r="28" spans="1:2" x14ac:dyDescent="0.2">
      <c r="A28" t="s">
        <v>42</v>
      </c>
      <c r="B28">
        <v>2.11299E-2</v>
      </c>
    </row>
    <row r="29" spans="1:2" x14ac:dyDescent="0.2">
      <c r="A29" t="s">
        <v>64</v>
      </c>
      <c r="B29">
        <v>2.3966080000000001E-2</v>
      </c>
    </row>
    <row r="30" spans="1:2" x14ac:dyDescent="0.2">
      <c r="A30" t="s">
        <v>61</v>
      </c>
      <c r="B30">
        <v>0.2106035</v>
      </c>
    </row>
    <row r="31" spans="1:2" x14ac:dyDescent="0.2">
      <c r="A31" t="s">
        <v>67</v>
      </c>
      <c r="B31">
        <v>7.0748999999999996E-4</v>
      </c>
    </row>
    <row r="32" spans="1:2" x14ac:dyDescent="0.2">
      <c r="A32" t="s">
        <v>53</v>
      </c>
      <c r="B32">
        <v>8.1055429999999998E-2</v>
      </c>
    </row>
    <row r="33" spans="1:2" x14ac:dyDescent="0.2">
      <c r="A33" t="s">
        <v>60</v>
      </c>
      <c r="B33">
        <v>0.17703627999999999</v>
      </c>
    </row>
    <row r="34" spans="1:2" x14ac:dyDescent="0.2">
      <c r="A34" t="s">
        <v>72</v>
      </c>
      <c r="B34">
        <v>5.2275120000000001E-2</v>
      </c>
    </row>
    <row r="35" spans="1:2" x14ac:dyDescent="0.2">
      <c r="A35" t="s">
        <v>54</v>
      </c>
      <c r="B35">
        <v>0.30460986000000001</v>
      </c>
    </row>
    <row r="36" spans="1:2" x14ac:dyDescent="0.2">
      <c r="A36" t="s">
        <v>68</v>
      </c>
      <c r="B36">
        <v>4.4426399999999998E-2</v>
      </c>
    </row>
    <row r="37" spans="1:2" x14ac:dyDescent="0.2">
      <c r="A37" t="s">
        <v>59</v>
      </c>
      <c r="B37">
        <v>50.699772369999998</v>
      </c>
    </row>
    <row r="38" spans="1:2" x14ac:dyDescent="0.2">
      <c r="A38" t="s">
        <v>56</v>
      </c>
      <c r="B38">
        <v>1.3913740299999999</v>
      </c>
    </row>
    <row r="39" spans="1:2" x14ac:dyDescent="0.2">
      <c r="A39" t="s">
        <v>65</v>
      </c>
      <c r="B39">
        <v>4.7742550000000002E-2</v>
      </c>
    </row>
    <row r="40" spans="1:2" x14ac:dyDescent="0.2">
      <c r="A40" t="s">
        <v>58</v>
      </c>
      <c r="B40">
        <v>8.2315319999999997E-2</v>
      </c>
    </row>
    <row r="41" spans="1:2" x14ac:dyDescent="0.2">
      <c r="A41" t="s">
        <v>66</v>
      </c>
      <c r="B41">
        <v>6.9155800000000002E-3</v>
      </c>
    </row>
    <row r="42" spans="1:2" x14ac:dyDescent="0.2">
      <c r="A42" t="s">
        <v>62</v>
      </c>
      <c r="B42">
        <v>2.8427330000000001E-2</v>
      </c>
    </row>
    <row r="43" spans="1:2" x14ac:dyDescent="0.2">
      <c r="A43" t="s">
        <v>57</v>
      </c>
      <c r="B43">
        <v>6.7994400000000003E-3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226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16</v>
      </c>
      <c r="B1" t="s">
        <v>85</v>
      </c>
      <c r="C1" t="s">
        <v>83</v>
      </c>
      <c r="D1" t="s">
        <v>80</v>
      </c>
    </row>
    <row r="2" spans="1:4" x14ac:dyDescent="0.2">
      <c r="A2" s="29">
        <v>45463</v>
      </c>
      <c r="B2" s="328" t="s">
        <v>14</v>
      </c>
      <c r="C2">
        <v>12273.445616999999</v>
      </c>
      <c r="D2">
        <v>6019.6334009070824</v>
      </c>
    </row>
    <row r="3" spans="1:4" x14ac:dyDescent="0.2">
      <c r="A3" s="29"/>
      <c r="B3" s="328" t="s">
        <v>15</v>
      </c>
      <c r="C3">
        <v>81520.141923509989</v>
      </c>
      <c r="D3">
        <v>6642.4674098866599</v>
      </c>
    </row>
    <row r="4" spans="1:4" x14ac:dyDescent="0.2">
      <c r="A4" s="29">
        <v>45462</v>
      </c>
      <c r="B4" s="328" t="s">
        <v>14</v>
      </c>
      <c r="C4">
        <v>12273.445616999999</v>
      </c>
      <c r="D4">
        <v>6050.7638911044978</v>
      </c>
    </row>
    <row r="5" spans="1:4" x14ac:dyDescent="0.2">
      <c r="A5" s="29"/>
      <c r="B5" s="328" t="s">
        <v>15</v>
      </c>
      <c r="C5">
        <v>81520.141923509989</v>
      </c>
      <c r="D5">
        <v>6559.1839872933451</v>
      </c>
    </row>
    <row r="6" spans="1:4" x14ac:dyDescent="0.2">
      <c r="A6" s="29">
        <v>45461</v>
      </c>
      <c r="B6" s="328" t="s">
        <v>14</v>
      </c>
      <c r="C6">
        <v>12273.445616999999</v>
      </c>
      <c r="D6">
        <v>6022.4593617603969</v>
      </c>
    </row>
    <row r="7" spans="1:4" x14ac:dyDescent="0.2">
      <c r="A7" s="29"/>
      <c r="B7" s="328" t="s">
        <v>15</v>
      </c>
      <c r="C7">
        <v>81520.141923509989</v>
      </c>
      <c r="D7">
        <v>6332.3419643698899</v>
      </c>
    </row>
    <row r="8" spans="1:4" x14ac:dyDescent="0.2">
      <c r="A8" s="29">
        <v>45460</v>
      </c>
      <c r="B8" s="328" t="s">
        <v>14</v>
      </c>
      <c r="C8">
        <v>12273.445616999999</v>
      </c>
      <c r="D8">
        <v>6191.149403088586</v>
      </c>
    </row>
    <row r="9" spans="1:4" x14ac:dyDescent="0.2">
      <c r="A9" s="29"/>
      <c r="B9" s="328" t="s">
        <v>15</v>
      </c>
      <c r="C9">
        <v>81520.141923509989</v>
      </c>
      <c r="D9">
        <v>6532.6410290830509</v>
      </c>
    </row>
    <row r="10" spans="1:4" x14ac:dyDescent="0.2">
      <c r="A10" s="29">
        <v>45459</v>
      </c>
      <c r="B10" s="328" t="s">
        <v>14</v>
      </c>
      <c r="C10">
        <v>12273.445616999999</v>
      </c>
      <c r="D10">
        <v>5996.6227768609624</v>
      </c>
    </row>
    <row r="11" spans="1:4" x14ac:dyDescent="0.2">
      <c r="A11" s="29"/>
      <c r="B11" s="328" t="s">
        <v>15</v>
      </c>
      <c r="C11">
        <v>81520.141923509989</v>
      </c>
      <c r="D11">
        <v>7041.7791514734272</v>
      </c>
    </row>
    <row r="12" spans="1:4" x14ac:dyDescent="0.2">
      <c r="A12" s="29">
        <v>45458</v>
      </c>
      <c r="B12" s="328" t="s">
        <v>14</v>
      </c>
      <c r="C12">
        <v>12273.445616999999</v>
      </c>
      <c r="D12">
        <v>6021.6838027318581</v>
      </c>
    </row>
    <row r="13" spans="1:4" x14ac:dyDescent="0.2">
      <c r="A13" s="29"/>
      <c r="B13" s="328" t="s">
        <v>15</v>
      </c>
      <c r="C13">
        <v>81520.141923509989</v>
      </c>
      <c r="D13">
        <v>6909.7784768652036</v>
      </c>
    </row>
    <row r="14" spans="1:4" x14ac:dyDescent="0.2">
      <c r="A14" s="29">
        <v>45457</v>
      </c>
      <c r="B14" s="328" t="s">
        <v>14</v>
      </c>
      <c r="C14">
        <v>12273.445616999999</v>
      </c>
      <c r="D14">
        <v>5818.9621968657648</v>
      </c>
    </row>
    <row r="15" spans="1:4" x14ac:dyDescent="0.2">
      <c r="A15" s="29"/>
      <c r="B15" s="328" t="s">
        <v>15</v>
      </c>
      <c r="C15">
        <v>81520.141923509989</v>
      </c>
      <c r="D15">
        <v>7038.0919954542278</v>
      </c>
    </row>
    <row r="16" spans="1:4" x14ac:dyDescent="0.2">
      <c r="A16" s="29">
        <v>45456</v>
      </c>
      <c r="B16" s="328" t="s">
        <v>14</v>
      </c>
      <c r="C16">
        <v>12273.445616999999</v>
      </c>
      <c r="D16">
        <v>5848.5064669516378</v>
      </c>
    </row>
    <row r="17" spans="1:4" x14ac:dyDescent="0.2">
      <c r="A17" s="29"/>
      <c r="B17" s="328" t="s">
        <v>15</v>
      </c>
      <c r="C17">
        <v>81520.141923509989</v>
      </c>
      <c r="D17">
        <v>7199.1937303263066</v>
      </c>
    </row>
    <row r="18" spans="1:4" x14ac:dyDescent="0.2">
      <c r="A18" s="29">
        <v>45455</v>
      </c>
      <c r="B18" s="328" t="s">
        <v>14</v>
      </c>
      <c r="C18">
        <v>12273.445616999999</v>
      </c>
      <c r="D18">
        <v>6031.4677026399067</v>
      </c>
    </row>
    <row r="19" spans="1:4" x14ac:dyDescent="0.2">
      <c r="A19" s="29"/>
      <c r="B19" s="328" t="s">
        <v>15</v>
      </c>
      <c r="C19">
        <v>81520.141923509989</v>
      </c>
      <c r="D19">
        <v>7477.0184500087244</v>
      </c>
    </row>
    <row r="20" spans="1:4" x14ac:dyDescent="0.2">
      <c r="A20" s="29">
        <v>45454</v>
      </c>
      <c r="B20" s="328" t="s">
        <v>14</v>
      </c>
      <c r="C20">
        <v>12273.445616999999</v>
      </c>
      <c r="D20">
        <v>5894.3782244762633</v>
      </c>
    </row>
    <row r="21" spans="1:4" x14ac:dyDescent="0.2">
      <c r="A21" s="29"/>
      <c r="B21" s="328" t="s">
        <v>15</v>
      </c>
      <c r="C21">
        <v>81520.141923509989</v>
      </c>
      <c r="D21">
        <v>7122.0593720382813</v>
      </c>
    </row>
    <row r="22" spans="1:4" x14ac:dyDescent="0.2">
      <c r="A22" s="29">
        <v>45453</v>
      </c>
      <c r="B22" s="328" t="s">
        <v>14</v>
      </c>
      <c r="C22">
        <v>12273.445616999999</v>
      </c>
      <c r="D22">
        <v>6096.6233751835061</v>
      </c>
    </row>
    <row r="23" spans="1:4" x14ac:dyDescent="0.2">
      <c r="A23" s="29"/>
      <c r="B23" s="328" t="s">
        <v>15</v>
      </c>
      <c r="C23">
        <v>81520.141923509989</v>
      </c>
      <c r="D23">
        <v>7270.5165176966038</v>
      </c>
    </row>
    <row r="24" spans="1:4" x14ac:dyDescent="0.2">
      <c r="A24" s="29">
        <v>45452</v>
      </c>
      <c r="B24" s="328" t="s">
        <v>14</v>
      </c>
      <c r="C24">
        <v>12273.445616999999</v>
      </c>
      <c r="D24">
        <v>6118.9054474978011</v>
      </c>
    </row>
    <row r="25" spans="1:4" x14ac:dyDescent="0.2">
      <c r="A25" s="29"/>
      <c r="B25" s="328" t="s">
        <v>15</v>
      </c>
      <c r="C25">
        <v>81520.141923509989</v>
      </c>
      <c r="D25">
        <v>7458.8329367484284</v>
      </c>
    </row>
    <row r="26" spans="1:4" x14ac:dyDescent="0.2">
      <c r="A26" s="29">
        <v>45451</v>
      </c>
      <c r="B26" s="328" t="s">
        <v>14</v>
      </c>
      <c r="C26">
        <v>12273.445616999999</v>
      </c>
      <c r="D26">
        <v>6052.9351863686024</v>
      </c>
    </row>
    <row r="27" spans="1:4" x14ac:dyDescent="0.2">
      <c r="A27" s="29"/>
      <c r="B27" s="328" t="s">
        <v>15</v>
      </c>
      <c r="C27">
        <v>81520.141923509989</v>
      </c>
      <c r="D27">
        <v>7363.9019162770819</v>
      </c>
    </row>
    <row r="28" spans="1:4" x14ac:dyDescent="0.2">
      <c r="A28" s="29">
        <v>45450</v>
      </c>
      <c r="B28" s="328" t="s">
        <v>14</v>
      </c>
      <c r="C28">
        <v>12273.445616999999</v>
      </c>
      <c r="D28">
        <v>6122.7377081572531</v>
      </c>
    </row>
    <row r="29" spans="1:4" x14ac:dyDescent="0.2">
      <c r="A29" s="29"/>
      <c r="B29" s="328" t="s">
        <v>15</v>
      </c>
      <c r="C29">
        <v>81520.141923509989</v>
      </c>
      <c r="D29">
        <v>7657.43556730816</v>
      </c>
    </row>
    <row r="30" spans="1:4" x14ac:dyDescent="0.2">
      <c r="A30" s="29">
        <v>45449</v>
      </c>
      <c r="B30" s="328" t="s">
        <v>14</v>
      </c>
      <c r="C30">
        <v>12273.445616999999</v>
      </c>
      <c r="D30">
        <v>6402.7208996512754</v>
      </c>
    </row>
    <row r="31" spans="1:4" x14ac:dyDescent="0.2">
      <c r="A31" s="29"/>
      <c r="B31" s="328" t="s">
        <v>15</v>
      </c>
      <c r="C31">
        <v>81520.141923509989</v>
      </c>
      <c r="D31">
        <v>8268.1836553976773</v>
      </c>
    </row>
    <row r="32" spans="1:4" x14ac:dyDescent="0.2">
      <c r="A32" s="29">
        <v>45448</v>
      </c>
      <c r="B32" s="328" t="s">
        <v>14</v>
      </c>
      <c r="C32">
        <v>12273.445616999999</v>
      </c>
      <c r="D32">
        <v>6459.0986038895953</v>
      </c>
    </row>
    <row r="33" spans="1:4" x14ac:dyDescent="0.2">
      <c r="A33" s="29"/>
      <c r="B33" s="328" t="s">
        <v>15</v>
      </c>
      <c r="C33">
        <v>81520.141923509989</v>
      </c>
      <c r="D33">
        <v>8517.5439871246635</v>
      </c>
    </row>
    <row r="34" spans="1:4" x14ac:dyDescent="0.2">
      <c r="A34" s="29">
        <v>45447</v>
      </c>
      <c r="B34" s="328" t="s">
        <v>14</v>
      </c>
      <c r="C34">
        <v>12273.445616999999</v>
      </c>
      <c r="D34">
        <v>6454.3320885497769</v>
      </c>
    </row>
    <row r="35" spans="1:4" x14ac:dyDescent="0.2">
      <c r="A35" s="29"/>
      <c r="B35" s="328" t="s">
        <v>15</v>
      </c>
      <c r="C35">
        <v>81520.141923509989</v>
      </c>
      <c r="D35">
        <v>8357.2647904845926</v>
      </c>
    </row>
    <row r="36" spans="1:4" x14ac:dyDescent="0.2">
      <c r="A36" s="29">
        <v>45446</v>
      </c>
      <c r="B36" s="328" t="s">
        <v>14</v>
      </c>
      <c r="C36">
        <v>12273.445616999999</v>
      </c>
      <c r="D36">
        <v>6382.9434693840412</v>
      </c>
    </row>
    <row r="37" spans="1:4" x14ac:dyDescent="0.2">
      <c r="A37" s="29"/>
      <c r="B37" s="328" t="s">
        <v>15</v>
      </c>
      <c r="C37">
        <v>81520.141923509989</v>
      </c>
      <c r="D37">
        <v>8239.7477994919191</v>
      </c>
    </row>
    <row r="38" spans="1:4" x14ac:dyDescent="0.2">
      <c r="A38" s="29">
        <v>45445</v>
      </c>
      <c r="B38" s="328" t="s">
        <v>14</v>
      </c>
      <c r="C38">
        <v>12273.445616999999</v>
      </c>
      <c r="D38">
        <v>6297.7202223188206</v>
      </c>
    </row>
    <row r="39" spans="1:4" x14ac:dyDescent="0.2">
      <c r="A39" s="29"/>
      <c r="B39" s="328" t="s">
        <v>15</v>
      </c>
      <c r="C39">
        <v>81520.141923509989</v>
      </c>
      <c r="D39">
        <v>8086.8535125086992</v>
      </c>
    </row>
    <row r="40" spans="1:4" x14ac:dyDescent="0.2">
      <c r="A40" s="29">
        <v>45444</v>
      </c>
      <c r="B40" s="328" t="s">
        <v>14</v>
      </c>
      <c r="C40">
        <v>12273.445616999999</v>
      </c>
      <c r="D40">
        <v>6358.1281578943981</v>
      </c>
    </row>
    <row r="41" spans="1:4" x14ac:dyDescent="0.2">
      <c r="A41" s="29"/>
      <c r="B41" s="328" t="s">
        <v>15</v>
      </c>
      <c r="C41">
        <v>81520.141923509989</v>
      </c>
      <c r="D41">
        <v>8142.0230837568533</v>
      </c>
    </row>
    <row r="42" spans="1:4" x14ac:dyDescent="0.2">
      <c r="A42" s="29">
        <v>45443</v>
      </c>
      <c r="B42" s="328" t="s">
        <v>14</v>
      </c>
      <c r="C42">
        <v>12273.445616999999</v>
      </c>
      <c r="D42">
        <v>6357.8509007579096</v>
      </c>
    </row>
    <row r="43" spans="1:4" x14ac:dyDescent="0.2">
      <c r="A43" s="29"/>
      <c r="B43" s="328" t="s">
        <v>15</v>
      </c>
      <c r="C43">
        <v>81520.141923509989</v>
      </c>
      <c r="D43">
        <v>8174.2887559301789</v>
      </c>
    </row>
    <row r="44" spans="1:4" x14ac:dyDescent="0.2">
      <c r="A44" s="29">
        <v>45442</v>
      </c>
      <c r="B44" s="328" t="s">
        <v>14</v>
      </c>
      <c r="C44">
        <v>12273.445616999999</v>
      </c>
      <c r="D44">
        <v>6369.0347098730317</v>
      </c>
    </row>
    <row r="45" spans="1:4" x14ac:dyDescent="0.2">
      <c r="A45" s="29"/>
      <c r="B45" s="328" t="s">
        <v>15</v>
      </c>
      <c r="C45">
        <v>81520.141923509989</v>
      </c>
      <c r="D45">
        <v>8205.5403175379761</v>
      </c>
    </row>
    <row r="46" spans="1:4" x14ac:dyDescent="0.2">
      <c r="A46" s="29">
        <v>45441</v>
      </c>
      <c r="B46" s="328" t="s">
        <v>14</v>
      </c>
      <c r="C46">
        <v>12273.445616999999</v>
      </c>
      <c r="D46">
        <v>6419.2894375619426</v>
      </c>
    </row>
    <row r="47" spans="1:4" x14ac:dyDescent="0.2">
      <c r="A47" s="29"/>
      <c r="B47" s="328" t="s">
        <v>15</v>
      </c>
      <c r="C47">
        <v>81520.141923509989</v>
      </c>
      <c r="D47">
        <v>8404.1682193417037</v>
      </c>
    </row>
    <row r="48" spans="1:4" x14ac:dyDescent="0.2">
      <c r="A48" s="29">
        <v>45440</v>
      </c>
      <c r="B48" s="328" t="s">
        <v>14</v>
      </c>
      <c r="C48">
        <v>12273.445616999999</v>
      </c>
      <c r="D48">
        <v>6481.4830367403374</v>
      </c>
    </row>
    <row r="49" spans="1:4" x14ac:dyDescent="0.2">
      <c r="A49" s="29"/>
      <c r="B49" s="328" t="s">
        <v>15</v>
      </c>
      <c r="C49">
        <v>81520.141923509989</v>
      </c>
      <c r="D49">
        <v>8504.1494126052112</v>
      </c>
    </row>
    <row r="50" spans="1:4" x14ac:dyDescent="0.2">
      <c r="A50" s="29">
        <v>45439</v>
      </c>
      <c r="B50" s="328" t="s">
        <v>14</v>
      </c>
      <c r="C50">
        <v>12273.445616999999</v>
      </c>
      <c r="D50">
        <v>6553.9666927240214</v>
      </c>
    </row>
    <row r="51" spans="1:4" x14ac:dyDescent="0.2">
      <c r="A51" s="29"/>
      <c r="B51" s="328" t="s">
        <v>15</v>
      </c>
      <c r="C51">
        <v>81520.141923509989</v>
      </c>
      <c r="D51">
        <v>8704.6579840831164</v>
      </c>
    </row>
    <row r="52" spans="1:4" x14ac:dyDescent="0.2">
      <c r="A52" s="29">
        <v>45438</v>
      </c>
      <c r="B52" s="328" t="s">
        <v>14</v>
      </c>
      <c r="C52">
        <v>12273.445616999999</v>
      </c>
      <c r="D52">
        <v>6483.2316345373911</v>
      </c>
    </row>
    <row r="53" spans="1:4" x14ac:dyDescent="0.2">
      <c r="A53" s="29"/>
      <c r="B53" s="328" t="s">
        <v>15</v>
      </c>
      <c r="C53">
        <v>81520.141923509989</v>
      </c>
      <c r="D53">
        <v>8704.0278333860479</v>
      </c>
    </row>
    <row r="54" spans="1:4" x14ac:dyDescent="0.2">
      <c r="A54" s="29">
        <v>45437</v>
      </c>
      <c r="B54" s="328" t="s">
        <v>14</v>
      </c>
      <c r="C54">
        <v>12273.445616999999</v>
      </c>
      <c r="D54">
        <v>6645.6201206824426</v>
      </c>
    </row>
    <row r="55" spans="1:4" x14ac:dyDescent="0.2">
      <c r="A55" s="29"/>
      <c r="B55" s="328" t="s">
        <v>15</v>
      </c>
      <c r="C55">
        <v>81520.141923509989</v>
      </c>
      <c r="D55">
        <v>8845.16447029964</v>
      </c>
    </row>
    <row r="56" spans="1:4" x14ac:dyDescent="0.2">
      <c r="A56" s="29">
        <v>45436</v>
      </c>
      <c r="B56" s="328" t="s">
        <v>14</v>
      </c>
      <c r="C56">
        <v>12273.445616999999</v>
      </c>
      <c r="D56">
        <v>6567.416425368956</v>
      </c>
    </row>
    <row r="57" spans="1:4" x14ac:dyDescent="0.2">
      <c r="A57" s="29"/>
      <c r="B57" s="328" t="s">
        <v>15</v>
      </c>
      <c r="C57">
        <v>81520.141923509989</v>
      </c>
      <c r="D57">
        <v>8797.295842962154</v>
      </c>
    </row>
    <row r="58" spans="1:4" x14ac:dyDescent="0.2">
      <c r="A58" s="29">
        <v>45435</v>
      </c>
      <c r="B58" s="328" t="s">
        <v>14</v>
      </c>
      <c r="C58">
        <v>12273.445616999999</v>
      </c>
      <c r="D58">
        <v>6493.4973899203605</v>
      </c>
    </row>
    <row r="59" spans="1:4" x14ac:dyDescent="0.2">
      <c r="A59" s="29"/>
      <c r="B59" s="328" t="s">
        <v>15</v>
      </c>
      <c r="C59">
        <v>81520.141923509989</v>
      </c>
      <c r="D59">
        <v>8866.2635134322809</v>
      </c>
    </row>
    <row r="60" spans="1:4" x14ac:dyDescent="0.2">
      <c r="A60" s="29">
        <v>45434</v>
      </c>
      <c r="B60" s="328" t="s">
        <v>14</v>
      </c>
      <c r="C60">
        <v>12273.445616999999</v>
      </c>
      <c r="D60">
        <v>6462.5069397374364</v>
      </c>
    </row>
    <row r="61" spans="1:4" x14ac:dyDescent="0.2">
      <c r="A61" s="29"/>
      <c r="B61" s="328" t="s">
        <v>15</v>
      </c>
      <c r="C61">
        <v>81520.141923509989</v>
      </c>
      <c r="D61">
        <v>9232.8066035700558</v>
      </c>
    </row>
    <row r="62" spans="1:4" x14ac:dyDescent="0.2">
      <c r="A62" s="29">
        <v>45433</v>
      </c>
      <c r="B62" s="328" t="s">
        <v>14</v>
      </c>
      <c r="C62">
        <v>12273.445616999999</v>
      </c>
      <c r="D62">
        <v>6590.8674206438136</v>
      </c>
    </row>
    <row r="63" spans="1:4" x14ac:dyDescent="0.2">
      <c r="A63" s="29"/>
      <c r="B63" s="328" t="s">
        <v>15</v>
      </c>
      <c r="C63">
        <v>81520.141923509989</v>
      </c>
      <c r="D63">
        <v>9388.6861581505145</v>
      </c>
    </row>
    <row r="64" spans="1:4" x14ac:dyDescent="0.2">
      <c r="A64" s="29">
        <v>45432</v>
      </c>
      <c r="B64" s="328" t="s">
        <v>14</v>
      </c>
      <c r="C64">
        <v>12273.445616999999</v>
      </c>
      <c r="D64">
        <v>6594.0904274628383</v>
      </c>
    </row>
    <row r="65" spans="1:4" x14ac:dyDescent="0.2">
      <c r="A65" s="29"/>
      <c r="B65" s="328" t="s">
        <v>15</v>
      </c>
      <c r="C65">
        <v>81520.141923509989</v>
      </c>
      <c r="D65">
        <v>9584.5350383160712</v>
      </c>
    </row>
    <row r="66" spans="1:4" x14ac:dyDescent="0.2">
      <c r="A66" s="29">
        <v>45431</v>
      </c>
      <c r="B66" s="328" t="s">
        <v>14</v>
      </c>
      <c r="C66">
        <v>12273.445616999999</v>
      </c>
      <c r="D66">
        <v>6255.7015903111978</v>
      </c>
    </row>
    <row r="67" spans="1:4" x14ac:dyDescent="0.2">
      <c r="A67" s="29"/>
      <c r="B67" s="328" t="s">
        <v>15</v>
      </c>
      <c r="C67">
        <v>81520.141923509989</v>
      </c>
      <c r="D67">
        <v>9043.8176433473636</v>
      </c>
    </row>
    <row r="68" spans="1:4" x14ac:dyDescent="0.2">
      <c r="A68" s="29">
        <v>45430</v>
      </c>
      <c r="B68" s="328" t="s">
        <v>14</v>
      </c>
      <c r="C68">
        <v>12273.445616999999</v>
      </c>
      <c r="D68">
        <v>6392.1494127379838</v>
      </c>
    </row>
    <row r="69" spans="1:4" x14ac:dyDescent="0.2">
      <c r="A69" s="29"/>
      <c r="B69" s="328" t="s">
        <v>15</v>
      </c>
      <c r="C69">
        <v>81520.141923509989</v>
      </c>
      <c r="D69">
        <v>9342.4585312699492</v>
      </c>
    </row>
    <row r="70" spans="1:4" x14ac:dyDescent="0.2">
      <c r="A70" s="29">
        <v>45429</v>
      </c>
      <c r="B70" s="328" t="s">
        <v>14</v>
      </c>
      <c r="C70">
        <v>12273.445616999999</v>
      </c>
      <c r="D70">
        <v>6433.7792219884614</v>
      </c>
    </row>
    <row r="71" spans="1:4" x14ac:dyDescent="0.2">
      <c r="A71" s="29"/>
      <c r="B71" s="328" t="s">
        <v>15</v>
      </c>
      <c r="C71">
        <v>81520.141923509989</v>
      </c>
      <c r="D71">
        <v>9370.0416864911895</v>
      </c>
    </row>
    <row r="72" spans="1:4" x14ac:dyDescent="0.2">
      <c r="A72" s="29">
        <v>45428</v>
      </c>
      <c r="B72" s="328" t="s">
        <v>14</v>
      </c>
      <c r="C72">
        <v>12273.445616999999</v>
      </c>
      <c r="D72">
        <v>6330.5971010930798</v>
      </c>
    </row>
    <row r="73" spans="1:4" x14ac:dyDescent="0.2">
      <c r="A73" s="29"/>
      <c r="B73" s="328" t="s">
        <v>15</v>
      </c>
      <c r="C73">
        <v>81520.141923509989</v>
      </c>
      <c r="D73">
        <v>9165.9918800481282</v>
      </c>
    </row>
    <row r="74" spans="1:4" x14ac:dyDescent="0.2">
      <c r="A74" s="29">
        <v>45427</v>
      </c>
      <c r="B74" s="328" t="s">
        <v>14</v>
      </c>
      <c r="C74">
        <v>12273.445616999999</v>
      </c>
      <c r="D74">
        <v>6364.93709731934</v>
      </c>
    </row>
    <row r="75" spans="1:4" x14ac:dyDescent="0.2">
      <c r="A75" s="29"/>
      <c r="B75" s="328" t="s">
        <v>15</v>
      </c>
      <c r="C75">
        <v>81520.141923509989</v>
      </c>
      <c r="D75">
        <v>9054.2212438596416</v>
      </c>
    </row>
    <row r="76" spans="1:4" x14ac:dyDescent="0.2">
      <c r="A76" s="29">
        <v>45426</v>
      </c>
      <c r="B76" s="328" t="s">
        <v>14</v>
      </c>
      <c r="C76">
        <v>12273.445616999999</v>
      </c>
      <c r="D76">
        <v>6133.0735449146969</v>
      </c>
    </row>
    <row r="77" spans="1:4" x14ac:dyDescent="0.2">
      <c r="A77" s="29"/>
      <c r="B77" s="328" t="s">
        <v>15</v>
      </c>
      <c r="C77">
        <v>81520.141923509989</v>
      </c>
      <c r="D77">
        <v>8573.360828299692</v>
      </c>
    </row>
    <row r="78" spans="1:4" x14ac:dyDescent="0.2">
      <c r="A78" s="29">
        <v>45425</v>
      </c>
      <c r="B78" s="328" t="s">
        <v>14</v>
      </c>
      <c r="C78">
        <v>12273.445616999999</v>
      </c>
      <c r="D78">
        <v>6192.3756430401809</v>
      </c>
    </row>
    <row r="79" spans="1:4" x14ac:dyDescent="0.2">
      <c r="A79" s="29"/>
      <c r="B79" s="328" t="s">
        <v>15</v>
      </c>
      <c r="C79">
        <v>81520.141923509989</v>
      </c>
      <c r="D79">
        <v>8763.5831882696857</v>
      </c>
    </row>
    <row r="80" spans="1:4" x14ac:dyDescent="0.2">
      <c r="A80" s="29">
        <v>45424</v>
      </c>
      <c r="B80" s="328" t="s">
        <v>14</v>
      </c>
      <c r="C80">
        <v>12273.445616999999</v>
      </c>
      <c r="D80">
        <v>6132.2923401011749</v>
      </c>
    </row>
    <row r="81" spans="1:4" x14ac:dyDescent="0.2">
      <c r="A81" s="29"/>
      <c r="B81" s="328" t="s">
        <v>15</v>
      </c>
      <c r="C81">
        <v>81520.141923509989</v>
      </c>
      <c r="D81">
        <v>8852.2453098271144</v>
      </c>
    </row>
    <row r="82" spans="1:4" x14ac:dyDescent="0.2">
      <c r="A82" s="29">
        <v>45423</v>
      </c>
      <c r="B82" s="328" t="s">
        <v>14</v>
      </c>
      <c r="C82">
        <v>12273.445616999999</v>
      </c>
      <c r="D82">
        <v>6203.8056574743796</v>
      </c>
    </row>
    <row r="83" spans="1:4" x14ac:dyDescent="0.2">
      <c r="A83" s="29"/>
      <c r="B83" s="328" t="s">
        <v>15</v>
      </c>
      <c r="C83">
        <v>81520.141923509989</v>
      </c>
      <c r="D83">
        <v>8685.1330948910163</v>
      </c>
    </row>
    <row r="84" spans="1:4" x14ac:dyDescent="0.2">
      <c r="A84" s="29">
        <v>45422</v>
      </c>
      <c r="B84" s="328" t="s">
        <v>14</v>
      </c>
      <c r="C84">
        <v>12273.445616999999</v>
      </c>
      <c r="D84">
        <v>6164.0410437543178</v>
      </c>
    </row>
    <row r="85" spans="1:4" x14ac:dyDescent="0.2">
      <c r="A85" s="29"/>
      <c r="B85" s="328" t="s">
        <v>15</v>
      </c>
      <c r="C85">
        <v>81520.141923509989</v>
      </c>
      <c r="D85">
        <v>8621.0835345831329</v>
      </c>
    </row>
    <row r="86" spans="1:4" x14ac:dyDescent="0.2">
      <c r="A86" s="29">
        <v>45421</v>
      </c>
      <c r="B86" s="328" t="s">
        <v>14</v>
      </c>
      <c r="C86">
        <v>12273.445616999999</v>
      </c>
      <c r="D86">
        <v>6395.8378286148036</v>
      </c>
    </row>
    <row r="87" spans="1:4" x14ac:dyDescent="0.2">
      <c r="A87" s="29"/>
      <c r="B87" s="328" t="s">
        <v>15</v>
      </c>
      <c r="C87">
        <v>81520.141923509989</v>
      </c>
      <c r="D87">
        <v>9017.9423350994221</v>
      </c>
    </row>
    <row r="88" spans="1:4" x14ac:dyDescent="0.2">
      <c r="A88" s="29">
        <v>45420</v>
      </c>
      <c r="B88" s="328" t="s">
        <v>14</v>
      </c>
      <c r="C88">
        <v>12273.445616999999</v>
      </c>
      <c r="D88">
        <v>6355.4858077875124</v>
      </c>
    </row>
    <row r="89" spans="1:4" x14ac:dyDescent="0.2">
      <c r="A89" s="29"/>
      <c r="B89" s="328" t="s">
        <v>15</v>
      </c>
      <c r="C89">
        <v>81520.141923509989</v>
      </c>
      <c r="D89">
        <v>8657.9599859836526</v>
      </c>
    </row>
    <row r="90" spans="1:4" x14ac:dyDescent="0.2">
      <c r="A90" s="29">
        <v>45419</v>
      </c>
      <c r="B90" s="328" t="s">
        <v>14</v>
      </c>
      <c r="C90">
        <v>12273.445616999999</v>
      </c>
      <c r="D90">
        <v>6439.7342978018296</v>
      </c>
    </row>
    <row r="91" spans="1:4" x14ac:dyDescent="0.2">
      <c r="A91" s="29"/>
      <c r="B91" s="328" t="s">
        <v>15</v>
      </c>
      <c r="C91">
        <v>81520.141923509989</v>
      </c>
      <c r="D91">
        <v>8799.369715372688</v>
      </c>
    </row>
    <row r="92" spans="1:4" x14ac:dyDescent="0.2">
      <c r="A92" s="29">
        <v>45418</v>
      </c>
      <c r="B92" s="328" t="s">
        <v>14</v>
      </c>
      <c r="C92">
        <v>12273.445616999999</v>
      </c>
      <c r="D92">
        <v>6632.5990994929134</v>
      </c>
    </row>
    <row r="93" spans="1:4" x14ac:dyDescent="0.2">
      <c r="A93" s="29"/>
      <c r="B93" s="328" t="s">
        <v>15</v>
      </c>
      <c r="C93">
        <v>81520.141923509989</v>
      </c>
      <c r="D93">
        <v>9289.1940857385471</v>
      </c>
    </row>
    <row r="94" spans="1:4" x14ac:dyDescent="0.2">
      <c r="A94" s="29">
        <v>45417</v>
      </c>
      <c r="B94" s="328" t="s">
        <v>14</v>
      </c>
      <c r="C94">
        <v>12273.445616999999</v>
      </c>
      <c r="D94">
        <v>6498.7641709035279</v>
      </c>
    </row>
    <row r="95" spans="1:4" x14ac:dyDescent="0.2">
      <c r="A95" s="29"/>
      <c r="B95" s="328" t="s">
        <v>15</v>
      </c>
      <c r="C95">
        <v>81520.141923509989</v>
      </c>
      <c r="D95">
        <v>8971.325857141881</v>
      </c>
    </row>
    <row r="96" spans="1:4" x14ac:dyDescent="0.2">
      <c r="A96" s="29">
        <v>45416</v>
      </c>
      <c r="B96" s="328" t="s">
        <v>14</v>
      </c>
      <c r="C96">
        <v>12273.445616999999</v>
      </c>
      <c r="D96">
        <v>6505.0557845957164</v>
      </c>
    </row>
    <row r="97" spans="1:4" x14ac:dyDescent="0.2">
      <c r="A97" s="29"/>
      <c r="B97" s="328" t="s">
        <v>15</v>
      </c>
      <c r="C97">
        <v>81520.141923509989</v>
      </c>
      <c r="D97">
        <v>8884.4914171663786</v>
      </c>
    </row>
    <row r="98" spans="1:4" x14ac:dyDescent="0.2">
      <c r="A98" s="29">
        <v>45415</v>
      </c>
      <c r="B98" s="328" t="s">
        <v>14</v>
      </c>
      <c r="C98">
        <v>12273.445616999999</v>
      </c>
      <c r="D98">
        <v>6523.7061443519406</v>
      </c>
    </row>
    <row r="99" spans="1:4" x14ac:dyDescent="0.2">
      <c r="A99" s="29"/>
      <c r="B99" s="328" t="s">
        <v>15</v>
      </c>
      <c r="C99">
        <v>81520.141923509989</v>
      </c>
      <c r="D99">
        <v>9087.0730458533981</v>
      </c>
    </row>
    <row r="100" spans="1:4" x14ac:dyDescent="0.2">
      <c r="A100" s="29">
        <v>45414</v>
      </c>
      <c r="B100" s="328" t="s">
        <v>14</v>
      </c>
      <c r="C100">
        <v>12273.445616999999</v>
      </c>
      <c r="D100">
        <v>6362.2797736088032</v>
      </c>
    </row>
    <row r="101" spans="1:4" x14ac:dyDescent="0.2">
      <c r="A101" s="29"/>
      <c r="B101" s="328" t="s">
        <v>15</v>
      </c>
      <c r="C101">
        <v>81520.141923509989</v>
      </c>
      <c r="D101">
        <v>8194.9598183177222</v>
      </c>
    </row>
    <row r="102" spans="1:4" x14ac:dyDescent="0.2">
      <c r="A102" s="29">
        <v>45413</v>
      </c>
      <c r="B102" s="328" t="s">
        <v>14</v>
      </c>
      <c r="C102">
        <v>12273.445616999999</v>
      </c>
      <c r="D102">
        <v>6333.3003274902248</v>
      </c>
    </row>
    <row r="103" spans="1:4" x14ac:dyDescent="0.2">
      <c r="A103" s="29"/>
      <c r="B103" s="328" t="s">
        <v>15</v>
      </c>
      <c r="C103">
        <v>81520.141923509989</v>
      </c>
      <c r="D103">
        <v>8129.947505133724</v>
      </c>
    </row>
    <row r="104" spans="1:4" x14ac:dyDescent="0.2">
      <c r="A104" s="29">
        <v>45412</v>
      </c>
      <c r="B104" s="328" t="s">
        <v>14</v>
      </c>
      <c r="C104">
        <v>12273.445616999999</v>
      </c>
      <c r="D104">
        <v>6138.9018360348418</v>
      </c>
    </row>
    <row r="105" spans="1:4" x14ac:dyDescent="0.2">
      <c r="A105" s="29"/>
      <c r="B105" s="328" t="s">
        <v>15</v>
      </c>
      <c r="C105">
        <v>81520.141923509989</v>
      </c>
      <c r="D105">
        <v>7628.699717280123</v>
      </c>
    </row>
    <row r="106" spans="1:4" x14ac:dyDescent="0.2">
      <c r="A106" s="29">
        <v>45411</v>
      </c>
      <c r="B106" s="328" t="s">
        <v>14</v>
      </c>
      <c r="C106">
        <v>12273.445616999999</v>
      </c>
      <c r="D106">
        <v>6319.2401136603003</v>
      </c>
    </row>
    <row r="107" spans="1:4" x14ac:dyDescent="0.2">
      <c r="A107" s="29"/>
      <c r="B107" s="328" t="s">
        <v>15</v>
      </c>
      <c r="C107">
        <v>81520.141923509989</v>
      </c>
      <c r="D107">
        <v>8414.8473579336842</v>
      </c>
    </row>
    <row r="108" spans="1:4" x14ac:dyDescent="0.2">
      <c r="A108" s="29">
        <v>45410</v>
      </c>
      <c r="B108" s="328" t="s">
        <v>14</v>
      </c>
      <c r="C108">
        <v>12273.445616999999</v>
      </c>
      <c r="D108">
        <v>6259.5860131145218</v>
      </c>
    </row>
    <row r="109" spans="1:4" x14ac:dyDescent="0.2">
      <c r="A109" s="29"/>
      <c r="B109" s="328" t="s">
        <v>15</v>
      </c>
      <c r="C109">
        <v>81520.141923509989</v>
      </c>
      <c r="D109">
        <v>8447.0910196686909</v>
      </c>
    </row>
    <row r="110" spans="1:4" x14ac:dyDescent="0.2">
      <c r="A110" s="29">
        <v>45409</v>
      </c>
      <c r="B110" s="328" t="s">
        <v>14</v>
      </c>
      <c r="C110">
        <v>12273.445616999999</v>
      </c>
      <c r="D110">
        <v>6364.2592349179131</v>
      </c>
    </row>
    <row r="111" spans="1:4" x14ac:dyDescent="0.2">
      <c r="A111" s="29"/>
      <c r="B111" s="328" t="s">
        <v>15</v>
      </c>
      <c r="C111">
        <v>81520.141923509989</v>
      </c>
      <c r="D111">
        <v>8697.6227958351174</v>
      </c>
    </row>
    <row r="112" spans="1:4" x14ac:dyDescent="0.2">
      <c r="A112" s="29">
        <v>45408</v>
      </c>
      <c r="B112" s="328" t="s">
        <v>14</v>
      </c>
      <c r="C112">
        <v>12273.445639</v>
      </c>
      <c r="D112">
        <v>6455.114777747488</v>
      </c>
    </row>
    <row r="113" spans="1:4" x14ac:dyDescent="0.2">
      <c r="A113" s="29"/>
      <c r="B113" s="328" t="s">
        <v>15</v>
      </c>
      <c r="C113">
        <v>81520.145294550006</v>
      </c>
      <c r="D113">
        <v>9041.0398107777928</v>
      </c>
    </row>
    <row r="114" spans="1:4" x14ac:dyDescent="0.2">
      <c r="A114" s="29">
        <v>45407</v>
      </c>
      <c r="B114" s="328" t="s">
        <v>14</v>
      </c>
      <c r="C114">
        <v>12273.445639</v>
      </c>
      <c r="D114">
        <v>6448.8096632538218</v>
      </c>
    </row>
    <row r="115" spans="1:4" x14ac:dyDescent="0.2">
      <c r="A115" s="29"/>
      <c r="B115" s="328" t="s">
        <v>15</v>
      </c>
      <c r="C115">
        <v>81520.145294550006</v>
      </c>
      <c r="D115">
        <v>9711.2315988704413</v>
      </c>
    </row>
    <row r="116" spans="1:4" x14ac:dyDescent="0.2">
      <c r="A116" s="29">
        <v>45406</v>
      </c>
      <c r="B116" s="328" t="s">
        <v>14</v>
      </c>
      <c r="C116">
        <v>12273.445639</v>
      </c>
      <c r="D116">
        <v>6469.9024387256377</v>
      </c>
    </row>
    <row r="117" spans="1:4" x14ac:dyDescent="0.2">
      <c r="A117" s="29"/>
      <c r="B117" s="328" t="s">
        <v>15</v>
      </c>
      <c r="C117">
        <v>81520.145294550006</v>
      </c>
      <c r="D117">
        <v>10107.00538266386</v>
      </c>
    </row>
    <row r="118" spans="1:4" x14ac:dyDescent="0.2">
      <c r="A118" s="29">
        <v>45405</v>
      </c>
      <c r="B118" s="328" t="s">
        <v>14</v>
      </c>
      <c r="C118">
        <v>12273.445639</v>
      </c>
      <c r="D118">
        <v>6693.1950762528104</v>
      </c>
    </row>
    <row r="119" spans="1:4" x14ac:dyDescent="0.2">
      <c r="A119" s="29"/>
      <c r="B119" s="328" t="s">
        <v>15</v>
      </c>
      <c r="C119">
        <v>81520.145294550006</v>
      </c>
      <c r="D119">
        <v>12757.282370291379</v>
      </c>
    </row>
    <row r="120" spans="1:4" x14ac:dyDescent="0.2">
      <c r="A120" s="29">
        <v>45404</v>
      </c>
      <c r="B120" s="328" t="s">
        <v>14</v>
      </c>
      <c r="C120">
        <v>12273.445639</v>
      </c>
      <c r="D120">
        <v>6825.0220693755518</v>
      </c>
    </row>
    <row r="121" spans="1:4" x14ac:dyDescent="0.2">
      <c r="A121" s="29"/>
      <c r="B121" s="328" t="s">
        <v>15</v>
      </c>
      <c r="C121">
        <v>81520.145294550006</v>
      </c>
      <c r="D121">
        <v>7372.8091118657621</v>
      </c>
    </row>
    <row r="122" spans="1:4" x14ac:dyDescent="0.2">
      <c r="A122" s="29">
        <v>45403</v>
      </c>
      <c r="B122" s="328" t="s">
        <v>14</v>
      </c>
      <c r="C122">
        <v>12273.445639</v>
      </c>
      <c r="D122">
        <v>6434.591612887778</v>
      </c>
    </row>
    <row r="123" spans="1:4" x14ac:dyDescent="0.2">
      <c r="A123" s="29"/>
      <c r="B123" s="328" t="s">
        <v>15</v>
      </c>
      <c r="C123">
        <v>81520.145294550006</v>
      </c>
      <c r="D123">
        <v>7216.6140678770462</v>
      </c>
    </row>
    <row r="124" spans="1:4" x14ac:dyDescent="0.2">
      <c r="A124" s="29">
        <v>45402</v>
      </c>
      <c r="B124" s="328" t="s">
        <v>14</v>
      </c>
      <c r="C124">
        <v>12273.445639</v>
      </c>
      <c r="D124">
        <v>6488.34378173606</v>
      </c>
    </row>
    <row r="125" spans="1:4" x14ac:dyDescent="0.2">
      <c r="A125" s="29"/>
      <c r="B125" s="328" t="s">
        <v>15</v>
      </c>
      <c r="C125">
        <v>81520.145294550006</v>
      </c>
      <c r="D125">
        <v>7078.2140564046758</v>
      </c>
    </row>
    <row r="126" spans="1:4" x14ac:dyDescent="0.2">
      <c r="A126" s="29">
        <v>45401</v>
      </c>
      <c r="B126" s="328" t="s">
        <v>14</v>
      </c>
      <c r="C126">
        <v>12273.445639</v>
      </c>
      <c r="D126">
        <v>6189.9514031573244</v>
      </c>
    </row>
    <row r="127" spans="1:4" x14ac:dyDescent="0.2">
      <c r="A127" s="29"/>
      <c r="B127" s="328" t="s">
        <v>15</v>
      </c>
      <c r="C127">
        <v>81520.145294550006</v>
      </c>
      <c r="D127">
        <v>6570.9068554236146</v>
      </c>
    </row>
    <row r="128" spans="1:4" x14ac:dyDescent="0.2">
      <c r="A128" s="29">
        <v>45400</v>
      </c>
      <c r="B128" s="328" t="s">
        <v>14</v>
      </c>
      <c r="C128">
        <v>12273.445639</v>
      </c>
      <c r="D128">
        <v>5826.5865944615862</v>
      </c>
    </row>
    <row r="129" spans="1:4" x14ac:dyDescent="0.2">
      <c r="A129" s="29"/>
      <c r="B129" s="328" t="s">
        <v>15</v>
      </c>
      <c r="C129">
        <v>81520.145294550006</v>
      </c>
      <c r="D129">
        <v>6347.9737140866082</v>
      </c>
    </row>
    <row r="130" spans="1:4" x14ac:dyDescent="0.2">
      <c r="A130" s="29">
        <v>45399</v>
      </c>
      <c r="B130" s="328" t="s">
        <v>14</v>
      </c>
      <c r="C130">
        <v>12273.445639</v>
      </c>
      <c r="D130">
        <v>6072.8746370035333</v>
      </c>
    </row>
    <row r="131" spans="1:4" x14ac:dyDescent="0.2">
      <c r="A131" s="29"/>
      <c r="B131" s="328" t="s">
        <v>15</v>
      </c>
      <c r="C131">
        <v>81520.145294550006</v>
      </c>
      <c r="D131">
        <v>6368.6618965594598</v>
      </c>
    </row>
    <row r="132" spans="1:4" x14ac:dyDescent="0.2">
      <c r="A132" s="29">
        <v>45398</v>
      </c>
      <c r="B132" s="328" t="s">
        <v>14</v>
      </c>
      <c r="C132">
        <v>12273.445639</v>
      </c>
      <c r="D132">
        <v>6092.9547304756752</v>
      </c>
    </row>
    <row r="133" spans="1:4" x14ac:dyDescent="0.2">
      <c r="A133" s="29"/>
      <c r="B133" s="328" t="s">
        <v>15</v>
      </c>
      <c r="C133">
        <v>81520.145294550006</v>
      </c>
      <c r="D133">
        <v>6510.1148374731101</v>
      </c>
    </row>
    <row r="134" spans="1:4" x14ac:dyDescent="0.2">
      <c r="A134" s="29">
        <v>45397</v>
      </c>
      <c r="B134" s="328" t="s">
        <v>14</v>
      </c>
      <c r="C134">
        <v>12273.445639</v>
      </c>
      <c r="D134">
        <v>6105.4965963708009</v>
      </c>
    </row>
    <row r="135" spans="1:4" x14ac:dyDescent="0.2">
      <c r="A135" s="29"/>
      <c r="B135" s="328" t="s">
        <v>15</v>
      </c>
      <c r="C135">
        <v>81520.145294550006</v>
      </c>
      <c r="D135">
        <v>6485.9367775801993</v>
      </c>
    </row>
    <row r="136" spans="1:4" x14ac:dyDescent="0.2">
      <c r="A136" s="29">
        <v>45396</v>
      </c>
      <c r="B136" s="328" t="s">
        <v>14</v>
      </c>
      <c r="C136">
        <v>12273.445639</v>
      </c>
      <c r="D136">
        <v>6199.8015796893596</v>
      </c>
    </row>
    <row r="137" spans="1:4" x14ac:dyDescent="0.2">
      <c r="A137" s="29"/>
      <c r="B137" s="328" t="s">
        <v>15</v>
      </c>
      <c r="C137">
        <v>81520.145294550006</v>
      </c>
      <c r="D137">
        <v>6816.7055823142891</v>
      </c>
    </row>
    <row r="138" spans="1:4" x14ac:dyDescent="0.2">
      <c r="A138" s="29">
        <v>45395</v>
      </c>
      <c r="B138" s="328" t="s">
        <v>14</v>
      </c>
      <c r="C138">
        <v>12273.445639</v>
      </c>
      <c r="D138">
        <v>5901.8949840890136</v>
      </c>
    </row>
    <row r="139" spans="1:4" x14ac:dyDescent="0.2">
      <c r="A139" s="29"/>
      <c r="B139" s="328" t="s">
        <v>15</v>
      </c>
      <c r="C139">
        <v>81520.145294550006</v>
      </c>
      <c r="D139">
        <v>6458.3699252473943</v>
      </c>
    </row>
    <row r="140" spans="1:4" x14ac:dyDescent="0.2">
      <c r="A140" s="29">
        <v>45394</v>
      </c>
      <c r="B140" s="328" t="s">
        <v>14</v>
      </c>
      <c r="C140">
        <v>12273.445639</v>
      </c>
      <c r="D140">
        <v>6731.5216104186293</v>
      </c>
    </row>
    <row r="141" spans="1:4" x14ac:dyDescent="0.2">
      <c r="A141" s="29"/>
      <c r="B141" s="328" t="s">
        <v>15</v>
      </c>
      <c r="C141">
        <v>81520.145294550006</v>
      </c>
      <c r="D141">
        <v>7155.1625519511081</v>
      </c>
    </row>
    <row r="142" spans="1:4" x14ac:dyDescent="0.2">
      <c r="A142" s="29">
        <v>45393</v>
      </c>
      <c r="B142" s="328" t="s">
        <v>14</v>
      </c>
      <c r="C142">
        <v>12273.445639</v>
      </c>
      <c r="D142">
        <v>7472.7304570993438</v>
      </c>
    </row>
    <row r="143" spans="1:4" x14ac:dyDescent="0.2">
      <c r="A143" s="29"/>
      <c r="B143" s="328" t="s">
        <v>15</v>
      </c>
      <c r="C143">
        <v>81520.145294550006</v>
      </c>
      <c r="D143">
        <v>8142.4130867422082</v>
      </c>
    </row>
    <row r="144" spans="1:4" x14ac:dyDescent="0.2">
      <c r="A144" s="29">
        <v>45392</v>
      </c>
      <c r="B144" s="328" t="s">
        <v>14</v>
      </c>
      <c r="C144">
        <v>12273.445639</v>
      </c>
      <c r="D144">
        <v>7577.2908861249389</v>
      </c>
    </row>
    <row r="145" spans="1:4" x14ac:dyDescent="0.2">
      <c r="A145" s="29"/>
      <c r="B145" s="328" t="s">
        <v>15</v>
      </c>
      <c r="C145">
        <v>81520.145294550006</v>
      </c>
      <c r="D145">
        <v>8326.240199179967</v>
      </c>
    </row>
    <row r="146" spans="1:4" x14ac:dyDescent="0.2">
      <c r="A146" s="29">
        <v>45391</v>
      </c>
      <c r="B146" s="328" t="s">
        <v>14</v>
      </c>
      <c r="C146">
        <v>12273.445639</v>
      </c>
      <c r="D146">
        <v>7532.1392115737281</v>
      </c>
    </row>
    <row r="147" spans="1:4" x14ac:dyDescent="0.2">
      <c r="A147" s="29"/>
      <c r="B147" s="328" t="s">
        <v>15</v>
      </c>
      <c r="C147">
        <v>81520.145294550006</v>
      </c>
      <c r="D147">
        <v>8435.5049107240629</v>
      </c>
    </row>
    <row r="148" spans="1:4" x14ac:dyDescent="0.2">
      <c r="A148" s="29">
        <v>45390</v>
      </c>
      <c r="B148" s="328" t="s">
        <v>14</v>
      </c>
      <c r="C148">
        <v>12273.445639</v>
      </c>
      <c r="D148">
        <v>7554.8391947519722</v>
      </c>
    </row>
    <row r="149" spans="1:4" x14ac:dyDescent="0.2">
      <c r="A149" s="29"/>
      <c r="B149" s="328" t="s">
        <v>15</v>
      </c>
      <c r="C149">
        <v>81520.145294550006</v>
      </c>
      <c r="D149">
        <v>8922.5519099950707</v>
      </c>
    </row>
    <row r="150" spans="1:4" x14ac:dyDescent="0.2">
      <c r="A150" s="29">
        <v>45389</v>
      </c>
      <c r="B150" s="328" t="s">
        <v>14</v>
      </c>
      <c r="C150">
        <v>12273.445639</v>
      </c>
      <c r="D150">
        <v>7298.6572822115149</v>
      </c>
    </row>
    <row r="151" spans="1:4" x14ac:dyDescent="0.2">
      <c r="A151" s="29"/>
      <c r="B151" s="328" t="s">
        <v>15</v>
      </c>
      <c r="C151">
        <v>81520.145294550006</v>
      </c>
      <c r="D151">
        <v>8623.4708009384249</v>
      </c>
    </row>
    <row r="152" spans="1:4" x14ac:dyDescent="0.2">
      <c r="A152" s="29">
        <v>45388</v>
      </c>
      <c r="B152" s="328" t="s">
        <v>14</v>
      </c>
      <c r="C152">
        <v>12273.445639</v>
      </c>
      <c r="D152">
        <v>7283.0525779571772</v>
      </c>
    </row>
    <row r="153" spans="1:4" x14ac:dyDescent="0.2">
      <c r="A153" s="29"/>
      <c r="B153" s="328" t="s">
        <v>15</v>
      </c>
      <c r="C153">
        <v>81520.145294550006</v>
      </c>
      <c r="D153">
        <v>8640.3617750434551</v>
      </c>
    </row>
    <row r="154" spans="1:4" x14ac:dyDescent="0.2">
      <c r="A154" s="29">
        <v>45387</v>
      </c>
      <c r="B154" s="328" t="s">
        <v>14</v>
      </c>
      <c r="C154">
        <v>12273.445639</v>
      </c>
      <c r="D154">
        <v>7217.5009639404734</v>
      </c>
    </row>
    <row r="155" spans="1:4" x14ac:dyDescent="0.2">
      <c r="A155" s="29"/>
      <c r="B155" s="328" t="s">
        <v>15</v>
      </c>
      <c r="C155">
        <v>81520.145294550006</v>
      </c>
      <c r="D155">
        <v>8548.8521511445124</v>
      </c>
    </row>
    <row r="156" spans="1:4" x14ac:dyDescent="0.2">
      <c r="A156" s="29">
        <v>45386</v>
      </c>
      <c r="B156" s="328" t="s">
        <v>14</v>
      </c>
      <c r="C156">
        <v>12273.445639</v>
      </c>
      <c r="D156">
        <v>7283.8289961283008</v>
      </c>
    </row>
    <row r="157" spans="1:4" x14ac:dyDescent="0.2">
      <c r="A157" s="29"/>
      <c r="B157" s="328" t="s">
        <v>15</v>
      </c>
      <c r="C157">
        <v>81520.145294550006</v>
      </c>
      <c r="D157">
        <v>8581.4642852695961</v>
      </c>
    </row>
    <row r="158" spans="1:4" x14ac:dyDescent="0.2">
      <c r="A158" s="29">
        <v>45385</v>
      </c>
      <c r="B158" s="328" t="s">
        <v>14</v>
      </c>
      <c r="C158">
        <v>12273.445639</v>
      </c>
      <c r="D158">
        <v>7062.0241456814874</v>
      </c>
    </row>
    <row r="159" spans="1:4" x14ac:dyDescent="0.2">
      <c r="A159" s="29"/>
      <c r="B159" s="328" t="s">
        <v>15</v>
      </c>
      <c r="C159">
        <v>81520.145294550006</v>
      </c>
      <c r="D159">
        <v>8392.6677047746834</v>
      </c>
    </row>
    <row r="160" spans="1:4" x14ac:dyDescent="0.2">
      <c r="A160" s="29">
        <v>45384</v>
      </c>
      <c r="B160" s="328" t="s">
        <v>14</v>
      </c>
      <c r="C160">
        <v>12273.445639</v>
      </c>
      <c r="D160">
        <v>7182.8770828550278</v>
      </c>
    </row>
    <row r="161" spans="1:4" x14ac:dyDescent="0.2">
      <c r="A161" s="29"/>
      <c r="B161" s="328" t="s">
        <v>15</v>
      </c>
      <c r="C161">
        <v>81520.145294550006</v>
      </c>
      <c r="D161">
        <v>8445.5188453720457</v>
      </c>
    </row>
    <row r="162" spans="1:4" x14ac:dyDescent="0.2">
      <c r="A162" s="29">
        <v>45383</v>
      </c>
      <c r="B162" s="328" t="s">
        <v>14</v>
      </c>
      <c r="C162">
        <v>12273.445639</v>
      </c>
      <c r="D162">
        <v>7513.2228862170759</v>
      </c>
    </row>
    <row r="163" spans="1:4" x14ac:dyDescent="0.2">
      <c r="A163" s="29"/>
      <c r="B163" s="328" t="s">
        <v>15</v>
      </c>
      <c r="C163">
        <v>81520.145294550006</v>
      </c>
      <c r="D163">
        <v>8967.3985875259605</v>
      </c>
    </row>
    <row r="164" spans="1:4" x14ac:dyDescent="0.2">
      <c r="A164" s="29">
        <v>45382</v>
      </c>
      <c r="B164" s="328" t="s">
        <v>14</v>
      </c>
      <c r="C164">
        <v>12273.445639</v>
      </c>
      <c r="D164">
        <v>7719.5386482674712</v>
      </c>
    </row>
    <row r="165" spans="1:4" x14ac:dyDescent="0.2">
      <c r="A165" s="29"/>
      <c r="B165" s="328" t="s">
        <v>15</v>
      </c>
      <c r="C165">
        <v>81520.145294550006</v>
      </c>
      <c r="D165">
        <v>9433.2210017680791</v>
      </c>
    </row>
    <row r="166" spans="1:4" x14ac:dyDescent="0.2">
      <c r="A166" s="29">
        <v>45381</v>
      </c>
      <c r="B166" s="328" t="s">
        <v>14</v>
      </c>
      <c r="C166">
        <v>12273.445639</v>
      </c>
      <c r="D166">
        <v>7621.9375083881032</v>
      </c>
    </row>
    <row r="167" spans="1:4" x14ac:dyDescent="0.2">
      <c r="A167" s="29"/>
      <c r="B167" s="328" t="s">
        <v>15</v>
      </c>
      <c r="C167">
        <v>81520.145294550006</v>
      </c>
      <c r="D167">
        <v>9263.3566598163707</v>
      </c>
    </row>
    <row r="168" spans="1:4" x14ac:dyDescent="0.2">
      <c r="A168" s="29">
        <v>45380</v>
      </c>
      <c r="B168" s="328" t="s">
        <v>14</v>
      </c>
      <c r="C168">
        <v>12273.445639</v>
      </c>
      <c r="D168">
        <v>7739.4491227208828</v>
      </c>
    </row>
    <row r="169" spans="1:4" x14ac:dyDescent="0.2">
      <c r="A169" s="29"/>
      <c r="B169" s="328" t="s">
        <v>15</v>
      </c>
      <c r="C169">
        <v>81520.145294550006</v>
      </c>
      <c r="D169">
        <v>9479.0222802003682</v>
      </c>
    </row>
    <row r="170" spans="1:4" x14ac:dyDescent="0.2">
      <c r="A170" s="29">
        <v>45379</v>
      </c>
      <c r="B170" s="328" t="s">
        <v>14</v>
      </c>
      <c r="C170">
        <v>12273.445639</v>
      </c>
      <c r="D170">
        <v>7659.6209140024366</v>
      </c>
    </row>
    <row r="171" spans="1:4" x14ac:dyDescent="0.2">
      <c r="A171" s="29"/>
      <c r="B171" s="328" t="s">
        <v>15</v>
      </c>
      <c r="C171">
        <v>81520.145294550006</v>
      </c>
      <c r="D171">
        <v>9470.7936367343373</v>
      </c>
    </row>
    <row r="172" spans="1:4" x14ac:dyDescent="0.2">
      <c r="A172" s="29">
        <v>45378</v>
      </c>
      <c r="B172" s="328" t="s">
        <v>14</v>
      </c>
      <c r="C172">
        <v>12273.445639</v>
      </c>
      <c r="D172">
        <v>7515.0512614139179</v>
      </c>
    </row>
    <row r="173" spans="1:4" x14ac:dyDescent="0.2">
      <c r="A173" s="29"/>
      <c r="B173" s="328" t="s">
        <v>15</v>
      </c>
      <c r="C173">
        <v>81520.145294550006</v>
      </c>
      <c r="D173">
        <v>9267.4269606709295</v>
      </c>
    </row>
    <row r="174" spans="1:4" x14ac:dyDescent="0.2">
      <c r="A174" s="29">
        <v>45377</v>
      </c>
      <c r="B174" s="328" t="s">
        <v>14</v>
      </c>
      <c r="C174">
        <v>12273.445639</v>
      </c>
      <c r="D174">
        <v>7767.4454658957238</v>
      </c>
    </row>
    <row r="175" spans="1:4" x14ac:dyDescent="0.2">
      <c r="A175" s="29"/>
      <c r="B175" s="328" t="s">
        <v>15</v>
      </c>
      <c r="C175">
        <v>81520.145294550006</v>
      </c>
      <c r="D175">
        <v>9794.9421904690553</v>
      </c>
    </row>
    <row r="176" spans="1:4" x14ac:dyDescent="0.2">
      <c r="A176" s="29">
        <v>45376</v>
      </c>
      <c r="B176" s="328" t="s">
        <v>14</v>
      </c>
      <c r="C176">
        <v>12273.445639</v>
      </c>
      <c r="D176">
        <v>7855.4668132504839</v>
      </c>
    </row>
    <row r="177" spans="1:4" x14ac:dyDescent="0.2">
      <c r="A177" s="29"/>
      <c r="B177" s="328" t="s">
        <v>15</v>
      </c>
      <c r="C177">
        <v>81520.145294550006</v>
      </c>
      <c r="D177">
        <v>9525.310233900067</v>
      </c>
    </row>
    <row r="178" spans="1:4" x14ac:dyDescent="0.2">
      <c r="A178" s="29">
        <v>45375</v>
      </c>
      <c r="B178" s="328" t="s">
        <v>14</v>
      </c>
      <c r="C178">
        <v>12273.445639</v>
      </c>
      <c r="D178">
        <v>7777.8275735617544</v>
      </c>
    </row>
    <row r="179" spans="1:4" x14ac:dyDescent="0.2">
      <c r="A179" s="29"/>
      <c r="B179" s="328" t="s">
        <v>15</v>
      </c>
      <c r="C179">
        <v>81520.145294550006</v>
      </c>
      <c r="D179">
        <v>8954.3521034730202</v>
      </c>
    </row>
    <row r="180" spans="1:4" x14ac:dyDescent="0.2">
      <c r="A180" s="29">
        <v>45374</v>
      </c>
      <c r="B180" s="328" t="s">
        <v>14</v>
      </c>
      <c r="C180">
        <v>12273.445639</v>
      </c>
      <c r="D180">
        <v>7586.4720371351923</v>
      </c>
    </row>
    <row r="181" spans="1:4" x14ac:dyDescent="0.2">
      <c r="A181" s="29"/>
      <c r="B181" s="328" t="s">
        <v>15</v>
      </c>
      <c r="C181">
        <v>81520.145294550006</v>
      </c>
      <c r="D181">
        <v>8715.5665546820364</v>
      </c>
    </row>
    <row r="182" spans="1:4" x14ac:dyDescent="0.2">
      <c r="A182" s="29">
        <v>45373</v>
      </c>
      <c r="B182" s="328" t="s">
        <v>14</v>
      </c>
      <c r="C182">
        <v>12273.445639</v>
      </c>
      <c r="D182">
        <v>7493.8401699261422</v>
      </c>
    </row>
    <row r="183" spans="1:4" x14ac:dyDescent="0.2">
      <c r="A183" s="29"/>
      <c r="B183" s="328" t="s">
        <v>15</v>
      </c>
      <c r="C183">
        <v>81520.145294550006</v>
      </c>
      <c r="D183">
        <v>8653.4661383995535</v>
      </c>
    </row>
    <row r="184" spans="1:4" x14ac:dyDescent="0.2">
      <c r="A184" s="29">
        <v>45372</v>
      </c>
      <c r="B184" s="328" t="s">
        <v>14</v>
      </c>
      <c r="C184">
        <v>12273.445639</v>
      </c>
      <c r="D184">
        <v>7871.31735462097</v>
      </c>
    </row>
    <row r="185" spans="1:4" x14ac:dyDescent="0.2">
      <c r="A185" s="29"/>
      <c r="B185" s="328" t="s">
        <v>15</v>
      </c>
      <c r="C185">
        <v>81520.145294550006</v>
      </c>
      <c r="D185">
        <v>8965.3035197918907</v>
      </c>
    </row>
    <row r="186" spans="1:4" x14ac:dyDescent="0.2">
      <c r="A186" s="29">
        <v>45371</v>
      </c>
      <c r="B186" s="328" t="s">
        <v>14</v>
      </c>
      <c r="C186">
        <v>12273.445639</v>
      </c>
      <c r="D186">
        <v>7507.6860894204101</v>
      </c>
    </row>
    <row r="187" spans="1:4" x14ac:dyDescent="0.2">
      <c r="A187" s="29"/>
      <c r="B187" s="328" t="s">
        <v>15</v>
      </c>
      <c r="C187">
        <v>81520.145294550006</v>
      </c>
      <c r="D187">
        <v>9081.1037013842524</v>
      </c>
    </row>
    <row r="188" spans="1:4" x14ac:dyDescent="0.2">
      <c r="A188" s="29">
        <v>45370</v>
      </c>
      <c r="B188" s="328" t="s">
        <v>14</v>
      </c>
      <c r="C188">
        <v>12273.445639</v>
      </c>
      <c r="D188">
        <v>7182.9113257683603</v>
      </c>
    </row>
    <row r="189" spans="1:4" x14ac:dyDescent="0.2">
      <c r="A189" s="29"/>
      <c r="B189" s="328" t="s">
        <v>15</v>
      </c>
      <c r="C189">
        <v>81520.145294550006</v>
      </c>
      <c r="D189">
        <v>8261.7055913589884</v>
      </c>
    </row>
    <row r="190" spans="1:4" x14ac:dyDescent="0.2">
      <c r="A190" s="29">
        <v>45369</v>
      </c>
      <c r="B190" s="328" t="s">
        <v>14</v>
      </c>
      <c r="C190">
        <v>12273.445639</v>
      </c>
      <c r="D190">
        <v>8025.6873535522309</v>
      </c>
    </row>
    <row r="191" spans="1:4" x14ac:dyDescent="0.2">
      <c r="A191" s="29"/>
      <c r="B191" s="328" t="s">
        <v>15</v>
      </c>
      <c r="C191">
        <v>81520.145294550006</v>
      </c>
      <c r="D191">
        <v>9119.7931623410459</v>
      </c>
    </row>
    <row r="192" spans="1:4" x14ac:dyDescent="0.2">
      <c r="A192" s="29">
        <v>45368</v>
      </c>
      <c r="B192" s="328" t="s">
        <v>14</v>
      </c>
      <c r="C192">
        <v>12273.445639</v>
      </c>
      <c r="D192">
        <v>7599.0674152533038</v>
      </c>
    </row>
    <row r="193" spans="1:4" x14ac:dyDescent="0.2">
      <c r="A193" s="29"/>
      <c r="B193" s="328" t="s">
        <v>15</v>
      </c>
      <c r="C193">
        <v>81520.145294550006</v>
      </c>
      <c r="D193">
        <v>9490.5247727014284</v>
      </c>
    </row>
    <row r="194" spans="1:4" x14ac:dyDescent="0.2">
      <c r="A194" s="29">
        <v>45367</v>
      </c>
      <c r="B194" s="328" t="s">
        <v>14</v>
      </c>
      <c r="C194">
        <v>12273.445639</v>
      </c>
      <c r="D194">
        <v>7392.3863954606904</v>
      </c>
    </row>
    <row r="195" spans="1:4" x14ac:dyDescent="0.2">
      <c r="A195" s="29"/>
      <c r="B195" s="328" t="s">
        <v>15</v>
      </c>
      <c r="C195">
        <v>81520.145294550006</v>
      </c>
      <c r="D195">
        <v>9003.563369582982</v>
      </c>
    </row>
    <row r="196" spans="1:4" x14ac:dyDescent="0.2">
      <c r="A196" s="29">
        <v>45366</v>
      </c>
      <c r="B196" s="328" t="s">
        <v>14</v>
      </c>
      <c r="C196">
        <v>12273.445639</v>
      </c>
      <c r="D196">
        <v>7784.6015336788296</v>
      </c>
    </row>
    <row r="197" spans="1:4" x14ac:dyDescent="0.2">
      <c r="A197" s="29"/>
      <c r="B197" s="328" t="s">
        <v>15</v>
      </c>
      <c r="C197">
        <v>81520.145294550006</v>
      </c>
      <c r="D197">
        <v>9812.8635792106088</v>
      </c>
    </row>
    <row r="198" spans="1:4" x14ac:dyDescent="0.2">
      <c r="A198" s="29">
        <v>45365</v>
      </c>
      <c r="B198" s="328" t="s">
        <v>14</v>
      </c>
      <c r="C198">
        <v>12273.445639</v>
      </c>
      <c r="D198">
        <v>8213.0880175905386</v>
      </c>
    </row>
    <row r="199" spans="1:4" x14ac:dyDescent="0.2">
      <c r="A199" s="29"/>
      <c r="B199" s="328" t="s">
        <v>15</v>
      </c>
      <c r="C199">
        <v>81520.145294550006</v>
      </c>
      <c r="D199">
        <v>10354.295113011971</v>
      </c>
    </row>
    <row r="200" spans="1:4" x14ac:dyDescent="0.2">
      <c r="A200" s="29">
        <v>45364</v>
      </c>
      <c r="B200" s="328" t="s">
        <v>14</v>
      </c>
      <c r="C200">
        <v>12273.445639</v>
      </c>
      <c r="D200">
        <v>8464.4377518484653</v>
      </c>
    </row>
    <row r="201" spans="1:4" x14ac:dyDescent="0.2">
      <c r="A201" s="29"/>
      <c r="B201" s="328" t="s">
        <v>15</v>
      </c>
      <c r="C201">
        <v>81520.145294550006</v>
      </c>
      <c r="D201">
        <v>10792.87920110682</v>
      </c>
    </row>
    <row r="202" spans="1:4" x14ac:dyDescent="0.2">
      <c r="A202" s="29">
        <v>45363</v>
      </c>
      <c r="B202" s="328" t="s">
        <v>14</v>
      </c>
      <c r="C202">
        <v>12273.445639</v>
      </c>
      <c r="D202">
        <v>8452.638674883412</v>
      </c>
    </row>
    <row r="203" spans="1:4" x14ac:dyDescent="0.2">
      <c r="A203" s="29"/>
      <c r="B203" s="328" t="s">
        <v>15</v>
      </c>
      <c r="C203">
        <v>81520.145294550006</v>
      </c>
      <c r="D203">
        <v>10838.618524228679</v>
      </c>
    </row>
    <row r="204" spans="1:4" x14ac:dyDescent="0.2">
      <c r="A204" s="29">
        <v>45362</v>
      </c>
      <c r="B204" s="328" t="s">
        <v>14</v>
      </c>
      <c r="C204">
        <v>12273.445639</v>
      </c>
      <c r="D204">
        <v>8800.6649903607213</v>
      </c>
    </row>
    <row r="205" spans="1:4" x14ac:dyDescent="0.2">
      <c r="A205" s="29"/>
      <c r="B205" s="328" t="s">
        <v>15</v>
      </c>
      <c r="C205">
        <v>81520.145294550006</v>
      </c>
      <c r="D205">
        <v>10812.17828030385</v>
      </c>
    </row>
    <row r="206" spans="1:4" x14ac:dyDescent="0.2">
      <c r="A206" s="29">
        <v>45361</v>
      </c>
      <c r="B206" s="328" t="s">
        <v>14</v>
      </c>
      <c r="C206">
        <v>12273.445639</v>
      </c>
      <c r="D206">
        <v>7469.0795979595669</v>
      </c>
    </row>
    <row r="207" spans="1:4" x14ac:dyDescent="0.2">
      <c r="A207" s="29"/>
      <c r="B207" s="328" t="s">
        <v>15</v>
      </c>
      <c r="C207">
        <v>81520.145294550006</v>
      </c>
      <c r="D207">
        <v>10261.50806843626</v>
      </c>
    </row>
    <row r="208" spans="1:4" x14ac:dyDescent="0.2">
      <c r="A208" s="29">
        <v>45360</v>
      </c>
      <c r="B208" s="328" t="s">
        <v>14</v>
      </c>
      <c r="C208">
        <v>12273.445639</v>
      </c>
      <c r="D208">
        <v>7640.3945614089434</v>
      </c>
    </row>
    <row r="209" spans="1:4" x14ac:dyDescent="0.2">
      <c r="A209" s="29"/>
      <c r="B209" s="328" t="s">
        <v>15</v>
      </c>
      <c r="C209">
        <v>81520.145294550006</v>
      </c>
      <c r="D209">
        <v>10645.387247829751</v>
      </c>
    </row>
    <row r="210" spans="1:4" x14ac:dyDescent="0.2">
      <c r="A210" s="29">
        <v>45359</v>
      </c>
      <c r="B210" s="328" t="s">
        <v>14</v>
      </c>
      <c r="C210">
        <v>12273.445639</v>
      </c>
      <c r="D210">
        <v>7627.7309429330799</v>
      </c>
    </row>
    <row r="211" spans="1:4" x14ac:dyDescent="0.2">
      <c r="A211" s="29"/>
      <c r="B211" s="328" t="s">
        <v>15</v>
      </c>
      <c r="C211">
        <v>81520.145294550006</v>
      </c>
      <c r="D211">
        <v>10647.45215311006</v>
      </c>
    </row>
    <row r="212" spans="1:4" x14ac:dyDescent="0.2">
      <c r="A212" s="29">
        <v>45358</v>
      </c>
      <c r="B212" s="328" t="s">
        <v>14</v>
      </c>
      <c r="C212">
        <v>12273.445639</v>
      </c>
      <c r="D212">
        <v>7712.3899798550356</v>
      </c>
    </row>
    <row r="213" spans="1:4" x14ac:dyDescent="0.2">
      <c r="A213" s="29"/>
      <c r="B213" s="328" t="s">
        <v>15</v>
      </c>
      <c r="C213">
        <v>81520.145294550006</v>
      </c>
      <c r="D213">
        <v>10917.71099959636</v>
      </c>
    </row>
    <row r="214" spans="1:4" x14ac:dyDescent="0.2">
      <c r="A214" s="29">
        <v>45357</v>
      </c>
      <c r="B214" s="328" t="s">
        <v>14</v>
      </c>
      <c r="C214">
        <v>12273.445639</v>
      </c>
      <c r="D214">
        <v>7522.5905936010431</v>
      </c>
    </row>
    <row r="215" spans="1:4" x14ac:dyDescent="0.2">
      <c r="A215" s="29"/>
      <c r="B215" s="328" t="s">
        <v>15</v>
      </c>
      <c r="C215">
        <v>81520.145294550006</v>
      </c>
      <c r="D215">
        <v>10266.750628980149</v>
      </c>
    </row>
    <row r="216" spans="1:4" x14ac:dyDescent="0.2">
      <c r="A216" s="29">
        <v>45356</v>
      </c>
      <c r="B216" s="328" t="s">
        <v>14</v>
      </c>
      <c r="C216">
        <v>12273.445639</v>
      </c>
      <c r="D216">
        <v>7306.176854151161</v>
      </c>
    </row>
    <row r="217" spans="1:4" x14ac:dyDescent="0.2">
      <c r="A217" s="29"/>
      <c r="B217" s="328" t="s">
        <v>15</v>
      </c>
      <c r="C217">
        <v>81520.145294550006</v>
      </c>
      <c r="D217">
        <v>9138.1180758018072</v>
      </c>
    </row>
    <row r="218" spans="1:4" x14ac:dyDescent="0.2">
      <c r="A218" s="29">
        <v>45355</v>
      </c>
      <c r="B218" s="328" t="s">
        <v>14</v>
      </c>
      <c r="C218">
        <v>12273.445639</v>
      </c>
      <c r="D218">
        <v>7992.1956978269836</v>
      </c>
    </row>
    <row r="219" spans="1:4" x14ac:dyDescent="0.2">
      <c r="A219" s="29"/>
      <c r="B219" s="328" t="s">
        <v>15</v>
      </c>
      <c r="C219">
        <v>81520.145294550006</v>
      </c>
      <c r="D219">
        <v>9599.1365078817162</v>
      </c>
    </row>
    <row r="220" spans="1:4" x14ac:dyDescent="0.2">
      <c r="A220" s="29">
        <v>45354</v>
      </c>
      <c r="B220" s="328" t="s">
        <v>14</v>
      </c>
      <c r="C220">
        <v>12273.445639</v>
      </c>
      <c r="D220">
        <v>7691.7621225040257</v>
      </c>
    </row>
    <row r="221" spans="1:4" x14ac:dyDescent="0.2">
      <c r="A221" s="29"/>
      <c r="B221" s="328" t="s">
        <v>15</v>
      </c>
      <c r="C221">
        <v>81520.145294550006</v>
      </c>
      <c r="D221">
        <v>9202.1896491975112</v>
      </c>
    </row>
    <row r="222" spans="1:4" x14ac:dyDescent="0.2">
      <c r="A222" s="29">
        <v>45353</v>
      </c>
      <c r="B222" s="328" t="s">
        <v>14</v>
      </c>
      <c r="C222">
        <v>12273.445639</v>
      </c>
      <c r="D222">
        <v>7898.8846181362705</v>
      </c>
    </row>
    <row r="223" spans="1:4" x14ac:dyDescent="0.2">
      <c r="A223" s="29"/>
      <c r="B223" s="328" t="s">
        <v>15</v>
      </c>
      <c r="C223">
        <v>81520.145294550006</v>
      </c>
      <c r="D223">
        <v>9407.146783295615</v>
      </c>
    </row>
    <row r="224" spans="1:4" x14ac:dyDescent="0.2">
      <c r="A224" s="29">
        <v>45352</v>
      </c>
      <c r="B224" s="328" t="s">
        <v>14</v>
      </c>
      <c r="C224">
        <v>12273.445639</v>
      </c>
      <c r="D224">
        <v>7383.9232410203194</v>
      </c>
    </row>
    <row r="225" spans="1:4" x14ac:dyDescent="0.2">
      <c r="A225" s="29"/>
      <c r="B225" s="328" t="s">
        <v>15</v>
      </c>
      <c r="C225">
        <v>81520.145294550006</v>
      </c>
      <c r="D225">
        <v>9495.7942348932684</v>
      </c>
    </row>
    <row r="226" spans="1:4" x14ac:dyDescent="0.2">
      <c r="A226" s="29">
        <v>45351</v>
      </c>
      <c r="B226" s="328" t="s">
        <v>14</v>
      </c>
      <c r="C226">
        <v>12273.445639</v>
      </c>
      <c r="D226">
        <v>7208.031632426615</v>
      </c>
    </row>
    <row r="227" spans="1:4" x14ac:dyDescent="0.2">
      <c r="A227" s="29"/>
      <c r="B227" s="328" t="s">
        <v>15</v>
      </c>
      <c r="C227">
        <v>81520.145294550006</v>
      </c>
      <c r="D227">
        <v>9307.6424787476353</v>
      </c>
    </row>
    <row r="228" spans="1:4" x14ac:dyDescent="0.2">
      <c r="A228" s="29">
        <v>45350</v>
      </c>
      <c r="B228" s="328" t="s">
        <v>14</v>
      </c>
      <c r="C228">
        <v>12273.445639</v>
      </c>
      <c r="D228">
        <v>7076.000040965072</v>
      </c>
    </row>
    <row r="229" spans="1:4" x14ac:dyDescent="0.2">
      <c r="A229" s="29"/>
      <c r="B229" s="328" t="s">
        <v>15</v>
      </c>
      <c r="C229">
        <v>81520.145294550006</v>
      </c>
      <c r="D229">
        <v>9219.6088738440503</v>
      </c>
    </row>
    <row r="230" spans="1:4" x14ac:dyDescent="0.2">
      <c r="A230" s="29">
        <v>45349</v>
      </c>
      <c r="B230" s="328" t="s">
        <v>14</v>
      </c>
      <c r="C230">
        <v>12273.445639</v>
      </c>
      <c r="D230">
        <v>7209.1196733825118</v>
      </c>
    </row>
    <row r="231" spans="1:4" x14ac:dyDescent="0.2">
      <c r="A231" s="29"/>
      <c r="B231" s="328" t="s">
        <v>15</v>
      </c>
      <c r="C231">
        <v>81520.145294550006</v>
      </c>
      <c r="D231">
        <v>8818.2868289618873</v>
      </c>
    </row>
    <row r="232" spans="1:4" x14ac:dyDescent="0.2">
      <c r="A232" s="29">
        <v>45348</v>
      </c>
      <c r="B232" s="328" t="s">
        <v>14</v>
      </c>
      <c r="C232">
        <v>12273.445639</v>
      </c>
      <c r="D232">
        <v>6766.3542628143923</v>
      </c>
    </row>
    <row r="233" spans="1:4" x14ac:dyDescent="0.2">
      <c r="A233" s="29"/>
      <c r="B233" s="328" t="s">
        <v>15</v>
      </c>
      <c r="C233">
        <v>81520.145294550006</v>
      </c>
      <c r="D233">
        <v>9110.3457927028594</v>
      </c>
    </row>
    <row r="234" spans="1:4" x14ac:dyDescent="0.2">
      <c r="A234" s="29">
        <v>45347</v>
      </c>
      <c r="B234" s="328" t="s">
        <v>14</v>
      </c>
      <c r="C234">
        <v>12273.445639</v>
      </c>
      <c r="D234">
        <v>6659.6685639419493</v>
      </c>
    </row>
    <row r="235" spans="1:4" x14ac:dyDescent="0.2">
      <c r="A235" s="29"/>
      <c r="B235" s="328" t="s">
        <v>15</v>
      </c>
      <c r="C235">
        <v>81520.145294550006</v>
      </c>
      <c r="D235">
        <v>8923.4037955133972</v>
      </c>
    </row>
    <row r="236" spans="1:4" x14ac:dyDescent="0.2">
      <c r="A236" s="29">
        <v>45346</v>
      </c>
      <c r="B236" s="328" t="s">
        <v>14</v>
      </c>
      <c r="C236">
        <v>12273.445639</v>
      </c>
      <c r="D236">
        <v>6686.3143371586739</v>
      </c>
    </row>
    <row r="237" spans="1:4" x14ac:dyDescent="0.2">
      <c r="A237" s="29"/>
      <c r="B237" s="328" t="s">
        <v>15</v>
      </c>
      <c r="C237">
        <v>81520.145294550006</v>
      </c>
      <c r="D237">
        <v>8963.1774744026079</v>
      </c>
    </row>
    <row r="238" spans="1:4" x14ac:dyDescent="0.2">
      <c r="A238" s="29">
        <v>45345</v>
      </c>
      <c r="B238" s="328" t="s">
        <v>15</v>
      </c>
      <c r="C238">
        <v>81520.145294550006</v>
      </c>
      <c r="D238">
        <v>8931.6462974041297</v>
      </c>
    </row>
    <row r="239" spans="1:4" x14ac:dyDescent="0.2">
      <c r="A239" s="29"/>
      <c r="B239" s="328" t="s">
        <v>14</v>
      </c>
      <c r="C239">
        <v>8656.7882490000011</v>
      </c>
      <c r="D239">
        <v>4630.1361745217346</v>
      </c>
    </row>
    <row r="240" spans="1:4" x14ac:dyDescent="0.2">
      <c r="A240" s="29">
        <v>45344</v>
      </c>
      <c r="B240" s="328" t="s">
        <v>15</v>
      </c>
      <c r="C240">
        <v>81520.145294550006</v>
      </c>
      <c r="D240">
        <v>9578.2746874993882</v>
      </c>
    </row>
    <row r="241" spans="1:4" x14ac:dyDescent="0.2">
      <c r="A241" s="29"/>
      <c r="B241" s="328" t="s">
        <v>14</v>
      </c>
      <c r="C241">
        <v>8656.7882490000011</v>
      </c>
      <c r="D241">
        <v>4684.9707817594926</v>
      </c>
    </row>
    <row r="242" spans="1:4" x14ac:dyDescent="0.2">
      <c r="A242" s="29">
        <v>45343</v>
      </c>
      <c r="B242" s="328" t="s">
        <v>15</v>
      </c>
      <c r="C242">
        <v>81520.145294550006</v>
      </c>
      <c r="D242">
        <v>8527.4196897451202</v>
      </c>
    </row>
    <row r="243" spans="1:4" x14ac:dyDescent="0.2">
      <c r="A243" s="29"/>
      <c r="B243" s="328" t="s">
        <v>14</v>
      </c>
      <c r="C243">
        <v>8656.7882490000011</v>
      </c>
      <c r="D243">
        <v>4756.7406638487691</v>
      </c>
    </row>
    <row r="244" spans="1:4" x14ac:dyDescent="0.2">
      <c r="A244" s="29">
        <v>45342</v>
      </c>
      <c r="B244" s="328" t="s">
        <v>15</v>
      </c>
      <c r="C244">
        <v>81520.145294550006</v>
      </c>
      <c r="D244">
        <v>8767.5193432782526</v>
      </c>
    </row>
    <row r="245" spans="1:4" x14ac:dyDescent="0.2">
      <c r="A245" s="29"/>
      <c r="B245" s="328" t="s">
        <v>14</v>
      </c>
      <c r="C245">
        <v>8656.7882490000011</v>
      </c>
      <c r="D245">
        <v>4876.2923812214613</v>
      </c>
    </row>
    <row r="246" spans="1:4" x14ac:dyDescent="0.2">
      <c r="A246" s="29">
        <v>45341</v>
      </c>
      <c r="B246" s="328" t="s">
        <v>15</v>
      </c>
      <c r="C246">
        <v>81520.145294550006</v>
      </c>
      <c r="D246">
        <v>9027.6330076826507</v>
      </c>
    </row>
    <row r="247" spans="1:4" x14ac:dyDescent="0.2">
      <c r="A247" s="29"/>
      <c r="B247" s="328" t="s">
        <v>14</v>
      </c>
      <c r="C247">
        <v>8656.7882490000011</v>
      </c>
      <c r="D247">
        <v>4868.2402696316549</v>
      </c>
    </row>
    <row r="248" spans="1:4" x14ac:dyDescent="0.2">
      <c r="A248" s="29">
        <v>45340</v>
      </c>
      <c r="B248" s="328" t="s">
        <v>15</v>
      </c>
      <c r="C248">
        <v>81520.145294550006</v>
      </c>
      <c r="D248">
        <v>7315.6113171212937</v>
      </c>
    </row>
    <row r="249" spans="1:4" x14ac:dyDescent="0.2">
      <c r="A249" s="29"/>
      <c r="B249" s="328" t="s">
        <v>14</v>
      </c>
      <c r="C249">
        <v>8656.7882490000011</v>
      </c>
      <c r="D249">
        <v>4821.8219650653391</v>
      </c>
    </row>
    <row r="250" spans="1:4" x14ac:dyDescent="0.2">
      <c r="A250" s="29">
        <v>45339</v>
      </c>
      <c r="B250" s="328" t="s">
        <v>15</v>
      </c>
      <c r="C250">
        <v>81520.145294550006</v>
      </c>
      <c r="D250">
        <v>6802.3816775845844</v>
      </c>
    </row>
    <row r="251" spans="1:4" x14ac:dyDescent="0.2">
      <c r="A251" s="29"/>
      <c r="B251" s="328" t="s">
        <v>14</v>
      </c>
      <c r="C251">
        <v>8656.7882490000011</v>
      </c>
      <c r="D251">
        <v>4760.8267544701794</v>
      </c>
    </row>
    <row r="252" spans="1:4" x14ac:dyDescent="0.2">
      <c r="A252" s="29">
        <v>45338</v>
      </c>
      <c r="B252" s="328" t="s">
        <v>15</v>
      </c>
      <c r="C252">
        <v>81520.145294550006</v>
      </c>
      <c r="D252">
        <v>6971.5033710126572</v>
      </c>
    </row>
    <row r="253" spans="1:4" x14ac:dyDescent="0.2">
      <c r="A253" s="29"/>
      <c r="B253" s="328" t="s">
        <v>14</v>
      </c>
      <c r="C253">
        <v>8656.7882490000011</v>
      </c>
      <c r="D253">
        <v>4892.1478948746826</v>
      </c>
    </row>
    <row r="254" spans="1:4" x14ac:dyDescent="0.2">
      <c r="A254" s="29">
        <v>45337</v>
      </c>
      <c r="B254" s="328" t="s">
        <v>15</v>
      </c>
      <c r="C254">
        <v>81520.145294550006</v>
      </c>
      <c r="D254">
        <v>6742.8964275631524</v>
      </c>
    </row>
    <row r="255" spans="1:4" x14ac:dyDescent="0.2">
      <c r="A255" s="29"/>
      <c r="B255" s="328" t="s">
        <v>14</v>
      </c>
      <c r="C255">
        <v>8656.7882490000011</v>
      </c>
      <c r="D255">
        <v>4870.9222291990773</v>
      </c>
    </row>
    <row r="256" spans="1:4" x14ac:dyDescent="0.2">
      <c r="A256" s="29">
        <v>45336</v>
      </c>
      <c r="B256" s="328" t="s">
        <v>15</v>
      </c>
      <c r="C256">
        <v>81520.145294550006</v>
      </c>
      <c r="D256">
        <v>6712.8562540221092</v>
      </c>
    </row>
    <row r="257" spans="1:4" x14ac:dyDescent="0.2">
      <c r="A257" s="29"/>
      <c r="B257" s="328" t="s">
        <v>14</v>
      </c>
      <c r="C257">
        <v>8656.7882490000011</v>
      </c>
      <c r="D257">
        <v>4658.781140566145</v>
      </c>
    </row>
    <row r="258" spans="1:4" x14ac:dyDescent="0.2">
      <c r="A258" s="29">
        <v>45335</v>
      </c>
      <c r="B258" s="328" t="s">
        <v>15</v>
      </c>
      <c r="C258">
        <v>81520.145294550006</v>
      </c>
      <c r="D258">
        <v>6648.3852319144607</v>
      </c>
    </row>
    <row r="259" spans="1:4" x14ac:dyDescent="0.2">
      <c r="A259" s="29"/>
      <c r="B259" s="328" t="s">
        <v>14</v>
      </c>
      <c r="C259">
        <v>8656.7882490000011</v>
      </c>
      <c r="D259">
        <v>4545.3161841470892</v>
      </c>
    </row>
    <row r="260" spans="1:4" x14ac:dyDescent="0.2">
      <c r="A260" s="29">
        <v>45334</v>
      </c>
      <c r="B260" s="328" t="s">
        <v>15</v>
      </c>
      <c r="C260">
        <v>81520.145294550006</v>
      </c>
      <c r="D260">
        <v>6513.3960233212156</v>
      </c>
    </row>
    <row r="261" spans="1:4" x14ac:dyDescent="0.2">
      <c r="A261" s="29"/>
      <c r="B261" s="328" t="s">
        <v>14</v>
      </c>
      <c r="C261">
        <v>8656.7882490000011</v>
      </c>
      <c r="D261">
        <v>4606.8336587773119</v>
      </c>
    </row>
    <row r="262" spans="1:4" x14ac:dyDescent="0.2">
      <c r="A262" s="29">
        <v>45333</v>
      </c>
      <c r="B262" s="328" t="s">
        <v>15</v>
      </c>
      <c r="C262">
        <v>81520.145294550006</v>
      </c>
      <c r="D262">
        <v>6374.1563543523134</v>
      </c>
    </row>
    <row r="263" spans="1:4" x14ac:dyDescent="0.2">
      <c r="A263" s="29"/>
      <c r="B263" s="328" t="s">
        <v>14</v>
      </c>
      <c r="C263">
        <v>8656.7882490000011</v>
      </c>
      <c r="D263">
        <v>4552.4307655695302</v>
      </c>
    </row>
    <row r="264" spans="1:4" x14ac:dyDescent="0.2">
      <c r="A264" s="29">
        <v>45332</v>
      </c>
      <c r="B264" s="328" t="s">
        <v>15</v>
      </c>
      <c r="C264">
        <v>81520.145294550006</v>
      </c>
      <c r="D264">
        <v>6426.4759836023541</v>
      </c>
    </row>
    <row r="265" spans="1:4" x14ac:dyDescent="0.2">
      <c r="A265" s="29"/>
      <c r="B265" s="328" t="s">
        <v>14</v>
      </c>
      <c r="C265">
        <v>8656.7882490000011</v>
      </c>
      <c r="D265">
        <v>4534.5588262294696</v>
      </c>
    </row>
    <row r="266" spans="1:4" x14ac:dyDescent="0.2">
      <c r="A266" s="29">
        <v>45331</v>
      </c>
      <c r="B266" s="328" t="s">
        <v>15</v>
      </c>
      <c r="C266">
        <v>81520.145294550006</v>
      </c>
      <c r="D266">
        <v>6474.5899885566514</v>
      </c>
    </row>
    <row r="267" spans="1:4" x14ac:dyDescent="0.2">
      <c r="A267" s="29"/>
      <c r="B267" s="328" t="s">
        <v>14</v>
      </c>
      <c r="C267">
        <v>8656.7882490000011</v>
      </c>
      <c r="D267">
        <v>4550.7808682971536</v>
      </c>
    </row>
    <row r="268" spans="1:4" x14ac:dyDescent="0.2">
      <c r="A268" s="29">
        <v>45330</v>
      </c>
      <c r="B268" s="328" t="s">
        <v>15</v>
      </c>
      <c r="C268">
        <v>81520.145294550006</v>
      </c>
      <c r="D268">
        <v>6201.2129965128306</v>
      </c>
    </row>
    <row r="269" spans="1:4" x14ac:dyDescent="0.2">
      <c r="A269" s="29"/>
      <c r="B269" s="328" t="s">
        <v>14</v>
      </c>
      <c r="C269">
        <v>8656.7882490000011</v>
      </c>
      <c r="D269">
        <v>4450.1994635575547</v>
      </c>
    </row>
    <row r="270" spans="1:4" x14ac:dyDescent="0.2">
      <c r="A270" s="29">
        <v>45329</v>
      </c>
      <c r="B270" s="328" t="s">
        <v>15</v>
      </c>
      <c r="C270">
        <v>81520.145294550006</v>
      </c>
      <c r="D270">
        <v>6191.671878707557</v>
      </c>
    </row>
    <row r="271" spans="1:4" x14ac:dyDescent="0.2">
      <c r="A271" s="29"/>
      <c r="B271" s="328" t="s">
        <v>14</v>
      </c>
      <c r="C271">
        <v>8656.7882490000011</v>
      </c>
      <c r="D271">
        <v>4444.3750898557464</v>
      </c>
    </row>
    <row r="272" spans="1:4" x14ac:dyDescent="0.2">
      <c r="A272" s="29">
        <v>45328</v>
      </c>
      <c r="B272" s="328" t="s">
        <v>15</v>
      </c>
      <c r="C272">
        <v>81520.145294550006</v>
      </c>
      <c r="D272">
        <v>6105.5254651675396</v>
      </c>
    </row>
    <row r="273" spans="1:4" x14ac:dyDescent="0.2">
      <c r="A273" s="29"/>
      <c r="B273" s="328" t="s">
        <v>14</v>
      </c>
      <c r="C273">
        <v>8656.7882490000011</v>
      </c>
      <c r="D273">
        <v>4372.6260706261492</v>
      </c>
    </row>
    <row r="274" spans="1:4" x14ac:dyDescent="0.2">
      <c r="A274" s="29">
        <v>45327</v>
      </c>
      <c r="B274" s="328" t="s">
        <v>15</v>
      </c>
      <c r="C274">
        <v>81509.269995989991</v>
      </c>
      <c r="D274">
        <v>5653.1642656761805</v>
      </c>
    </row>
    <row r="275" spans="1:4" x14ac:dyDescent="0.2">
      <c r="A275" s="29"/>
      <c r="B275" s="328" t="s">
        <v>14</v>
      </c>
      <c r="C275">
        <v>8656.7882490000011</v>
      </c>
      <c r="D275">
        <v>4380.9811698046706</v>
      </c>
    </row>
    <row r="276" spans="1:4" x14ac:dyDescent="0.2">
      <c r="A276" s="29">
        <v>45326</v>
      </c>
      <c r="B276" s="328" t="s">
        <v>15</v>
      </c>
      <c r="C276">
        <v>81509.269995989991</v>
      </c>
      <c r="D276">
        <v>5580.9454222743343</v>
      </c>
    </row>
    <row r="277" spans="1:4" x14ac:dyDescent="0.2">
      <c r="A277" s="29"/>
      <c r="B277" s="328" t="s">
        <v>14</v>
      </c>
      <c r="C277">
        <v>8656.7882490000011</v>
      </c>
      <c r="D277">
        <v>4357.1339689436209</v>
      </c>
    </row>
    <row r="278" spans="1:4" x14ac:dyDescent="0.2">
      <c r="A278" s="29">
        <v>45325</v>
      </c>
      <c r="B278" s="328" t="s">
        <v>15</v>
      </c>
      <c r="C278">
        <v>81509.269995989991</v>
      </c>
      <c r="D278">
        <v>5649.9495400675387</v>
      </c>
    </row>
    <row r="279" spans="1:4" x14ac:dyDescent="0.2">
      <c r="A279" s="29"/>
      <c r="B279" s="328" t="s">
        <v>14</v>
      </c>
      <c r="C279">
        <v>8656.7882490000011</v>
      </c>
      <c r="D279">
        <v>4493.0843268642766</v>
      </c>
    </row>
    <row r="280" spans="1:4" x14ac:dyDescent="0.2">
      <c r="A280" s="29">
        <v>45324</v>
      </c>
      <c r="B280" s="328" t="s">
        <v>15</v>
      </c>
      <c r="C280">
        <v>81509.269995989991</v>
      </c>
      <c r="D280">
        <v>5639.7877793771386</v>
      </c>
    </row>
    <row r="281" spans="1:4" x14ac:dyDescent="0.2">
      <c r="A281" s="29"/>
      <c r="B281" s="328" t="s">
        <v>14</v>
      </c>
      <c r="C281">
        <v>8656.7882490000011</v>
      </c>
      <c r="D281">
        <v>4415.5384625195011</v>
      </c>
    </row>
    <row r="282" spans="1:4" x14ac:dyDescent="0.2">
      <c r="A282" s="29">
        <v>45323</v>
      </c>
      <c r="B282" s="328" t="s">
        <v>15</v>
      </c>
      <c r="C282">
        <v>81509.269995989991</v>
      </c>
      <c r="D282">
        <v>5725.2388376701356</v>
      </c>
    </row>
    <row r="283" spans="1:4" x14ac:dyDescent="0.2">
      <c r="A283" s="29"/>
      <c r="B283" s="328" t="s">
        <v>14</v>
      </c>
      <c r="C283">
        <v>8656.7882490000011</v>
      </c>
      <c r="D283">
        <v>4379.9299760075965</v>
      </c>
    </row>
    <row r="284" spans="1:4" x14ac:dyDescent="0.2">
      <c r="A284" s="29">
        <v>45322</v>
      </c>
      <c r="B284" s="328" t="s">
        <v>15</v>
      </c>
      <c r="C284">
        <v>81509.269995989991</v>
      </c>
      <c r="D284">
        <v>5663.699338823164</v>
      </c>
    </row>
    <row r="285" spans="1:4" x14ac:dyDescent="0.2">
      <c r="A285" s="29"/>
      <c r="B285" s="328" t="s">
        <v>14</v>
      </c>
      <c r="C285">
        <v>8656.7882490000011</v>
      </c>
      <c r="D285">
        <v>4352.6079403433951</v>
      </c>
    </row>
    <row r="286" spans="1:4" x14ac:dyDescent="0.2">
      <c r="A286" s="29">
        <v>45321</v>
      </c>
      <c r="B286" s="328" t="s">
        <v>15</v>
      </c>
      <c r="C286">
        <v>81509.269995989991</v>
      </c>
      <c r="D286">
        <v>5941.462553651998</v>
      </c>
    </row>
    <row r="287" spans="1:4" x14ac:dyDescent="0.2">
      <c r="A287" s="29"/>
      <c r="B287" s="328" t="s">
        <v>14</v>
      </c>
      <c r="C287">
        <v>8656.7882490000011</v>
      </c>
      <c r="D287">
        <v>4422.8776010291213</v>
      </c>
    </row>
    <row r="288" spans="1:4" x14ac:dyDescent="0.2">
      <c r="A288" s="29">
        <v>45320</v>
      </c>
      <c r="B288" s="328" t="s">
        <v>15</v>
      </c>
      <c r="C288">
        <v>81436.587381429985</v>
      </c>
      <c r="D288">
        <v>6057.2916446268318</v>
      </c>
    </row>
    <row r="289" spans="1:4" x14ac:dyDescent="0.2">
      <c r="A289" s="29"/>
      <c r="B289" s="328" t="s">
        <v>14</v>
      </c>
      <c r="C289">
        <v>8656.7882490000011</v>
      </c>
      <c r="D289">
        <v>4633.8844772656694</v>
      </c>
    </row>
    <row r="290" spans="1:4" x14ac:dyDescent="0.2">
      <c r="A290" s="29">
        <v>45319</v>
      </c>
      <c r="B290" s="328" t="s">
        <v>15</v>
      </c>
      <c r="C290">
        <v>81436.587381429985</v>
      </c>
      <c r="D290">
        <v>5973.5666891399833</v>
      </c>
    </row>
    <row r="291" spans="1:4" x14ac:dyDescent="0.2">
      <c r="A291" s="29"/>
      <c r="B291" s="328" t="s">
        <v>14</v>
      </c>
      <c r="C291">
        <v>8656.7882490000011</v>
      </c>
      <c r="D291">
        <v>4536.6025207992943</v>
      </c>
    </row>
    <row r="292" spans="1:4" x14ac:dyDescent="0.2">
      <c r="A292" s="29">
        <v>45318</v>
      </c>
      <c r="B292" s="328" t="s">
        <v>15</v>
      </c>
      <c r="C292">
        <v>81436.587381429985</v>
      </c>
      <c r="D292">
        <v>6061.1843135036643</v>
      </c>
    </row>
    <row r="293" spans="1:4" x14ac:dyDescent="0.2">
      <c r="A293" s="29"/>
      <c r="B293" s="328" t="s">
        <v>14</v>
      </c>
      <c r="C293">
        <v>8656.7882490000011</v>
      </c>
      <c r="D293">
        <v>4588.2072803413503</v>
      </c>
    </row>
    <row r="294" spans="1:4" x14ac:dyDescent="0.2">
      <c r="A294" s="29">
        <v>45317</v>
      </c>
      <c r="B294" s="328" t="s">
        <v>15</v>
      </c>
      <c r="C294">
        <v>81436.587381429985</v>
      </c>
      <c r="D294">
        <v>6061.2600495299284</v>
      </c>
    </row>
    <row r="295" spans="1:4" x14ac:dyDescent="0.2">
      <c r="A295" s="29"/>
      <c r="B295" s="328" t="s">
        <v>14</v>
      </c>
      <c r="C295">
        <v>8656.7882490000011</v>
      </c>
      <c r="D295">
        <v>4606.38653566425</v>
      </c>
    </row>
    <row r="296" spans="1:4" x14ac:dyDescent="0.2">
      <c r="A296" s="29">
        <v>45316</v>
      </c>
      <c r="B296" s="328" t="s">
        <v>15</v>
      </c>
      <c r="C296">
        <v>81436.587381429985</v>
      </c>
      <c r="D296">
        <v>5811.2049361458776</v>
      </c>
    </row>
    <row r="297" spans="1:4" x14ac:dyDescent="0.2">
      <c r="A297" s="29"/>
      <c r="B297" s="328" t="s">
        <v>14</v>
      </c>
      <c r="C297">
        <v>8656.7882490000011</v>
      </c>
      <c r="D297">
        <v>4447.7356550540071</v>
      </c>
    </row>
    <row r="298" spans="1:4" x14ac:dyDescent="0.2">
      <c r="A298" s="29">
        <v>45315</v>
      </c>
      <c r="B298" s="328" t="s">
        <v>15</v>
      </c>
      <c r="C298">
        <v>81436.587381429985</v>
      </c>
      <c r="D298">
        <v>5883.5678589612698</v>
      </c>
    </row>
    <row r="299" spans="1:4" x14ac:dyDescent="0.2">
      <c r="A299" s="29"/>
      <c r="B299" s="328" t="s">
        <v>14</v>
      </c>
      <c r="C299">
        <v>8656.7882490000011</v>
      </c>
      <c r="D299">
        <v>4487.3656525469869</v>
      </c>
    </row>
    <row r="300" spans="1:4" x14ac:dyDescent="0.2">
      <c r="A300" s="29">
        <v>45314</v>
      </c>
      <c r="B300" s="328" t="s">
        <v>15</v>
      </c>
      <c r="C300">
        <v>81436.587381429985</v>
      </c>
      <c r="D300">
        <v>5754.3809285687385</v>
      </c>
    </row>
    <row r="301" spans="1:4" x14ac:dyDescent="0.2">
      <c r="A301" s="29"/>
      <c r="B301" s="328" t="s">
        <v>14</v>
      </c>
      <c r="C301">
        <v>8656.7882490000011</v>
      </c>
      <c r="D301">
        <v>4480.4920761093981</v>
      </c>
    </row>
    <row r="302" spans="1:4" x14ac:dyDescent="0.2">
      <c r="A302" s="29">
        <v>45313</v>
      </c>
      <c r="B302" s="328" t="s">
        <v>15</v>
      </c>
      <c r="C302">
        <v>81436.587381429985</v>
      </c>
      <c r="D302">
        <v>5774.4688915781153</v>
      </c>
    </row>
    <row r="303" spans="1:4" x14ac:dyDescent="0.2">
      <c r="A303" s="29"/>
      <c r="B303" s="328" t="s">
        <v>14</v>
      </c>
      <c r="C303">
        <v>8656.7882490000011</v>
      </c>
      <c r="D303">
        <v>4548.6351101938744</v>
      </c>
    </row>
    <row r="304" spans="1:4" x14ac:dyDescent="0.2">
      <c r="A304" s="29">
        <v>45312</v>
      </c>
      <c r="B304" s="328" t="s">
        <v>15</v>
      </c>
      <c r="C304">
        <v>81436.587381429985</v>
      </c>
      <c r="D304">
        <v>6151.8362651131774</v>
      </c>
    </row>
    <row r="305" spans="1:4" x14ac:dyDescent="0.2">
      <c r="A305" s="29"/>
      <c r="B305" s="328" t="s">
        <v>14</v>
      </c>
      <c r="C305">
        <v>8656.7882490000011</v>
      </c>
      <c r="D305">
        <v>4733.4875783652487</v>
      </c>
    </row>
    <row r="306" spans="1:4" x14ac:dyDescent="0.2">
      <c r="A306" s="29">
        <v>45311</v>
      </c>
      <c r="B306" s="328" t="s">
        <v>15</v>
      </c>
      <c r="C306">
        <v>81436.587381429985</v>
      </c>
      <c r="D306">
        <v>6214.0342730916173</v>
      </c>
    </row>
    <row r="307" spans="1:4" x14ac:dyDescent="0.2">
      <c r="A307" s="29"/>
      <c r="B307" s="328" t="s">
        <v>14</v>
      </c>
      <c r="C307">
        <v>8656.7882490000011</v>
      </c>
      <c r="D307">
        <v>4784.7451141306356</v>
      </c>
    </row>
    <row r="308" spans="1:4" x14ac:dyDescent="0.2">
      <c r="A308" s="29">
        <v>45310</v>
      </c>
      <c r="B308" s="328" t="s">
        <v>15</v>
      </c>
      <c r="C308">
        <v>81436.587381429985</v>
      </c>
      <c r="D308">
        <v>6159.1044805369693</v>
      </c>
    </row>
    <row r="309" spans="1:4" x14ac:dyDescent="0.2">
      <c r="A309" s="29"/>
      <c r="B309" s="328" t="s">
        <v>14</v>
      </c>
      <c r="C309">
        <v>8656.7882490000011</v>
      </c>
      <c r="D309">
        <v>4709.1731706423989</v>
      </c>
    </row>
    <row r="310" spans="1:4" x14ac:dyDescent="0.2">
      <c r="A310" s="29">
        <v>45309</v>
      </c>
      <c r="B310" s="328" t="s">
        <v>15</v>
      </c>
      <c r="C310">
        <v>81436.587381429985</v>
      </c>
      <c r="D310">
        <v>6123.0378447174817</v>
      </c>
    </row>
    <row r="311" spans="1:4" x14ac:dyDescent="0.2">
      <c r="A311" s="29"/>
      <c r="B311" s="328" t="s">
        <v>14</v>
      </c>
      <c r="C311">
        <v>8656.7882490000011</v>
      </c>
      <c r="D311">
        <v>4775.5568856510308</v>
      </c>
    </row>
    <row r="312" spans="1:4" x14ac:dyDescent="0.2">
      <c r="A312" s="29">
        <v>45308</v>
      </c>
      <c r="B312" s="328" t="s">
        <v>15</v>
      </c>
      <c r="C312">
        <v>81436.587381429985</v>
      </c>
      <c r="D312">
        <v>6418.0997024837516</v>
      </c>
    </row>
    <row r="313" spans="1:4" x14ac:dyDescent="0.2">
      <c r="A313" s="29"/>
      <c r="B313" s="328" t="s">
        <v>14</v>
      </c>
      <c r="C313">
        <v>8656.7882490000011</v>
      </c>
      <c r="D313">
        <v>4916.1935958902832</v>
      </c>
    </row>
    <row r="314" spans="1:4" x14ac:dyDescent="0.2">
      <c r="A314" s="29">
        <v>45307</v>
      </c>
      <c r="B314" s="328" t="s">
        <v>15</v>
      </c>
      <c r="C314">
        <v>81436.587381429985</v>
      </c>
      <c r="D314">
        <v>6564.7026614536762</v>
      </c>
    </row>
    <row r="315" spans="1:4" x14ac:dyDescent="0.2">
      <c r="A315" s="29"/>
      <c r="B315" s="328" t="s">
        <v>14</v>
      </c>
      <c r="C315">
        <v>8656.7882490000011</v>
      </c>
      <c r="D315">
        <v>4984.8889330650454</v>
      </c>
    </row>
    <row r="316" spans="1:4" x14ac:dyDescent="0.2">
      <c r="A316" s="29">
        <v>45306</v>
      </c>
      <c r="B316" s="328" t="s">
        <v>15</v>
      </c>
      <c r="C316">
        <v>81436.587381429985</v>
      </c>
      <c r="D316">
        <v>6328.2409432353352</v>
      </c>
    </row>
    <row r="317" spans="1:4" x14ac:dyDescent="0.2">
      <c r="A317" s="29"/>
      <c r="B317" s="328" t="s">
        <v>14</v>
      </c>
      <c r="C317">
        <v>8656.7882490000011</v>
      </c>
      <c r="D317">
        <v>4988.0647624020721</v>
      </c>
    </row>
    <row r="318" spans="1:4" x14ac:dyDescent="0.2">
      <c r="A318" s="29">
        <v>45305</v>
      </c>
      <c r="B318" s="328" t="s">
        <v>15</v>
      </c>
      <c r="C318">
        <v>81436.587381429985</v>
      </c>
      <c r="D318">
        <v>6275.0913544808454</v>
      </c>
    </row>
    <row r="319" spans="1:4" x14ac:dyDescent="0.2">
      <c r="A319" s="29"/>
      <c r="B319" s="328" t="s">
        <v>14</v>
      </c>
      <c r="C319">
        <v>8656.7882490000011</v>
      </c>
      <c r="D319">
        <v>4983.8177420871134</v>
      </c>
    </row>
    <row r="320" spans="1:4" x14ac:dyDescent="0.2">
      <c r="A320" s="29">
        <v>45304</v>
      </c>
      <c r="B320" s="328" t="s">
        <v>15</v>
      </c>
      <c r="C320">
        <v>81436.587381429985</v>
      </c>
      <c r="D320">
        <v>6619.0298232617006</v>
      </c>
    </row>
    <row r="321" spans="1:4" x14ac:dyDescent="0.2">
      <c r="A321" s="29"/>
      <c r="B321" s="328" t="s">
        <v>14</v>
      </c>
      <c r="C321">
        <v>8656.7882490000011</v>
      </c>
      <c r="D321">
        <v>4975.7789619512096</v>
      </c>
    </row>
    <row r="322" spans="1:4" x14ac:dyDescent="0.2">
      <c r="A322" s="29">
        <v>45303</v>
      </c>
      <c r="B322" s="328" t="s">
        <v>15</v>
      </c>
      <c r="C322">
        <v>81436.587381429985</v>
      </c>
      <c r="D322">
        <v>6523.1545289375454</v>
      </c>
    </row>
    <row r="323" spans="1:4" x14ac:dyDescent="0.2">
      <c r="A323" s="29"/>
      <c r="B323" s="328" t="s">
        <v>14</v>
      </c>
      <c r="C323">
        <v>8656.7882490000011</v>
      </c>
      <c r="D323">
        <v>4949.029226558152</v>
      </c>
    </row>
    <row r="324" spans="1:4" x14ac:dyDescent="0.2">
      <c r="A324" s="29">
        <v>45302</v>
      </c>
      <c r="B324" s="328" t="s">
        <v>15</v>
      </c>
      <c r="C324">
        <v>81436.587381429985</v>
      </c>
      <c r="D324">
        <v>6843.478016109535</v>
      </c>
    </row>
    <row r="325" spans="1:4" x14ac:dyDescent="0.2">
      <c r="A325" s="29"/>
      <c r="B325" s="328" t="s">
        <v>14</v>
      </c>
      <c r="C325">
        <v>8656.7882490000011</v>
      </c>
      <c r="D325">
        <v>5206.9078499294974</v>
      </c>
    </row>
    <row r="326" spans="1:4" x14ac:dyDescent="0.2">
      <c r="A326" s="29">
        <v>45301</v>
      </c>
      <c r="B326" s="328" t="s">
        <v>15</v>
      </c>
      <c r="C326">
        <v>81436.587381429985</v>
      </c>
      <c r="D326">
        <v>6820.4412342710766</v>
      </c>
    </row>
    <row r="327" spans="1:4" x14ac:dyDescent="0.2">
      <c r="A327" s="29"/>
      <c r="B327" s="328" t="s">
        <v>14</v>
      </c>
      <c r="C327">
        <v>8656.7882490000011</v>
      </c>
      <c r="D327">
        <v>5197.102738719268</v>
      </c>
    </row>
    <row r="328" spans="1:4" x14ac:dyDescent="0.2">
      <c r="A328" s="29">
        <v>45300</v>
      </c>
      <c r="B328" s="328" t="s">
        <v>15</v>
      </c>
      <c r="C328">
        <v>81436.587381429985</v>
      </c>
      <c r="D328">
        <v>6296.8357376775602</v>
      </c>
    </row>
    <row r="329" spans="1:4" x14ac:dyDescent="0.2">
      <c r="A329" s="29"/>
      <c r="B329" s="328" t="s">
        <v>14</v>
      </c>
      <c r="C329">
        <v>8656.7882490000011</v>
      </c>
      <c r="D329">
        <v>4903.35817595349</v>
      </c>
    </row>
    <row r="330" spans="1:4" x14ac:dyDescent="0.2">
      <c r="A330" s="29">
        <v>45299</v>
      </c>
      <c r="B330" s="328" t="s">
        <v>15</v>
      </c>
      <c r="C330">
        <v>81436.587381429985</v>
      </c>
      <c r="D330">
        <v>6649.9537385880531</v>
      </c>
    </row>
    <row r="331" spans="1:4" x14ac:dyDescent="0.2">
      <c r="A331" s="29"/>
      <c r="B331" s="328" t="s">
        <v>14</v>
      </c>
      <c r="C331">
        <v>8656.7882490000011</v>
      </c>
      <c r="D331">
        <v>4998.3949078196047</v>
      </c>
    </row>
    <row r="332" spans="1:4" x14ac:dyDescent="0.2">
      <c r="A332" s="29">
        <v>45298</v>
      </c>
      <c r="B332" s="328" t="s">
        <v>15</v>
      </c>
      <c r="C332">
        <v>81436.587381429985</v>
      </c>
      <c r="D332">
        <v>6127.4460071924377</v>
      </c>
    </row>
    <row r="333" spans="1:4" x14ac:dyDescent="0.2">
      <c r="A333" s="29"/>
      <c r="B333" s="328" t="s">
        <v>14</v>
      </c>
      <c r="C333">
        <v>8656.7882490000011</v>
      </c>
      <c r="D333">
        <v>4776.8501232475492</v>
      </c>
    </row>
    <row r="334" spans="1:4" x14ac:dyDescent="0.2">
      <c r="A334" s="29">
        <v>45297</v>
      </c>
      <c r="B334" s="328" t="s">
        <v>15</v>
      </c>
      <c r="C334">
        <v>81436.587381429985</v>
      </c>
      <c r="D334">
        <v>6476.8154819857637</v>
      </c>
    </row>
    <row r="335" spans="1:4" x14ac:dyDescent="0.2">
      <c r="A335" s="29"/>
      <c r="B335" s="328" t="s">
        <v>14</v>
      </c>
      <c r="C335">
        <v>8656.7882490000011</v>
      </c>
      <c r="D335">
        <v>4916.3775526405743</v>
      </c>
    </row>
    <row r="336" spans="1:4" x14ac:dyDescent="0.2">
      <c r="A336" s="29">
        <v>45296</v>
      </c>
      <c r="B336" s="328" t="s">
        <v>15</v>
      </c>
      <c r="C336">
        <v>81436.587381429985</v>
      </c>
      <c r="D336">
        <v>6893.8693476494163</v>
      </c>
    </row>
    <row r="337" spans="1:4" x14ac:dyDescent="0.2">
      <c r="A337" s="29"/>
      <c r="B337" s="328" t="s">
        <v>14</v>
      </c>
      <c r="C337">
        <v>8656.7882490000011</v>
      </c>
      <c r="D337">
        <v>4985.4304151700198</v>
      </c>
    </row>
    <row r="338" spans="1:4" x14ac:dyDescent="0.2">
      <c r="A338" s="29">
        <v>45295</v>
      </c>
      <c r="B338" s="328" t="s">
        <v>15</v>
      </c>
      <c r="C338">
        <v>81436.587381429985</v>
      </c>
      <c r="D338">
        <v>7177.1505886850891</v>
      </c>
    </row>
    <row r="339" spans="1:4" x14ac:dyDescent="0.2">
      <c r="A339" s="29"/>
      <c r="B339" s="328" t="s">
        <v>14</v>
      </c>
      <c r="C339">
        <v>8656.7882490000011</v>
      </c>
      <c r="D339">
        <v>5083.4932139364546</v>
      </c>
    </row>
    <row r="340" spans="1:4" x14ac:dyDescent="0.2">
      <c r="A340" s="29">
        <v>45294</v>
      </c>
      <c r="B340" s="328" t="s">
        <v>15</v>
      </c>
      <c r="C340">
        <v>81436.587381429985</v>
      </c>
      <c r="D340">
        <v>7203.2094822812742</v>
      </c>
    </row>
    <row r="341" spans="1:4" x14ac:dyDescent="0.2">
      <c r="A341" s="29"/>
      <c r="B341" s="328" t="s">
        <v>14</v>
      </c>
      <c r="C341">
        <v>8656.7882490000011</v>
      </c>
      <c r="D341">
        <v>5041.9243555793464</v>
      </c>
    </row>
    <row r="342" spans="1:4" x14ac:dyDescent="0.2">
      <c r="A342" s="29">
        <v>45293</v>
      </c>
      <c r="B342" s="328" t="s">
        <v>15</v>
      </c>
      <c r="C342">
        <v>81436.587381429985</v>
      </c>
      <c r="D342">
        <v>7911.6906908163646</v>
      </c>
    </row>
    <row r="343" spans="1:4" x14ac:dyDescent="0.2">
      <c r="A343" s="29"/>
      <c r="B343" s="328" t="s">
        <v>14</v>
      </c>
      <c r="C343">
        <v>8656.7882490000011</v>
      </c>
      <c r="D343">
        <v>5435.4743285860823</v>
      </c>
    </row>
    <row r="344" spans="1:4" x14ac:dyDescent="0.2">
      <c r="A344" s="29">
        <v>45292</v>
      </c>
      <c r="B344" s="328" t="s">
        <v>15</v>
      </c>
      <c r="C344">
        <v>81436.587381429985</v>
      </c>
      <c r="D344">
        <v>7496.7973378159404</v>
      </c>
    </row>
    <row r="345" spans="1:4" x14ac:dyDescent="0.2">
      <c r="A345" s="29"/>
      <c r="B345" s="328" t="s">
        <v>14</v>
      </c>
      <c r="C345">
        <v>8656.7882490000011</v>
      </c>
      <c r="D345">
        <v>5451.0327412665974</v>
      </c>
    </row>
    <row r="346" spans="1:4" x14ac:dyDescent="0.2">
      <c r="A346" s="29">
        <v>45291</v>
      </c>
      <c r="B346" s="328" t="s">
        <v>15</v>
      </c>
      <c r="C346">
        <v>81436.587381429985</v>
      </c>
      <c r="D346">
        <v>6978.9371924621846</v>
      </c>
    </row>
    <row r="347" spans="1:4" x14ac:dyDescent="0.2">
      <c r="A347" s="29"/>
      <c r="B347" s="328" t="s">
        <v>14</v>
      </c>
      <c r="C347">
        <v>8656.7882490000011</v>
      </c>
      <c r="D347">
        <v>5311.4248903107391</v>
      </c>
    </row>
    <row r="348" spans="1:4" x14ac:dyDescent="0.2">
      <c r="A348" s="29">
        <v>45290</v>
      </c>
      <c r="B348" s="328" t="s">
        <v>15</v>
      </c>
      <c r="C348">
        <v>81436.587381429985</v>
      </c>
      <c r="D348">
        <v>7099.2198463904306</v>
      </c>
    </row>
    <row r="349" spans="1:4" x14ac:dyDescent="0.2">
      <c r="A349" s="29"/>
      <c r="B349" s="328" t="s">
        <v>14</v>
      </c>
      <c r="C349">
        <v>8656.7882490000011</v>
      </c>
      <c r="D349">
        <v>5382.5500148112314</v>
      </c>
    </row>
    <row r="350" spans="1:4" x14ac:dyDescent="0.2">
      <c r="A350" s="29">
        <v>45289</v>
      </c>
      <c r="B350" s="328" t="s">
        <v>15</v>
      </c>
      <c r="C350">
        <v>81436.587381429985</v>
      </c>
      <c r="D350">
        <v>7256.0300672227422</v>
      </c>
    </row>
    <row r="351" spans="1:4" x14ac:dyDescent="0.2">
      <c r="A351" s="29"/>
      <c r="B351" s="328" t="s">
        <v>14</v>
      </c>
      <c r="C351">
        <v>8656.7882490000011</v>
      </c>
      <c r="D351">
        <v>5393.8092067436464</v>
      </c>
    </row>
    <row r="352" spans="1:4" x14ac:dyDescent="0.2">
      <c r="A352" s="29">
        <v>45288</v>
      </c>
      <c r="B352" s="328" t="s">
        <v>15</v>
      </c>
      <c r="C352">
        <v>81436.587381429985</v>
      </c>
      <c r="D352">
        <v>7280.439869924453</v>
      </c>
    </row>
    <row r="353" spans="1:4" x14ac:dyDescent="0.2">
      <c r="A353" s="29"/>
      <c r="B353" s="328" t="s">
        <v>14</v>
      </c>
      <c r="C353">
        <v>8656.7882490000011</v>
      </c>
      <c r="D353">
        <v>5494.4419462375599</v>
      </c>
    </row>
    <row r="354" spans="1:4" x14ac:dyDescent="0.2">
      <c r="A354" s="29">
        <v>45287</v>
      </c>
      <c r="B354" s="328" t="s">
        <v>15</v>
      </c>
      <c r="C354">
        <v>81436.587381429985</v>
      </c>
      <c r="D354">
        <v>7509.0201552160197</v>
      </c>
    </row>
    <row r="355" spans="1:4" x14ac:dyDescent="0.2">
      <c r="A355" s="29"/>
      <c r="B355" s="328" t="s">
        <v>14</v>
      </c>
      <c r="C355">
        <v>8656.7882490000011</v>
      </c>
      <c r="D355">
        <v>5497.5879096551298</v>
      </c>
    </row>
    <row r="356" spans="1:4" x14ac:dyDescent="0.2">
      <c r="A356" s="29">
        <v>45286</v>
      </c>
      <c r="B356" s="328" t="s">
        <v>15</v>
      </c>
      <c r="C356">
        <v>81436.587381429985</v>
      </c>
      <c r="D356">
        <v>7291.1609966532178</v>
      </c>
    </row>
    <row r="357" spans="1:4" x14ac:dyDescent="0.2">
      <c r="A357" s="29"/>
      <c r="B357" s="328" t="s">
        <v>14</v>
      </c>
      <c r="C357">
        <v>8656.7882490000011</v>
      </c>
      <c r="D357">
        <v>5381.3611780809961</v>
      </c>
    </row>
    <row r="358" spans="1:4" x14ac:dyDescent="0.2">
      <c r="A358" s="29">
        <v>45285</v>
      </c>
      <c r="B358" s="328" t="s">
        <v>15</v>
      </c>
      <c r="C358">
        <v>81436.587381429985</v>
      </c>
      <c r="D358">
        <v>7541.0459075696399</v>
      </c>
    </row>
    <row r="359" spans="1:4" x14ac:dyDescent="0.2">
      <c r="A359" s="29"/>
      <c r="B359" s="328" t="s">
        <v>14</v>
      </c>
      <c r="C359">
        <v>8656.7882490000011</v>
      </c>
      <c r="D359">
        <v>5601.7003317536128</v>
      </c>
    </row>
    <row r="360" spans="1:4" x14ac:dyDescent="0.2">
      <c r="A360" s="29">
        <v>45284</v>
      </c>
      <c r="B360" s="328" t="s">
        <v>15</v>
      </c>
      <c r="C360">
        <v>81436.587381429985</v>
      </c>
      <c r="D360">
        <v>7347.8343465437028</v>
      </c>
    </row>
    <row r="361" spans="1:4" x14ac:dyDescent="0.2">
      <c r="A361" s="29"/>
      <c r="B361" s="328" t="s">
        <v>14</v>
      </c>
      <c r="C361">
        <v>8656.7882490000011</v>
      </c>
      <c r="D361">
        <v>5309.6196902571764</v>
      </c>
    </row>
    <row r="362" spans="1:4" x14ac:dyDescent="0.2">
      <c r="A362" s="29">
        <v>45283</v>
      </c>
      <c r="B362" s="328" t="s">
        <v>15</v>
      </c>
      <c r="C362">
        <v>81436.587381429985</v>
      </c>
      <c r="D362">
        <v>7450.4558477665378</v>
      </c>
    </row>
    <row r="363" spans="1:4" x14ac:dyDescent="0.2">
      <c r="A363" s="29"/>
      <c r="B363" s="328" t="s">
        <v>14</v>
      </c>
      <c r="C363">
        <v>8656.7882490000011</v>
      </c>
      <c r="D363">
        <v>5364.6942636651966</v>
      </c>
    </row>
    <row r="364" spans="1:4" x14ac:dyDescent="0.2">
      <c r="A364" s="29">
        <v>45282</v>
      </c>
      <c r="B364" s="328" t="s">
        <v>15</v>
      </c>
      <c r="C364">
        <v>81436.587381429985</v>
      </c>
      <c r="D364">
        <v>7413.6896716614438</v>
      </c>
    </row>
    <row r="365" spans="1:4" x14ac:dyDescent="0.2">
      <c r="A365" s="29"/>
      <c r="B365" s="328" t="s">
        <v>14</v>
      </c>
      <c r="C365">
        <v>8656.7882490000011</v>
      </c>
      <c r="D365">
        <v>5411.5980409165159</v>
      </c>
    </row>
    <row r="366" spans="1:4" x14ac:dyDescent="0.2">
      <c r="A366" s="29">
        <v>45281</v>
      </c>
      <c r="B366" s="328" t="s">
        <v>15</v>
      </c>
      <c r="C366">
        <v>81402.458867199995</v>
      </c>
      <c r="D366">
        <v>7425.6869625378313</v>
      </c>
    </row>
    <row r="367" spans="1:4" x14ac:dyDescent="0.2">
      <c r="A367" s="29"/>
      <c r="B367" s="328" t="s">
        <v>14</v>
      </c>
      <c r="C367">
        <v>8656.7882490000011</v>
      </c>
      <c r="D367">
        <v>5396.9491104094404</v>
      </c>
    </row>
    <row r="368" spans="1:4" x14ac:dyDescent="0.2">
      <c r="A368" s="29">
        <v>45280</v>
      </c>
      <c r="B368" s="328" t="s">
        <v>15</v>
      </c>
      <c r="C368">
        <v>81402.458867199995</v>
      </c>
      <c r="D368">
        <v>7095.3126411515341</v>
      </c>
    </row>
    <row r="369" spans="1:4" x14ac:dyDescent="0.2">
      <c r="A369" s="29"/>
      <c r="B369" s="328" t="s">
        <v>14</v>
      </c>
      <c r="C369">
        <v>8656.7882490000011</v>
      </c>
      <c r="D369">
        <v>5338.0579321982004</v>
      </c>
    </row>
    <row r="370" spans="1:4" x14ac:dyDescent="0.2">
      <c r="A370" s="29">
        <v>45279</v>
      </c>
      <c r="B370" s="328" t="s">
        <v>15</v>
      </c>
      <c r="C370">
        <v>81402.458867199995</v>
      </c>
      <c r="D370">
        <v>6624.2138189985644</v>
      </c>
    </row>
    <row r="371" spans="1:4" x14ac:dyDescent="0.2">
      <c r="A371" s="29"/>
      <c r="B371" s="328" t="s">
        <v>14</v>
      </c>
      <c r="C371">
        <v>8656.7882490000011</v>
      </c>
      <c r="D371">
        <v>5234.7627974783036</v>
      </c>
    </row>
    <row r="372" spans="1:4" x14ac:dyDescent="0.2">
      <c r="A372" s="29">
        <v>45278</v>
      </c>
      <c r="B372" s="328" t="s">
        <v>15</v>
      </c>
      <c r="C372">
        <v>81402.458867199995</v>
      </c>
      <c r="D372">
        <v>6457.8402174674266</v>
      </c>
    </row>
    <row r="373" spans="1:4" x14ac:dyDescent="0.2">
      <c r="A373" s="29"/>
      <c r="B373" s="328" t="s">
        <v>14</v>
      </c>
      <c r="C373">
        <v>8656.7882490000011</v>
      </c>
      <c r="D373">
        <v>5302.5714198327223</v>
      </c>
    </row>
    <row r="374" spans="1:4" x14ac:dyDescent="0.2">
      <c r="A374" s="29">
        <v>45277</v>
      </c>
      <c r="B374" s="328" t="s">
        <v>15</v>
      </c>
      <c r="C374">
        <v>81402.458867199995</v>
      </c>
      <c r="D374">
        <v>6382.5348027693799</v>
      </c>
    </row>
    <row r="375" spans="1:4" x14ac:dyDescent="0.2">
      <c r="A375" s="29"/>
      <c r="B375" s="328" t="s">
        <v>14</v>
      </c>
      <c r="C375">
        <v>8656.7882490000011</v>
      </c>
      <c r="D375">
        <v>5280.8883294660391</v>
      </c>
    </row>
    <row r="376" spans="1:4" x14ac:dyDescent="0.2">
      <c r="A376" s="29">
        <v>45276</v>
      </c>
      <c r="B376" s="328" t="s">
        <v>15</v>
      </c>
      <c r="C376">
        <v>81402.458867199995</v>
      </c>
      <c r="D376">
        <v>6496.6024403308102</v>
      </c>
    </row>
    <row r="377" spans="1:4" x14ac:dyDescent="0.2">
      <c r="A377" s="29"/>
      <c r="B377" s="328" t="s">
        <v>14</v>
      </c>
      <c r="C377">
        <v>8656.7882490000011</v>
      </c>
      <c r="D377">
        <v>5364.5104800506697</v>
      </c>
    </row>
    <row r="378" spans="1:4" x14ac:dyDescent="0.2">
      <c r="A378" s="29">
        <v>45275</v>
      </c>
      <c r="B378" s="328" t="s">
        <v>15</v>
      </c>
      <c r="C378">
        <v>81402.458867199995</v>
      </c>
      <c r="D378">
        <v>6510.152693633845</v>
      </c>
    </row>
    <row r="379" spans="1:4" x14ac:dyDescent="0.2">
      <c r="A379" s="29"/>
      <c r="B379" s="328" t="s">
        <v>14</v>
      </c>
      <c r="C379">
        <v>8656.7882490000011</v>
      </c>
      <c r="D379">
        <v>5325.557270262997</v>
      </c>
    </row>
    <row r="380" spans="1:4" x14ac:dyDescent="0.2">
      <c r="A380" s="29">
        <v>45274</v>
      </c>
      <c r="B380" s="328" t="s">
        <v>15</v>
      </c>
      <c r="C380">
        <v>81402.458867199995</v>
      </c>
      <c r="D380">
        <v>6810.1166844365334</v>
      </c>
    </row>
    <row r="381" spans="1:4" x14ac:dyDescent="0.2">
      <c r="A381" s="29"/>
      <c r="B381" s="328" t="s">
        <v>14</v>
      </c>
      <c r="C381">
        <v>8656.7882490000011</v>
      </c>
      <c r="D381">
        <v>5472.8081129960146</v>
      </c>
    </row>
    <row r="382" spans="1:4" x14ac:dyDescent="0.2">
      <c r="A382" s="29">
        <v>45273</v>
      </c>
      <c r="B382" s="328" t="s">
        <v>15</v>
      </c>
      <c r="C382">
        <v>81402.458867199995</v>
      </c>
      <c r="D382">
        <v>6246.4217512975347</v>
      </c>
    </row>
    <row r="383" spans="1:4" x14ac:dyDescent="0.2">
      <c r="A383" s="29"/>
      <c r="B383" s="328" t="s">
        <v>14</v>
      </c>
      <c r="C383">
        <v>8656.7882490000011</v>
      </c>
      <c r="D383">
        <v>5437.5044319983554</v>
      </c>
    </row>
    <row r="384" spans="1:4" x14ac:dyDescent="0.2">
      <c r="A384" s="29">
        <v>45272</v>
      </c>
      <c r="B384" s="328" t="s">
        <v>15</v>
      </c>
      <c r="C384">
        <v>81402.458867199995</v>
      </c>
      <c r="D384">
        <v>6149.5495691472124</v>
      </c>
    </row>
    <row r="385" spans="1:4" x14ac:dyDescent="0.2">
      <c r="A385" s="29"/>
      <c r="B385" s="328" t="s">
        <v>14</v>
      </c>
      <c r="C385">
        <v>8656.7882490000011</v>
      </c>
      <c r="D385">
        <v>5358.9252934081796</v>
      </c>
    </row>
    <row r="386" spans="1:4" x14ac:dyDescent="0.2">
      <c r="A386" s="29">
        <v>45271</v>
      </c>
      <c r="B386" s="328" t="s">
        <v>15</v>
      </c>
      <c r="C386">
        <v>81402.458867199995</v>
      </c>
      <c r="D386">
        <v>5779.4166588009984</v>
      </c>
    </row>
    <row r="387" spans="1:4" x14ac:dyDescent="0.2">
      <c r="A387" s="29"/>
      <c r="B387" s="328" t="s">
        <v>14</v>
      </c>
      <c r="C387">
        <v>8656.7882490000011</v>
      </c>
      <c r="D387">
        <v>5363.3902050833667</v>
      </c>
    </row>
    <row r="388" spans="1:4" x14ac:dyDescent="0.2">
      <c r="A388" s="29">
        <v>45270</v>
      </c>
      <c r="B388" s="328" t="s">
        <v>15</v>
      </c>
      <c r="C388">
        <v>81402.458867199995</v>
      </c>
      <c r="D388">
        <v>6109.854474105211</v>
      </c>
    </row>
    <row r="389" spans="1:4" x14ac:dyDescent="0.2">
      <c r="A389" s="29"/>
      <c r="B389" s="328" t="s">
        <v>14</v>
      </c>
      <c r="C389">
        <v>8656.7882490000011</v>
      </c>
      <c r="D389">
        <v>5726.9828429471436</v>
      </c>
    </row>
    <row r="390" spans="1:4" x14ac:dyDescent="0.2">
      <c r="A390" s="29">
        <v>45269</v>
      </c>
      <c r="B390" s="328" t="s">
        <v>15</v>
      </c>
      <c r="C390">
        <v>81402.458867199995</v>
      </c>
      <c r="D390">
        <v>6060.7044834657854</v>
      </c>
    </row>
    <row r="391" spans="1:4" x14ac:dyDescent="0.2">
      <c r="A391" s="29"/>
      <c r="B391" s="328" t="s">
        <v>14</v>
      </c>
      <c r="C391">
        <v>8656.7882490000011</v>
      </c>
      <c r="D391">
        <v>5704.1503908046416</v>
      </c>
    </row>
    <row r="392" spans="1:4" x14ac:dyDescent="0.2">
      <c r="A392" s="29">
        <v>45268</v>
      </c>
      <c r="B392" s="328" t="s">
        <v>15</v>
      </c>
      <c r="C392">
        <v>81402.458867199995</v>
      </c>
      <c r="D392">
        <v>6043.7011378576026</v>
      </c>
    </row>
    <row r="393" spans="1:4" x14ac:dyDescent="0.2">
      <c r="A393" s="29"/>
      <c r="B393" s="328" t="s">
        <v>14</v>
      </c>
      <c r="C393">
        <v>8656.7882490000011</v>
      </c>
      <c r="D393">
        <v>5832.4379329030471</v>
      </c>
    </row>
    <row r="394" spans="1:4" x14ac:dyDescent="0.2">
      <c r="A394" s="29">
        <v>45267</v>
      </c>
      <c r="B394" s="328" t="s">
        <v>15</v>
      </c>
      <c r="C394">
        <v>81402.458867199995</v>
      </c>
      <c r="D394">
        <v>5631.347214170738</v>
      </c>
    </row>
    <row r="395" spans="1:4" x14ac:dyDescent="0.2">
      <c r="A395" s="29"/>
      <c r="B395" s="328" t="s">
        <v>14</v>
      </c>
      <c r="C395">
        <v>8656.7882490000011</v>
      </c>
      <c r="D395">
        <v>5567.1529943452688</v>
      </c>
    </row>
    <row r="396" spans="1:4" x14ac:dyDescent="0.2">
      <c r="A396" s="29">
        <v>45266</v>
      </c>
      <c r="B396" s="328" t="s">
        <v>15</v>
      </c>
      <c r="C396">
        <v>81354.157356489988</v>
      </c>
      <c r="D396">
        <v>5584.5431150710783</v>
      </c>
    </row>
    <row r="397" spans="1:4" x14ac:dyDescent="0.2">
      <c r="A397" s="29"/>
      <c r="B397" s="328" t="s">
        <v>14</v>
      </c>
      <c r="C397">
        <v>8656.7882490000011</v>
      </c>
      <c r="D397">
        <v>5555.8749306144709</v>
      </c>
    </row>
    <row r="398" spans="1:4" x14ac:dyDescent="0.2">
      <c r="A398" s="29">
        <v>45265</v>
      </c>
      <c r="B398" s="328" t="s">
        <v>15</v>
      </c>
      <c r="C398">
        <v>81354.157356489988</v>
      </c>
      <c r="D398">
        <v>5355.6881756362563</v>
      </c>
    </row>
    <row r="399" spans="1:4" x14ac:dyDescent="0.2">
      <c r="A399" s="29"/>
      <c r="B399" s="328" t="s">
        <v>14</v>
      </c>
      <c r="C399">
        <v>8656.7882490000011</v>
      </c>
      <c r="D399">
        <v>5382.3400011283102</v>
      </c>
    </row>
    <row r="400" spans="1:4" x14ac:dyDescent="0.2">
      <c r="A400" s="29">
        <v>45264</v>
      </c>
      <c r="B400" s="328" t="s">
        <v>15</v>
      </c>
      <c r="C400">
        <v>81354.157356489988</v>
      </c>
      <c r="D400">
        <v>5199.5069049679878</v>
      </c>
    </row>
    <row r="401" spans="1:4" x14ac:dyDescent="0.2">
      <c r="A401" s="29"/>
      <c r="B401" s="328" t="s">
        <v>14</v>
      </c>
      <c r="C401">
        <v>8656.7882490000011</v>
      </c>
      <c r="D401">
        <v>5405.3737235976023</v>
      </c>
    </row>
    <row r="402" spans="1:4" x14ac:dyDescent="0.2">
      <c r="A402" s="29">
        <v>45263</v>
      </c>
      <c r="B402" s="328" t="s">
        <v>15</v>
      </c>
      <c r="C402">
        <v>81354.157356489988</v>
      </c>
      <c r="D402">
        <v>5059.5313824451323</v>
      </c>
    </row>
    <row r="403" spans="1:4" x14ac:dyDescent="0.2">
      <c r="A403" s="29"/>
      <c r="B403" s="328" t="s">
        <v>14</v>
      </c>
      <c r="C403">
        <v>8656.7882490000011</v>
      </c>
      <c r="D403">
        <v>5394.2010995476776</v>
      </c>
    </row>
    <row r="404" spans="1:4" x14ac:dyDescent="0.2">
      <c r="A404" s="29">
        <v>45262</v>
      </c>
      <c r="B404" s="328" t="s">
        <v>15</v>
      </c>
      <c r="C404">
        <v>81354.157356489988</v>
      </c>
      <c r="D404">
        <v>5073.9725589174823</v>
      </c>
    </row>
    <row r="405" spans="1:4" x14ac:dyDescent="0.2">
      <c r="A405" s="29"/>
      <c r="B405" s="328" t="s">
        <v>14</v>
      </c>
      <c r="C405">
        <v>8656.7882490000011</v>
      </c>
      <c r="D405">
        <v>5372.2104334945079</v>
      </c>
    </row>
    <row r="406" spans="1:4" x14ac:dyDescent="0.2">
      <c r="A406" s="29">
        <v>45261</v>
      </c>
      <c r="B406" s="328" t="s">
        <v>15</v>
      </c>
      <c r="C406">
        <v>81354.157356489988</v>
      </c>
      <c r="D406">
        <v>4943.0395509848004</v>
      </c>
    </row>
    <row r="407" spans="1:4" x14ac:dyDescent="0.2">
      <c r="A407" s="29"/>
      <c r="B407" s="328" t="s">
        <v>14</v>
      </c>
      <c r="C407">
        <v>8656.7882490000011</v>
      </c>
      <c r="D407">
        <v>5306.6201996967793</v>
      </c>
    </row>
    <row r="408" spans="1:4" x14ac:dyDescent="0.2">
      <c r="A408" s="29">
        <v>45260</v>
      </c>
      <c r="B408" s="328" t="s">
        <v>15</v>
      </c>
      <c r="C408">
        <v>81354.157356489988</v>
      </c>
      <c r="D408">
        <v>4891.7449412299602</v>
      </c>
    </row>
    <row r="409" spans="1:4" x14ac:dyDescent="0.2">
      <c r="A409" s="29"/>
      <c r="B409" s="328" t="s">
        <v>14</v>
      </c>
      <c r="C409">
        <v>8656.7882490000011</v>
      </c>
      <c r="D409">
        <v>5244.4460211099886</v>
      </c>
    </row>
    <row r="410" spans="1:4" x14ac:dyDescent="0.2">
      <c r="A410" s="29">
        <v>45259</v>
      </c>
      <c r="B410" s="328" t="s">
        <v>15</v>
      </c>
      <c r="C410">
        <v>81354.157356489988</v>
      </c>
      <c r="D410">
        <v>4881.736752791965</v>
      </c>
    </row>
    <row r="411" spans="1:4" x14ac:dyDescent="0.2">
      <c r="A411" s="29"/>
      <c r="B411" s="328" t="s">
        <v>14</v>
      </c>
      <c r="C411">
        <v>8656.7882490000011</v>
      </c>
      <c r="D411">
        <v>5273.2402301838138</v>
      </c>
    </row>
    <row r="412" spans="1:4" x14ac:dyDescent="0.2">
      <c r="A412" s="29">
        <v>45258</v>
      </c>
      <c r="B412" s="328" t="s">
        <v>15</v>
      </c>
      <c r="C412">
        <v>81354.157356489988</v>
      </c>
      <c r="D412">
        <v>4961.332033266408</v>
      </c>
    </row>
    <row r="413" spans="1:4" x14ac:dyDescent="0.2">
      <c r="A413" s="29"/>
      <c r="B413" s="328" t="s">
        <v>14</v>
      </c>
      <c r="C413">
        <v>8656.7882490000011</v>
      </c>
      <c r="D413">
        <v>5291.6014511957064</v>
      </c>
    </row>
    <row r="414" spans="1:4" x14ac:dyDescent="0.2">
      <c r="A414" s="29">
        <v>45257</v>
      </c>
      <c r="B414" s="328" t="s">
        <v>15</v>
      </c>
      <c r="C414">
        <v>81354.157356489988</v>
      </c>
      <c r="D414">
        <v>5010.9507473797039</v>
      </c>
    </row>
    <row r="415" spans="1:4" x14ac:dyDescent="0.2">
      <c r="A415" s="29"/>
      <c r="B415" s="328" t="s">
        <v>14</v>
      </c>
      <c r="C415">
        <v>8656.7882490000011</v>
      </c>
      <c r="D415">
        <v>5229.3912603698009</v>
      </c>
    </row>
    <row r="416" spans="1:4" x14ac:dyDescent="0.2">
      <c r="A416" s="29">
        <v>45256</v>
      </c>
      <c r="B416" s="328" t="s">
        <v>15</v>
      </c>
      <c r="C416">
        <v>81354.157356489988</v>
      </c>
      <c r="D416">
        <v>5116.6704748644624</v>
      </c>
    </row>
    <row r="417" spans="1:4" x14ac:dyDescent="0.2">
      <c r="A417" s="29"/>
      <c r="B417" s="328" t="s">
        <v>14</v>
      </c>
      <c r="C417">
        <v>8656.7882490000011</v>
      </c>
      <c r="D417">
        <v>5339.9459777153079</v>
      </c>
    </row>
    <row r="418" spans="1:4" x14ac:dyDescent="0.2">
      <c r="A418" s="29">
        <v>45255</v>
      </c>
      <c r="B418" s="328" t="s">
        <v>15</v>
      </c>
      <c r="C418">
        <v>81354.157356489988</v>
      </c>
      <c r="D418">
        <v>5168.7054074512471</v>
      </c>
    </row>
    <row r="419" spans="1:4" x14ac:dyDescent="0.2">
      <c r="A419" s="29"/>
      <c r="B419" s="328" t="s">
        <v>14</v>
      </c>
      <c r="C419">
        <v>8656.7882490000011</v>
      </c>
      <c r="D419">
        <v>5395.2345469288439</v>
      </c>
    </row>
    <row r="420" spans="1:4" x14ac:dyDescent="0.2">
      <c r="A420" s="29">
        <v>45254</v>
      </c>
      <c r="B420" s="328" t="s">
        <v>15</v>
      </c>
      <c r="C420">
        <v>81354.157356489988</v>
      </c>
      <c r="D420">
        <v>5069.5908240022627</v>
      </c>
    </row>
    <row r="421" spans="1:4" x14ac:dyDescent="0.2">
      <c r="A421" s="29"/>
      <c r="B421" s="328" t="s">
        <v>14</v>
      </c>
      <c r="C421">
        <v>8656.7882490000011</v>
      </c>
      <c r="D421">
        <v>5384.344740151013</v>
      </c>
    </row>
    <row r="422" spans="1:4" x14ac:dyDescent="0.2">
      <c r="A422" s="29">
        <v>45253</v>
      </c>
      <c r="B422" s="328" t="s">
        <v>15</v>
      </c>
      <c r="C422">
        <v>81354.157356489988</v>
      </c>
      <c r="D422">
        <v>5000.5504319032507</v>
      </c>
    </row>
    <row r="423" spans="1:4" x14ac:dyDescent="0.2">
      <c r="A423" s="29"/>
      <c r="B423" s="328" t="s">
        <v>14</v>
      </c>
      <c r="C423">
        <v>8656.7882490000011</v>
      </c>
      <c r="D423">
        <v>5370.0079734281971</v>
      </c>
    </row>
    <row r="424" spans="1:4" x14ac:dyDescent="0.2">
      <c r="A424" s="29">
        <v>45252</v>
      </c>
      <c r="B424" s="328" t="s">
        <v>15</v>
      </c>
      <c r="C424">
        <v>81354.157356489988</v>
      </c>
      <c r="D424">
        <v>5081.645069497773</v>
      </c>
    </row>
    <row r="425" spans="1:4" x14ac:dyDescent="0.2">
      <c r="A425" s="29"/>
      <c r="B425" s="328" t="s">
        <v>14</v>
      </c>
      <c r="C425">
        <v>8656.7882490000011</v>
      </c>
      <c r="D425">
        <v>5295.5646154239812</v>
      </c>
    </row>
    <row r="426" spans="1:4" x14ac:dyDescent="0.2">
      <c r="A426" s="29">
        <v>45251</v>
      </c>
      <c r="B426" s="328" t="s">
        <v>15</v>
      </c>
      <c r="C426">
        <v>81354.157356489988</v>
      </c>
      <c r="D426">
        <v>4778.0167104950287</v>
      </c>
    </row>
    <row r="427" spans="1:4" x14ac:dyDescent="0.2">
      <c r="A427" s="29"/>
      <c r="B427" s="328" t="s">
        <v>14</v>
      </c>
      <c r="C427">
        <v>8656.7882490000011</v>
      </c>
      <c r="D427">
        <v>5022.3266855018474</v>
      </c>
    </row>
    <row r="428" spans="1:4" x14ac:dyDescent="0.2">
      <c r="A428" s="29">
        <v>45250</v>
      </c>
      <c r="B428" s="328" t="s">
        <v>15</v>
      </c>
      <c r="C428">
        <v>81354.157356489988</v>
      </c>
      <c r="D428">
        <v>5366.9492180975421</v>
      </c>
    </row>
    <row r="429" spans="1:4" x14ac:dyDescent="0.2">
      <c r="A429" s="29"/>
      <c r="B429" s="328" t="s">
        <v>14</v>
      </c>
      <c r="C429">
        <v>8656.7882490000011</v>
      </c>
      <c r="D429">
        <v>5299.742727704479</v>
      </c>
    </row>
    <row r="430" spans="1:4" x14ac:dyDescent="0.2">
      <c r="A430" s="29">
        <v>45249</v>
      </c>
      <c r="B430" s="328" t="s">
        <v>15</v>
      </c>
      <c r="C430">
        <v>81354.157356489988</v>
      </c>
      <c r="D430">
        <v>5091.9168454056035</v>
      </c>
    </row>
    <row r="431" spans="1:4" x14ac:dyDescent="0.2">
      <c r="A431" s="29"/>
      <c r="B431" s="328" t="s">
        <v>14</v>
      </c>
      <c r="C431">
        <v>8656.7882490000011</v>
      </c>
      <c r="D431">
        <v>5427.7258105601668</v>
      </c>
    </row>
    <row r="432" spans="1:4" x14ac:dyDescent="0.2">
      <c r="A432" s="29">
        <v>45248</v>
      </c>
      <c r="B432" s="328" t="s">
        <v>15</v>
      </c>
      <c r="C432">
        <v>81354.157356489988</v>
      </c>
      <c r="D432">
        <v>5012.6640659336317</v>
      </c>
    </row>
    <row r="433" spans="1:4" x14ac:dyDescent="0.2">
      <c r="A433" s="29"/>
      <c r="B433" s="328" t="s">
        <v>14</v>
      </c>
      <c r="C433">
        <v>8656.7882490000011</v>
      </c>
      <c r="D433">
        <v>5286.3558703562258</v>
      </c>
    </row>
    <row r="434" spans="1:4" x14ac:dyDescent="0.2">
      <c r="A434" s="29">
        <v>45247</v>
      </c>
      <c r="B434" s="328" t="s">
        <v>15</v>
      </c>
      <c r="C434">
        <v>81343.191817639992</v>
      </c>
      <c r="D434">
        <v>5176.417988765038</v>
      </c>
    </row>
    <row r="435" spans="1:4" x14ac:dyDescent="0.2">
      <c r="A435" s="29"/>
      <c r="B435" s="328" t="s">
        <v>14</v>
      </c>
      <c r="C435">
        <v>8656.7882490000011</v>
      </c>
      <c r="D435">
        <v>5304.2361202130051</v>
      </c>
    </row>
    <row r="436" spans="1:4" x14ac:dyDescent="0.2">
      <c r="A436" s="29">
        <v>45246</v>
      </c>
      <c r="B436" s="328" t="s">
        <v>15</v>
      </c>
      <c r="C436">
        <v>81343.191817639992</v>
      </c>
      <c r="D436">
        <v>4943.2160055749637</v>
      </c>
    </row>
    <row r="437" spans="1:4" x14ac:dyDescent="0.2">
      <c r="A437" s="29"/>
      <c r="B437" s="328" t="s">
        <v>14</v>
      </c>
      <c r="C437">
        <v>8656.7882490000011</v>
      </c>
      <c r="D437">
        <v>5300.8781520512184</v>
      </c>
    </row>
    <row r="438" spans="1:4" x14ac:dyDescent="0.2">
      <c r="A438" s="29">
        <v>45245</v>
      </c>
      <c r="B438" s="328" t="s">
        <v>15</v>
      </c>
      <c r="C438">
        <v>81343.191817639992</v>
      </c>
      <c r="D438">
        <v>5031.0015781845614</v>
      </c>
    </row>
    <row r="439" spans="1:4" x14ac:dyDescent="0.2">
      <c r="A439" s="29"/>
      <c r="B439" s="328" t="s">
        <v>14</v>
      </c>
      <c r="C439">
        <v>8656.7882490000011</v>
      </c>
      <c r="D439">
        <v>5626.0620055403006</v>
      </c>
    </row>
    <row r="440" spans="1:4" x14ac:dyDescent="0.2">
      <c r="A440" s="29">
        <v>45244</v>
      </c>
      <c r="B440" s="328" t="s">
        <v>15</v>
      </c>
      <c r="C440">
        <v>81343.191817639992</v>
      </c>
      <c r="D440">
        <v>4763.9307302173765</v>
      </c>
    </row>
    <row r="441" spans="1:4" x14ac:dyDescent="0.2">
      <c r="A441" s="29"/>
      <c r="B441" s="328" t="s">
        <v>14</v>
      </c>
      <c r="C441">
        <v>8656.7882490000011</v>
      </c>
      <c r="D441">
        <v>5450.1386681762406</v>
      </c>
    </row>
    <row r="442" spans="1:4" x14ac:dyDescent="0.2">
      <c r="A442" s="29">
        <v>45243</v>
      </c>
      <c r="B442" s="328" t="s">
        <v>15</v>
      </c>
      <c r="C442">
        <v>81287.410900080009</v>
      </c>
      <c r="D442">
        <v>4812.6260395838908</v>
      </c>
    </row>
    <row r="443" spans="1:4" x14ac:dyDescent="0.2">
      <c r="A443" s="29"/>
      <c r="B443" s="328" t="s">
        <v>14</v>
      </c>
      <c r="C443">
        <v>8656.7882490000011</v>
      </c>
      <c r="D443">
        <v>5808.9905890912178</v>
      </c>
    </row>
    <row r="444" spans="1:4" x14ac:dyDescent="0.2">
      <c r="A444" s="29">
        <v>45242</v>
      </c>
      <c r="B444" s="328" t="s">
        <v>15</v>
      </c>
      <c r="C444">
        <v>81287.410900080009</v>
      </c>
      <c r="D444">
        <v>5066.0045894782033</v>
      </c>
    </row>
    <row r="445" spans="1:4" x14ac:dyDescent="0.2">
      <c r="A445" s="29"/>
      <c r="B445" s="328" t="s">
        <v>14</v>
      </c>
      <c r="C445">
        <v>8656.7882490000011</v>
      </c>
      <c r="D445">
        <v>5725.679044068962</v>
      </c>
    </row>
    <row r="446" spans="1:4" x14ac:dyDescent="0.2">
      <c r="A446" s="29">
        <v>45241</v>
      </c>
      <c r="B446" s="328" t="s">
        <v>15</v>
      </c>
      <c r="C446">
        <v>81287.410900080009</v>
      </c>
      <c r="D446">
        <v>5036.9085736206289</v>
      </c>
    </row>
    <row r="447" spans="1:4" x14ac:dyDescent="0.2">
      <c r="A447" s="29"/>
      <c r="B447" s="328" t="s">
        <v>14</v>
      </c>
      <c r="C447">
        <v>8656.7882490000011</v>
      </c>
      <c r="D447">
        <v>5739.260852288583</v>
      </c>
    </row>
    <row r="448" spans="1:4" x14ac:dyDescent="0.2">
      <c r="A448" s="29">
        <v>45240</v>
      </c>
      <c r="B448" s="328" t="s">
        <v>15</v>
      </c>
      <c r="C448">
        <v>81287.410900080009</v>
      </c>
      <c r="D448">
        <v>5116.6238859939012</v>
      </c>
    </row>
    <row r="449" spans="1:4" x14ac:dyDescent="0.2">
      <c r="A449" s="29"/>
      <c r="B449" s="328" t="s">
        <v>14</v>
      </c>
      <c r="C449">
        <v>8656.7882490000011</v>
      </c>
      <c r="D449">
        <v>5709.9422149826341</v>
      </c>
    </row>
    <row r="450" spans="1:4" x14ac:dyDescent="0.2">
      <c r="A450" s="29">
        <v>45239</v>
      </c>
      <c r="B450" s="328" t="s">
        <v>15</v>
      </c>
      <c r="C450">
        <v>81287.410900080009</v>
      </c>
      <c r="D450">
        <v>4860.5026988558202</v>
      </c>
    </row>
    <row r="451" spans="1:4" x14ac:dyDescent="0.2">
      <c r="A451" s="29"/>
      <c r="B451" s="328" t="s">
        <v>14</v>
      </c>
      <c r="C451">
        <v>8656.7882490000011</v>
      </c>
      <c r="D451">
        <v>5780.7390740727233</v>
      </c>
    </row>
    <row r="452" spans="1:4" x14ac:dyDescent="0.2">
      <c r="A452" s="29">
        <v>45238</v>
      </c>
      <c r="B452" s="328" t="s">
        <v>15</v>
      </c>
      <c r="C452">
        <v>81287.410900080009</v>
      </c>
      <c r="D452">
        <v>4928.6621928955374</v>
      </c>
    </row>
    <row r="453" spans="1:4" x14ac:dyDescent="0.2">
      <c r="A453" s="29"/>
      <c r="B453" s="328" t="s">
        <v>14</v>
      </c>
      <c r="C453">
        <v>8656.7882490000011</v>
      </c>
      <c r="D453">
        <v>5957.8609437698578</v>
      </c>
    </row>
    <row r="454" spans="1:4" x14ac:dyDescent="0.2">
      <c r="A454" s="29">
        <v>45237</v>
      </c>
      <c r="B454" s="328" t="s">
        <v>15</v>
      </c>
      <c r="C454">
        <v>81287.410900080009</v>
      </c>
      <c r="D454">
        <v>4677.894594639336</v>
      </c>
    </row>
    <row r="455" spans="1:4" x14ac:dyDescent="0.2">
      <c r="A455" s="29"/>
      <c r="B455" s="328" t="s">
        <v>14</v>
      </c>
      <c r="C455">
        <v>8656.7882490000011</v>
      </c>
      <c r="D455">
        <v>5935.2717473771527</v>
      </c>
    </row>
    <row r="456" spans="1:4" x14ac:dyDescent="0.2">
      <c r="A456" s="29">
        <v>45236</v>
      </c>
      <c r="B456" s="328" t="s">
        <v>15</v>
      </c>
      <c r="C456">
        <v>81287.410900080009</v>
      </c>
      <c r="D456">
        <v>4767.0441239216707</v>
      </c>
    </row>
    <row r="457" spans="1:4" x14ac:dyDescent="0.2">
      <c r="A457" s="29"/>
      <c r="B457" s="328" t="s">
        <v>14</v>
      </c>
      <c r="C457">
        <v>8656.7882490000011</v>
      </c>
      <c r="D457">
        <v>6193.9523356118852</v>
      </c>
    </row>
    <row r="458" spans="1:4" x14ac:dyDescent="0.2">
      <c r="A458" s="29">
        <v>45235</v>
      </c>
      <c r="B458" s="328" t="s">
        <v>15</v>
      </c>
      <c r="C458">
        <v>81287.410900080009</v>
      </c>
      <c r="D458">
        <v>4546.4089560120201</v>
      </c>
    </row>
    <row r="459" spans="1:4" x14ac:dyDescent="0.2">
      <c r="A459" s="29"/>
      <c r="B459" s="328" t="s">
        <v>14</v>
      </c>
      <c r="C459">
        <v>8656.7882490000011</v>
      </c>
      <c r="D459">
        <v>5706.3856600984154</v>
      </c>
    </row>
    <row r="460" spans="1:4" x14ac:dyDescent="0.2">
      <c r="A460" s="29">
        <v>45234</v>
      </c>
      <c r="B460" s="328" t="s">
        <v>15</v>
      </c>
      <c r="C460">
        <v>81287.410900080009</v>
      </c>
      <c r="D460">
        <v>4525.3238144986481</v>
      </c>
    </row>
    <row r="461" spans="1:4" x14ac:dyDescent="0.2">
      <c r="A461" s="29"/>
      <c r="B461" s="328" t="s">
        <v>14</v>
      </c>
      <c r="C461">
        <v>8656.7882490000011</v>
      </c>
      <c r="D461">
        <v>5333.2757492336887</v>
      </c>
    </row>
    <row r="462" spans="1:4" x14ac:dyDescent="0.2">
      <c r="A462" s="29">
        <v>45233</v>
      </c>
      <c r="B462" s="328" t="s">
        <v>15</v>
      </c>
      <c r="C462">
        <v>81287.410900080009</v>
      </c>
      <c r="D462">
        <v>4453.3592567546984</v>
      </c>
    </row>
    <row r="463" spans="1:4" x14ac:dyDescent="0.2">
      <c r="A463" s="29"/>
      <c r="B463" s="328" t="s">
        <v>14</v>
      </c>
      <c r="C463">
        <v>8656.7882490000011</v>
      </c>
      <c r="D463">
        <v>5305.3830580881149</v>
      </c>
    </row>
    <row r="464" spans="1:4" x14ac:dyDescent="0.2">
      <c r="A464" s="29">
        <v>45232</v>
      </c>
      <c r="B464" s="328" t="s">
        <v>15</v>
      </c>
      <c r="C464">
        <v>81287.410900080009</v>
      </c>
      <c r="D464">
        <v>4507.4105077585973</v>
      </c>
    </row>
    <row r="465" spans="1:4" x14ac:dyDescent="0.2">
      <c r="A465" s="29"/>
      <c r="B465" s="328" t="s">
        <v>14</v>
      </c>
      <c r="C465">
        <v>8656.7882490000011</v>
      </c>
      <c r="D465">
        <v>5250.8914328007822</v>
      </c>
    </row>
    <row r="466" spans="1:4" x14ac:dyDescent="0.2">
      <c r="A466" s="29">
        <v>45231</v>
      </c>
      <c r="B466" s="328" t="s">
        <v>15</v>
      </c>
      <c r="C466">
        <v>81287.410900080009</v>
      </c>
      <c r="D466">
        <v>4358.7260787330433</v>
      </c>
    </row>
    <row r="467" spans="1:4" x14ac:dyDescent="0.2">
      <c r="A467" s="29"/>
      <c r="B467" s="328" t="s">
        <v>14</v>
      </c>
      <c r="C467">
        <v>8656.7882490000011</v>
      </c>
      <c r="D467">
        <v>5275.3123190190936</v>
      </c>
    </row>
    <row r="468" spans="1:4" x14ac:dyDescent="0.2">
      <c r="A468" s="29">
        <v>45230</v>
      </c>
      <c r="B468" s="328" t="s">
        <v>15</v>
      </c>
      <c r="C468">
        <v>81287.410900080009</v>
      </c>
      <c r="D468">
        <v>4267.8126126341758</v>
      </c>
    </row>
    <row r="469" spans="1:4" x14ac:dyDescent="0.2">
      <c r="A469" s="29"/>
      <c r="B469" s="328" t="s">
        <v>14</v>
      </c>
      <c r="C469">
        <v>8656.7882490000011</v>
      </c>
      <c r="D469">
        <v>5197.931366490463</v>
      </c>
    </row>
    <row r="470" spans="1:4" x14ac:dyDescent="0.2">
      <c r="A470" s="29">
        <v>45229</v>
      </c>
      <c r="B470" s="328" t="s">
        <v>15</v>
      </c>
      <c r="C470">
        <v>81287.410900080009</v>
      </c>
      <c r="D470">
        <v>4369.5909540739494</v>
      </c>
    </row>
    <row r="471" spans="1:4" x14ac:dyDescent="0.2">
      <c r="A471" s="29"/>
      <c r="B471" s="328" t="s">
        <v>14</v>
      </c>
      <c r="C471">
        <v>8656.7882490000011</v>
      </c>
      <c r="D471">
        <v>5009.3208134044326</v>
      </c>
    </row>
    <row r="472" spans="1:4" x14ac:dyDescent="0.2">
      <c r="A472" s="29">
        <v>45228</v>
      </c>
      <c r="B472" s="328" t="s">
        <v>15</v>
      </c>
      <c r="C472">
        <v>81287.410900080009</v>
      </c>
      <c r="D472">
        <v>4266.2079991430082</v>
      </c>
    </row>
    <row r="473" spans="1:4" x14ac:dyDescent="0.2">
      <c r="A473" s="29"/>
      <c r="B473" s="328" t="s">
        <v>14</v>
      </c>
      <c r="C473">
        <v>8656.7882490000011</v>
      </c>
      <c r="D473">
        <v>4817.1891116981215</v>
      </c>
    </row>
    <row r="474" spans="1:4" x14ac:dyDescent="0.2">
      <c r="A474" s="29">
        <v>45227</v>
      </c>
      <c r="B474" s="328" t="s">
        <v>15</v>
      </c>
      <c r="C474">
        <v>81287.410900080009</v>
      </c>
      <c r="D474">
        <v>4219.9018126496676</v>
      </c>
    </row>
    <row r="475" spans="1:4" x14ac:dyDescent="0.2">
      <c r="A475" s="29"/>
      <c r="B475" s="328" t="s">
        <v>14</v>
      </c>
      <c r="C475">
        <v>8656.7882490000011</v>
      </c>
      <c r="D475">
        <v>4718.9456457609303</v>
      </c>
    </row>
    <row r="476" spans="1:4" x14ac:dyDescent="0.2">
      <c r="A476" s="29">
        <v>45226</v>
      </c>
      <c r="B476" s="328" t="s">
        <v>15</v>
      </c>
      <c r="C476">
        <v>81287.410900080009</v>
      </c>
      <c r="D476">
        <v>4143.6021972824174</v>
      </c>
    </row>
    <row r="477" spans="1:4" x14ac:dyDescent="0.2">
      <c r="A477" s="29"/>
      <c r="B477" s="328" t="s">
        <v>14</v>
      </c>
      <c r="C477">
        <v>8656.7882490000011</v>
      </c>
      <c r="D477">
        <v>4726.1391770922019</v>
      </c>
    </row>
    <row r="478" spans="1:4" x14ac:dyDescent="0.2">
      <c r="A478" s="29">
        <v>45225</v>
      </c>
      <c r="B478" s="328" t="s">
        <v>15</v>
      </c>
      <c r="C478">
        <v>81287.410900080009</v>
      </c>
      <c r="D478">
        <v>4304.8325253062903</v>
      </c>
    </row>
    <row r="479" spans="1:4" x14ac:dyDescent="0.2">
      <c r="A479" s="29"/>
      <c r="B479" s="328" t="s">
        <v>14</v>
      </c>
      <c r="C479">
        <v>8656.7882490000011</v>
      </c>
      <c r="D479">
        <v>4794.4480752395284</v>
      </c>
    </row>
    <row r="480" spans="1:4" x14ac:dyDescent="0.2">
      <c r="A480" s="29">
        <v>45224</v>
      </c>
      <c r="B480" s="328" t="s">
        <v>15</v>
      </c>
      <c r="C480">
        <v>81271.729410449989</v>
      </c>
      <c r="D480">
        <v>4227.037734560914</v>
      </c>
    </row>
    <row r="481" spans="1:4" x14ac:dyDescent="0.2">
      <c r="A481" s="29"/>
      <c r="B481" s="328" t="s">
        <v>14</v>
      </c>
      <c r="C481">
        <v>8656.7882490000011</v>
      </c>
      <c r="D481">
        <v>4802.523819861256</v>
      </c>
    </row>
    <row r="482" spans="1:4" x14ac:dyDescent="0.2">
      <c r="A482" s="29">
        <v>45223</v>
      </c>
      <c r="B482" s="328" t="s">
        <v>15</v>
      </c>
      <c r="C482">
        <v>81271.729410449989</v>
      </c>
      <c r="D482">
        <v>4174.8263374357593</v>
      </c>
    </row>
    <row r="483" spans="1:4" x14ac:dyDescent="0.2">
      <c r="A483" s="29"/>
      <c r="B483" s="328" t="s">
        <v>14</v>
      </c>
      <c r="C483">
        <v>8656.7882490000011</v>
      </c>
      <c r="D483">
        <v>4832.6307443051583</v>
      </c>
    </row>
    <row r="484" spans="1:4" x14ac:dyDescent="0.2">
      <c r="A484" s="29">
        <v>45222</v>
      </c>
      <c r="B484" s="328" t="s">
        <v>15</v>
      </c>
      <c r="C484">
        <v>81271.729410449989</v>
      </c>
      <c r="D484">
        <v>4202.2579842636678</v>
      </c>
    </row>
    <row r="485" spans="1:4" x14ac:dyDescent="0.2">
      <c r="A485" s="29"/>
      <c r="B485" s="328" t="s">
        <v>14</v>
      </c>
      <c r="C485">
        <v>8656.7882490000011</v>
      </c>
      <c r="D485">
        <v>4724.6572215118558</v>
      </c>
    </row>
    <row r="486" spans="1:4" x14ac:dyDescent="0.2">
      <c r="A486" s="29">
        <v>45221</v>
      </c>
      <c r="B486" s="328" t="s">
        <v>15</v>
      </c>
      <c r="C486">
        <v>81271.729410449989</v>
      </c>
      <c r="D486">
        <v>4062.7688769246301</v>
      </c>
    </row>
    <row r="487" spans="1:4" x14ac:dyDescent="0.2">
      <c r="A487" s="29"/>
      <c r="B487" s="328" t="s">
        <v>14</v>
      </c>
      <c r="C487">
        <v>8656.7882490000011</v>
      </c>
      <c r="D487">
        <v>4526.5918974360329</v>
      </c>
    </row>
    <row r="488" spans="1:4" x14ac:dyDescent="0.2">
      <c r="A488" s="29">
        <v>45220</v>
      </c>
      <c r="B488" s="328" t="s">
        <v>15</v>
      </c>
      <c r="C488">
        <v>81271.729410449989</v>
      </c>
      <c r="D488">
        <v>3982.4252706640482</v>
      </c>
    </row>
    <row r="489" spans="1:4" x14ac:dyDescent="0.2">
      <c r="A489" s="29"/>
      <c r="B489" s="328" t="s">
        <v>14</v>
      </c>
      <c r="C489">
        <v>8656.7882490000011</v>
      </c>
      <c r="D489">
        <v>4508.5846524956414</v>
      </c>
    </row>
    <row r="490" spans="1:4" x14ac:dyDescent="0.2">
      <c r="A490" s="29">
        <v>45219</v>
      </c>
      <c r="B490" s="328" t="s">
        <v>15</v>
      </c>
      <c r="C490">
        <v>80974.262575690009</v>
      </c>
      <c r="D490">
        <v>3840.6602877504001</v>
      </c>
    </row>
    <row r="491" spans="1:4" x14ac:dyDescent="0.2">
      <c r="A491" s="29"/>
      <c r="B491" s="328" t="s">
        <v>14</v>
      </c>
      <c r="C491">
        <v>8656.7882490000011</v>
      </c>
      <c r="D491">
        <v>4473.4535012877832</v>
      </c>
    </row>
    <row r="492" spans="1:4" x14ac:dyDescent="0.2">
      <c r="A492" s="29">
        <v>45218</v>
      </c>
      <c r="B492" s="328" t="s">
        <v>15</v>
      </c>
      <c r="C492">
        <v>80974.262575690009</v>
      </c>
      <c r="D492">
        <v>3710.3386900758328</v>
      </c>
    </row>
    <row r="493" spans="1:4" x14ac:dyDescent="0.2">
      <c r="A493" s="29"/>
      <c r="B493" s="328" t="s">
        <v>14</v>
      </c>
      <c r="C493">
        <v>8656.7882490000011</v>
      </c>
      <c r="D493">
        <v>4502.2272803413398</v>
      </c>
    </row>
    <row r="494" spans="1:4" x14ac:dyDescent="0.2">
      <c r="A494" s="29">
        <v>45217</v>
      </c>
      <c r="B494" s="328" t="s">
        <v>15</v>
      </c>
      <c r="C494">
        <v>80974.262575690009</v>
      </c>
      <c r="D494">
        <v>3841.1388456422219</v>
      </c>
    </row>
    <row r="495" spans="1:4" x14ac:dyDescent="0.2">
      <c r="A495" s="29"/>
      <c r="B495" s="328" t="s">
        <v>14</v>
      </c>
      <c r="C495">
        <v>8656.7882490000011</v>
      </c>
      <c r="D495">
        <v>4224.3846316137979</v>
      </c>
    </row>
    <row r="496" spans="1:4" x14ac:dyDescent="0.2">
      <c r="A496" s="29">
        <v>45216</v>
      </c>
      <c r="B496" s="328" t="s">
        <v>15</v>
      </c>
      <c r="C496">
        <v>80974.262575690009</v>
      </c>
      <c r="D496">
        <v>3786.2957873423329</v>
      </c>
    </row>
    <row r="497" spans="1:4" x14ac:dyDescent="0.2">
      <c r="A497" s="29"/>
      <c r="B497" s="328" t="s">
        <v>14</v>
      </c>
      <c r="C497">
        <v>8656.7882490000011</v>
      </c>
      <c r="D497">
        <v>4256.697565407193</v>
      </c>
    </row>
    <row r="498" spans="1:4" x14ac:dyDescent="0.2">
      <c r="A498" s="29">
        <v>45215</v>
      </c>
      <c r="B498" s="328" t="s">
        <v>15</v>
      </c>
      <c r="C498">
        <v>80974.262575690009</v>
      </c>
      <c r="D498">
        <v>3846.9455100115251</v>
      </c>
    </row>
    <row r="499" spans="1:4" x14ac:dyDescent="0.2">
      <c r="A499" s="29"/>
      <c r="B499" s="328" t="s">
        <v>14</v>
      </c>
      <c r="C499">
        <v>8656.7882490000011</v>
      </c>
      <c r="D499">
        <v>4315.5463253560129</v>
      </c>
    </row>
    <row r="500" spans="1:4" x14ac:dyDescent="0.2">
      <c r="A500" s="29">
        <v>45214</v>
      </c>
      <c r="B500" s="328" t="s">
        <v>15</v>
      </c>
      <c r="C500">
        <v>80974.262575690009</v>
      </c>
      <c r="D500">
        <v>3787.0755694909371</v>
      </c>
    </row>
    <row r="501" spans="1:4" x14ac:dyDescent="0.2">
      <c r="A501" s="29"/>
      <c r="B501" s="328" t="s">
        <v>14</v>
      </c>
      <c r="C501">
        <v>8656.7882490000011</v>
      </c>
      <c r="D501">
        <v>4221.7345290271314</v>
      </c>
    </row>
    <row r="502" spans="1:4" x14ac:dyDescent="0.2">
      <c r="A502" s="29">
        <v>45213</v>
      </c>
      <c r="B502" s="328" t="s">
        <v>15</v>
      </c>
      <c r="C502">
        <v>80974.262575690009</v>
      </c>
      <c r="D502">
        <v>3791.0562642391578</v>
      </c>
    </row>
    <row r="503" spans="1:4" x14ac:dyDescent="0.2">
      <c r="A503" s="29"/>
      <c r="B503" s="328" t="s">
        <v>14</v>
      </c>
      <c r="C503">
        <v>8656.7882490000011</v>
      </c>
      <c r="D503">
        <v>4212.6485372167463</v>
      </c>
    </row>
    <row r="504" spans="1:4" x14ac:dyDescent="0.2">
      <c r="A504" s="29">
        <v>45212</v>
      </c>
      <c r="B504" s="328" t="s">
        <v>15</v>
      </c>
      <c r="C504">
        <v>80974.262575690009</v>
      </c>
      <c r="D504">
        <v>3774.4808326899142</v>
      </c>
    </row>
    <row r="505" spans="1:4" x14ac:dyDescent="0.2">
      <c r="A505" s="29"/>
      <c r="B505" s="328" t="s">
        <v>14</v>
      </c>
      <c r="C505">
        <v>8656.7882490000011</v>
      </c>
      <c r="D505">
        <v>4202.6022478858986</v>
      </c>
    </row>
    <row r="506" spans="1:4" x14ac:dyDescent="0.2">
      <c r="A506" s="29">
        <v>45211</v>
      </c>
      <c r="B506" s="328" t="s">
        <v>15</v>
      </c>
      <c r="C506">
        <v>80974.262575690009</v>
      </c>
      <c r="D506">
        <v>3688.448917673747</v>
      </c>
    </row>
    <row r="507" spans="1:4" x14ac:dyDescent="0.2">
      <c r="A507" s="29"/>
      <c r="B507" s="328" t="s">
        <v>14</v>
      </c>
      <c r="C507">
        <v>8656.7882490000011</v>
      </c>
      <c r="D507">
        <v>4180.9182918403912</v>
      </c>
    </row>
    <row r="508" spans="1:4" x14ac:dyDescent="0.2">
      <c r="A508" s="29">
        <v>45210</v>
      </c>
      <c r="B508" s="328" t="s">
        <v>15</v>
      </c>
      <c r="C508">
        <v>80974.262575690009</v>
      </c>
      <c r="D508">
        <v>3774.091346486925</v>
      </c>
    </row>
    <row r="509" spans="1:4" x14ac:dyDescent="0.2">
      <c r="A509" s="29"/>
      <c r="B509" s="328" t="s">
        <v>14</v>
      </c>
      <c r="C509">
        <v>8656.7882490000011</v>
      </c>
      <c r="D509">
        <v>4230.320245044607</v>
      </c>
    </row>
    <row r="510" spans="1:4" x14ac:dyDescent="0.2">
      <c r="A510" s="29">
        <v>45209</v>
      </c>
      <c r="B510" s="328" t="s">
        <v>15</v>
      </c>
      <c r="C510">
        <v>80974.262575690009</v>
      </c>
      <c r="D510">
        <v>3799.471919348649</v>
      </c>
    </row>
    <row r="511" spans="1:4" x14ac:dyDescent="0.2">
      <c r="A511" s="29"/>
      <c r="B511" s="328" t="s">
        <v>14</v>
      </c>
      <c r="C511">
        <v>8656.7882490000011</v>
      </c>
      <c r="D511">
        <v>4304.7043906171994</v>
      </c>
    </row>
    <row r="512" spans="1:4" x14ac:dyDescent="0.2">
      <c r="A512" s="29">
        <v>45208</v>
      </c>
      <c r="B512" s="328" t="s">
        <v>15</v>
      </c>
      <c r="C512">
        <v>80974.262575690009</v>
      </c>
      <c r="D512">
        <v>3765.3485553566279</v>
      </c>
    </row>
    <row r="513" spans="1:4" x14ac:dyDescent="0.2">
      <c r="A513" s="29"/>
      <c r="B513" s="328" t="s">
        <v>14</v>
      </c>
      <c r="C513">
        <v>8656.7882490000011</v>
      </c>
      <c r="D513">
        <v>4353.3104387098028</v>
      </c>
    </row>
    <row r="514" spans="1:4" x14ac:dyDescent="0.2">
      <c r="A514" s="29">
        <v>45207</v>
      </c>
      <c r="B514" s="328" t="s">
        <v>15</v>
      </c>
      <c r="C514">
        <v>80974.262575690009</v>
      </c>
      <c r="D514">
        <v>3892.3825979706221</v>
      </c>
    </row>
    <row r="515" spans="1:4" x14ac:dyDescent="0.2">
      <c r="A515" s="29"/>
      <c r="B515" s="328" t="s">
        <v>14</v>
      </c>
      <c r="C515">
        <v>8656.7882490000011</v>
      </c>
      <c r="D515">
        <v>4483.8031244788754</v>
      </c>
    </row>
    <row r="516" spans="1:4" x14ac:dyDescent="0.2">
      <c r="A516" s="29">
        <v>45206</v>
      </c>
      <c r="B516" s="328" t="s">
        <v>15</v>
      </c>
      <c r="C516">
        <v>80974.262575690009</v>
      </c>
      <c r="D516">
        <v>3908.9475028657312</v>
      </c>
    </row>
    <row r="517" spans="1:4" x14ac:dyDescent="0.2">
      <c r="A517" s="29"/>
      <c r="B517" s="328" t="s">
        <v>14</v>
      </c>
      <c r="C517">
        <v>8656.7882490000011</v>
      </c>
      <c r="D517">
        <v>4517.6434619909242</v>
      </c>
    </row>
    <row r="518" spans="1:4" x14ac:dyDescent="0.2">
      <c r="A518" s="29">
        <v>45205</v>
      </c>
      <c r="B518" s="328" t="s">
        <v>15</v>
      </c>
      <c r="C518">
        <v>80974.262575690009</v>
      </c>
      <c r="D518">
        <v>3927.3861521968411</v>
      </c>
    </row>
    <row r="519" spans="1:4" x14ac:dyDescent="0.2">
      <c r="A519" s="29"/>
      <c r="B519" s="328" t="s">
        <v>14</v>
      </c>
      <c r="C519">
        <v>8656.7882490000011</v>
      </c>
      <c r="D519">
        <v>4553.928043665077</v>
      </c>
    </row>
    <row r="520" spans="1:4" x14ac:dyDescent="0.2">
      <c r="A520" s="29">
        <v>45204</v>
      </c>
      <c r="B520" s="328" t="s">
        <v>15</v>
      </c>
      <c r="C520">
        <v>80974.262575690009</v>
      </c>
      <c r="D520">
        <v>3893.6814251423361</v>
      </c>
    </row>
    <row r="521" spans="1:4" x14ac:dyDescent="0.2">
      <c r="A521" s="29"/>
      <c r="B521" s="328" t="s">
        <v>14</v>
      </c>
      <c r="C521">
        <v>8656.7882490000011</v>
      </c>
      <c r="D521">
        <v>4532.2802729944506</v>
      </c>
    </row>
    <row r="522" spans="1:4" x14ac:dyDescent="0.2">
      <c r="A522" s="29">
        <v>45203</v>
      </c>
      <c r="B522" s="328" t="s">
        <v>15</v>
      </c>
      <c r="C522">
        <v>80974.262575690009</v>
      </c>
      <c r="D522">
        <v>3954.653425376579</v>
      </c>
    </row>
    <row r="523" spans="1:4" x14ac:dyDescent="0.2">
      <c r="A523" s="29"/>
      <c r="B523" s="328" t="s">
        <v>14</v>
      </c>
      <c r="C523">
        <v>8656.7882490000011</v>
      </c>
      <c r="D523">
        <v>4614.0654531126438</v>
      </c>
    </row>
    <row r="524" spans="1:4" x14ac:dyDescent="0.2">
      <c r="A524" s="29">
        <v>45202</v>
      </c>
      <c r="B524" s="328" t="s">
        <v>15</v>
      </c>
      <c r="C524">
        <v>80974.262575690009</v>
      </c>
      <c r="D524">
        <v>3996.0272248396282</v>
      </c>
    </row>
    <row r="525" spans="1:4" x14ac:dyDescent="0.2">
      <c r="A525" s="29"/>
      <c r="B525" s="328" t="s">
        <v>14</v>
      </c>
      <c r="C525">
        <v>8656.7882490000011</v>
      </c>
      <c r="D525">
        <v>4654.2394431791899</v>
      </c>
    </row>
    <row r="526" spans="1:4" x14ac:dyDescent="0.2">
      <c r="A526" s="29">
        <v>45201</v>
      </c>
      <c r="B526" s="328" t="s">
        <v>15</v>
      </c>
      <c r="C526">
        <v>80974.262575690009</v>
      </c>
      <c r="D526">
        <v>4047.980311708191</v>
      </c>
    </row>
    <row r="527" spans="1:4" x14ac:dyDescent="0.2">
      <c r="A527" s="29"/>
      <c r="B527" s="328" t="s">
        <v>14</v>
      </c>
      <c r="C527">
        <v>8656.7882490000011</v>
      </c>
      <c r="D527">
        <v>4443.2780150809504</v>
      </c>
    </row>
    <row r="528" spans="1:4" x14ac:dyDescent="0.2">
      <c r="A528" s="29">
        <v>45200</v>
      </c>
      <c r="B528" s="328" t="s">
        <v>15</v>
      </c>
      <c r="C528">
        <v>80974.262575690009</v>
      </c>
      <c r="D528">
        <v>4110.5847530759593</v>
      </c>
    </row>
    <row r="529" spans="1:4" x14ac:dyDescent="0.2">
      <c r="A529" s="29"/>
      <c r="B529" s="328" t="s">
        <v>14</v>
      </c>
      <c r="C529">
        <v>8656.7882490000011</v>
      </c>
      <c r="D529">
        <v>4537.771793188087</v>
      </c>
    </row>
    <row r="530" spans="1:4" x14ac:dyDescent="0.2">
      <c r="A530" s="29">
        <v>45199</v>
      </c>
      <c r="B530" s="328" t="s">
        <v>15</v>
      </c>
      <c r="C530">
        <v>80974.262575690009</v>
      </c>
      <c r="D530">
        <v>4030.331971179819</v>
      </c>
    </row>
    <row r="531" spans="1:4" x14ac:dyDescent="0.2">
      <c r="A531" s="29"/>
      <c r="B531" s="328" t="s">
        <v>14</v>
      </c>
      <c r="C531">
        <v>8656.7882490000011</v>
      </c>
      <c r="D531">
        <v>4461.9417042742634</v>
      </c>
    </row>
    <row r="532" spans="1:4" x14ac:dyDescent="0.2">
      <c r="A532" s="29">
        <v>45198</v>
      </c>
      <c r="B532" s="328" t="s">
        <v>15</v>
      </c>
      <c r="C532">
        <v>80974.262575690009</v>
      </c>
      <c r="D532">
        <v>4009.7296895526861</v>
      </c>
    </row>
    <row r="533" spans="1:4" x14ac:dyDescent="0.2">
      <c r="A533" s="29"/>
      <c r="B533" s="328" t="s">
        <v>14</v>
      </c>
      <c r="C533">
        <v>8656.7882490000011</v>
      </c>
      <c r="D533">
        <v>4512.6919522482613</v>
      </c>
    </row>
    <row r="534" spans="1:4" x14ac:dyDescent="0.2">
      <c r="A534" s="29">
        <v>45197</v>
      </c>
      <c r="B534" s="328" t="s">
        <v>15</v>
      </c>
      <c r="C534">
        <v>80974.262575690009</v>
      </c>
      <c r="D534">
        <v>4038.2844535073768</v>
      </c>
    </row>
    <row r="535" spans="1:4" x14ac:dyDescent="0.2">
      <c r="A535" s="29"/>
      <c r="B535" s="328" t="s">
        <v>14</v>
      </c>
      <c r="C535">
        <v>8656.7882490000011</v>
      </c>
      <c r="D535">
        <v>4410.6716161659142</v>
      </c>
    </row>
    <row r="536" spans="1:4" x14ac:dyDescent="0.2">
      <c r="A536" s="29">
        <v>45196</v>
      </c>
      <c r="B536" s="328" t="s">
        <v>15</v>
      </c>
      <c r="C536">
        <v>80974.262575690009</v>
      </c>
      <c r="D536">
        <v>4003.144862520031</v>
      </c>
    </row>
    <row r="537" spans="1:4" x14ac:dyDescent="0.2">
      <c r="A537" s="29"/>
      <c r="B537" s="328" t="s">
        <v>14</v>
      </c>
      <c r="C537">
        <v>8656.7882490000011</v>
      </c>
      <c r="D537">
        <v>4321.7169705877814</v>
      </c>
    </row>
    <row r="538" spans="1:4" x14ac:dyDescent="0.2">
      <c r="A538" s="29">
        <v>45195</v>
      </c>
      <c r="B538" s="328" t="s">
        <v>15</v>
      </c>
      <c r="C538">
        <v>80974.262575690009</v>
      </c>
      <c r="D538">
        <v>3999.2621466295259</v>
      </c>
    </row>
    <row r="539" spans="1:4" x14ac:dyDescent="0.2">
      <c r="A539" s="29"/>
      <c r="B539" s="328" t="s">
        <v>14</v>
      </c>
      <c r="C539">
        <v>8656.7882490000011</v>
      </c>
      <c r="D539">
        <v>4342.8271547081458</v>
      </c>
    </row>
    <row r="540" spans="1:4" x14ac:dyDescent="0.2">
      <c r="A540" s="29">
        <v>45194</v>
      </c>
      <c r="B540" s="328" t="s">
        <v>15</v>
      </c>
      <c r="C540">
        <v>80974.262575690009</v>
      </c>
      <c r="D540">
        <v>4090.0237683227401</v>
      </c>
    </row>
    <row r="541" spans="1:4" x14ac:dyDescent="0.2">
      <c r="A541" s="29"/>
      <c r="B541" s="328" t="s">
        <v>14</v>
      </c>
      <c r="C541">
        <v>8656.7882490000011</v>
      </c>
      <c r="D541">
        <v>4374.8499129594338</v>
      </c>
    </row>
    <row r="542" spans="1:4" x14ac:dyDescent="0.2">
      <c r="A542" s="29">
        <v>45193</v>
      </c>
      <c r="B542" s="328" t="s">
        <v>15</v>
      </c>
      <c r="C542">
        <v>80974.262575690009</v>
      </c>
      <c r="D542">
        <v>4034.9086365005969</v>
      </c>
    </row>
    <row r="543" spans="1:4" x14ac:dyDescent="0.2">
      <c r="A543" s="29"/>
      <c r="B543" s="328" t="s">
        <v>14</v>
      </c>
      <c r="C543">
        <v>8656.7882490000011</v>
      </c>
      <c r="D543">
        <v>4347.1486234020467</v>
      </c>
    </row>
    <row r="544" spans="1:4" x14ac:dyDescent="0.2">
      <c r="A544" s="29">
        <v>45192</v>
      </c>
      <c r="B544" s="328" t="s">
        <v>15</v>
      </c>
      <c r="C544">
        <v>80974.262575690009</v>
      </c>
      <c r="D544">
        <v>4203.0152543208578</v>
      </c>
    </row>
    <row r="545" spans="1:4" x14ac:dyDescent="0.2">
      <c r="A545" s="29"/>
      <c r="B545" s="328" t="s">
        <v>14</v>
      </c>
      <c r="C545">
        <v>8656.7882490000011</v>
      </c>
      <c r="D545">
        <v>4392.6054184975465</v>
      </c>
    </row>
    <row r="546" spans="1:4" x14ac:dyDescent="0.2">
      <c r="A546" s="29">
        <v>45191</v>
      </c>
      <c r="B546" s="328" t="s">
        <v>15</v>
      </c>
      <c r="C546">
        <v>80974.262575690009</v>
      </c>
      <c r="D546">
        <v>4082.251858600725</v>
      </c>
    </row>
    <row r="547" spans="1:4" x14ac:dyDescent="0.2">
      <c r="A547" s="29"/>
      <c r="B547" s="328" t="s">
        <v>14</v>
      </c>
      <c r="C547">
        <v>8656.7882490000011</v>
      </c>
      <c r="D547">
        <v>4433.9290300435596</v>
      </c>
    </row>
    <row r="548" spans="1:4" x14ac:dyDescent="0.2">
      <c r="A548" s="29">
        <v>45190</v>
      </c>
      <c r="B548" s="328" t="s">
        <v>15</v>
      </c>
      <c r="C548">
        <v>80974.262575690009</v>
      </c>
      <c r="D548">
        <v>4082.1595479413891</v>
      </c>
    </row>
    <row r="549" spans="1:4" x14ac:dyDescent="0.2">
      <c r="A549" s="29"/>
      <c r="B549" s="328" t="s">
        <v>14</v>
      </c>
      <c r="C549">
        <v>8656.7882490000011</v>
      </c>
      <c r="D549">
        <v>4386.2725450539901</v>
      </c>
    </row>
    <row r="550" spans="1:4" x14ac:dyDescent="0.2">
      <c r="A550" s="29">
        <v>45189</v>
      </c>
      <c r="B550" s="328" t="s">
        <v>15</v>
      </c>
      <c r="C550">
        <v>80974.262575690009</v>
      </c>
      <c r="D550">
        <v>4093.1558527991679</v>
      </c>
    </row>
    <row r="551" spans="1:4" x14ac:dyDescent="0.2">
      <c r="A551" s="29"/>
      <c r="B551" s="328" t="s">
        <v>14</v>
      </c>
      <c r="C551">
        <v>8656.7882490000011</v>
      </c>
      <c r="D551">
        <v>4515.6204571450153</v>
      </c>
    </row>
    <row r="552" spans="1:4" x14ac:dyDescent="0.2">
      <c r="A552" s="29">
        <v>45188</v>
      </c>
      <c r="B552" s="328" t="s">
        <v>15</v>
      </c>
      <c r="C552">
        <v>80974.262575690009</v>
      </c>
      <c r="D552">
        <v>4126.816044009257</v>
      </c>
    </row>
    <row r="553" spans="1:4" x14ac:dyDescent="0.2">
      <c r="A553" s="29"/>
      <c r="B553" s="328" t="s">
        <v>14</v>
      </c>
      <c r="C553">
        <v>8656.7882490000011</v>
      </c>
      <c r="D553">
        <v>4450.8324479143221</v>
      </c>
    </row>
    <row r="554" spans="1:4" x14ac:dyDescent="0.2">
      <c r="A554" s="29">
        <v>45187</v>
      </c>
      <c r="B554" s="328" t="s">
        <v>15</v>
      </c>
      <c r="C554">
        <v>80974.262575690009</v>
      </c>
      <c r="D554">
        <v>4050.586063477876</v>
      </c>
    </row>
    <row r="555" spans="1:4" x14ac:dyDescent="0.2">
      <c r="A555" s="29"/>
      <c r="B555" s="328" t="s">
        <v>14</v>
      </c>
      <c r="C555">
        <v>8656.7882490000011</v>
      </c>
      <c r="D555">
        <v>4351.6280784814917</v>
      </c>
    </row>
    <row r="556" spans="1:4" x14ac:dyDescent="0.2">
      <c r="A556" s="29">
        <v>45186</v>
      </c>
      <c r="B556" s="328" t="s">
        <v>15</v>
      </c>
      <c r="C556">
        <v>80974.262575690009</v>
      </c>
      <c r="D556">
        <v>4017.7040349311401</v>
      </c>
    </row>
    <row r="557" spans="1:4" x14ac:dyDescent="0.2">
      <c r="A557" s="29"/>
      <c r="B557" s="328" t="s">
        <v>14</v>
      </c>
      <c r="C557">
        <v>8656.7882490000011</v>
      </c>
      <c r="D557">
        <v>4266.9446056575343</v>
      </c>
    </row>
    <row r="558" spans="1:4" x14ac:dyDescent="0.2">
      <c r="A558" s="29">
        <v>45185</v>
      </c>
      <c r="B558" s="328" t="s">
        <v>15</v>
      </c>
      <c r="C558">
        <v>80974.262575690009</v>
      </c>
      <c r="D558">
        <v>4184.3077704379966</v>
      </c>
    </row>
    <row r="559" spans="1:4" x14ac:dyDescent="0.2">
      <c r="A559" s="29"/>
      <c r="B559" s="328" t="s">
        <v>14</v>
      </c>
      <c r="C559">
        <v>8656.7882490000011</v>
      </c>
      <c r="D559">
        <v>4322.1166545012384</v>
      </c>
    </row>
    <row r="560" spans="1:4" x14ac:dyDescent="0.2">
      <c r="A560" s="29">
        <v>45184</v>
      </c>
      <c r="B560" s="328" t="s">
        <v>15</v>
      </c>
      <c r="C560">
        <v>80974.262575690009</v>
      </c>
      <c r="D560">
        <v>4208.921517033129</v>
      </c>
    </row>
    <row r="561" spans="1:4" x14ac:dyDescent="0.2">
      <c r="A561" s="29"/>
      <c r="B561" s="328" t="s">
        <v>14</v>
      </c>
      <c r="C561">
        <v>8656.7882490000011</v>
      </c>
      <c r="D561">
        <v>4332.6601031812252</v>
      </c>
    </row>
    <row r="562" spans="1:4" x14ac:dyDescent="0.2">
      <c r="A562" s="29">
        <v>45183</v>
      </c>
      <c r="B562" s="328" t="s">
        <v>15</v>
      </c>
      <c r="C562">
        <v>80974.262575690009</v>
      </c>
      <c r="D562">
        <v>4169.6724822200658</v>
      </c>
    </row>
    <row r="563" spans="1:4" x14ac:dyDescent="0.2">
      <c r="A563" s="29"/>
      <c r="B563" s="328" t="s">
        <v>14</v>
      </c>
      <c r="C563">
        <v>8656.7882490000011</v>
      </c>
      <c r="D563">
        <v>4233.4288977048227</v>
      </c>
    </row>
    <row r="564" spans="1:4" x14ac:dyDescent="0.2">
      <c r="A564" s="29">
        <v>45182</v>
      </c>
      <c r="B564" s="328" t="s">
        <v>15</v>
      </c>
      <c r="C564">
        <v>80974.262575690009</v>
      </c>
      <c r="D564">
        <v>4023.8702250262791</v>
      </c>
    </row>
    <row r="565" spans="1:4" x14ac:dyDescent="0.2">
      <c r="A565" s="29"/>
      <c r="B565" s="328" t="s">
        <v>14</v>
      </c>
      <c r="C565">
        <v>8656.7882490000011</v>
      </c>
      <c r="D565">
        <v>4188.8175245497214</v>
      </c>
    </row>
    <row r="566" spans="1:4" x14ac:dyDescent="0.2">
      <c r="A566" s="29">
        <v>45181</v>
      </c>
      <c r="B566" s="328" t="s">
        <v>15</v>
      </c>
      <c r="C566">
        <v>80974.262575690009</v>
      </c>
      <c r="D566">
        <v>3810.532193873863</v>
      </c>
    </row>
    <row r="567" spans="1:4" x14ac:dyDescent="0.2">
      <c r="A567" s="29"/>
      <c r="B567" s="328" t="s">
        <v>14</v>
      </c>
      <c r="C567">
        <v>8656.7882490000011</v>
      </c>
      <c r="D567">
        <v>4162.2372890705792</v>
      </c>
    </row>
    <row r="568" spans="1:4" x14ac:dyDescent="0.2">
      <c r="A568" s="29">
        <v>45180</v>
      </c>
      <c r="B568" s="328" t="s">
        <v>15</v>
      </c>
      <c r="C568">
        <v>80974.262575690009</v>
      </c>
      <c r="D568">
        <v>3755.3449949580272</v>
      </c>
    </row>
    <row r="569" spans="1:4" x14ac:dyDescent="0.2">
      <c r="A569" s="29"/>
      <c r="B569" s="328" t="s">
        <v>14</v>
      </c>
      <c r="C569">
        <v>8656.7882490000011</v>
      </c>
      <c r="D569">
        <v>4106.5735346543324</v>
      </c>
    </row>
    <row r="570" spans="1:4" x14ac:dyDescent="0.2">
      <c r="A570" s="29">
        <v>45179</v>
      </c>
      <c r="B570" s="328" t="s">
        <v>15</v>
      </c>
      <c r="C570">
        <v>80974.262575690009</v>
      </c>
      <c r="D570">
        <v>3872.2094799351398</v>
      </c>
    </row>
    <row r="571" spans="1:4" x14ac:dyDescent="0.2">
      <c r="A571" s="29"/>
      <c r="B571" s="328" t="s">
        <v>14</v>
      </c>
      <c r="C571">
        <v>8656.7882490000011</v>
      </c>
      <c r="D571">
        <v>4309.7533757955462</v>
      </c>
    </row>
    <row r="572" spans="1:4" x14ac:dyDescent="0.2">
      <c r="A572" s="29">
        <v>45178</v>
      </c>
      <c r="B572" s="328" t="s">
        <v>15</v>
      </c>
      <c r="C572">
        <v>80974.262575690009</v>
      </c>
      <c r="D572">
        <v>3967.9655941440219</v>
      </c>
    </row>
    <row r="573" spans="1:4" x14ac:dyDescent="0.2">
      <c r="A573" s="29"/>
      <c r="B573" s="328" t="s">
        <v>14</v>
      </c>
      <c r="C573">
        <v>8656.7882490000011</v>
      </c>
      <c r="D573">
        <v>4359.3628322140912</v>
      </c>
    </row>
    <row r="574" spans="1:4" x14ac:dyDescent="0.2">
      <c r="A574" s="29">
        <v>45177</v>
      </c>
      <c r="B574" s="328" t="s">
        <v>15</v>
      </c>
      <c r="C574">
        <v>80974.262575690009</v>
      </c>
      <c r="D574">
        <v>4037.277133680936</v>
      </c>
    </row>
    <row r="575" spans="1:4" x14ac:dyDescent="0.2">
      <c r="A575" s="29"/>
      <c r="B575" s="328" t="s">
        <v>14</v>
      </c>
      <c r="C575">
        <v>8656.7882490000011</v>
      </c>
      <c r="D575">
        <v>4370.2717704939496</v>
      </c>
    </row>
    <row r="576" spans="1:4" x14ac:dyDescent="0.2">
      <c r="A576" s="29">
        <v>45176</v>
      </c>
      <c r="B576" s="328" t="s">
        <v>15</v>
      </c>
      <c r="C576">
        <v>80974.262575690009</v>
      </c>
      <c r="D576">
        <v>4043.2959506181869</v>
      </c>
    </row>
    <row r="577" spans="1:4" x14ac:dyDescent="0.2">
      <c r="A577" s="29"/>
      <c r="B577" s="328" t="s">
        <v>14</v>
      </c>
      <c r="C577">
        <v>8656.7882490000011</v>
      </c>
      <c r="D577">
        <v>4365.1252233120376</v>
      </c>
    </row>
    <row r="578" spans="1:4" x14ac:dyDescent="0.2">
      <c r="A578" s="29">
        <v>45175</v>
      </c>
      <c r="B578" s="328" t="s">
        <v>15</v>
      </c>
      <c r="C578">
        <v>80974.262575690009</v>
      </c>
      <c r="D578">
        <v>3980.7927270786372</v>
      </c>
    </row>
    <row r="579" spans="1:4" x14ac:dyDescent="0.2">
      <c r="A579" s="29"/>
      <c r="B579" s="328" t="s">
        <v>14</v>
      </c>
      <c r="C579">
        <v>8656.7882490000011</v>
      </c>
      <c r="D579">
        <v>4356.5523193411709</v>
      </c>
    </row>
    <row r="580" spans="1:4" x14ac:dyDescent="0.2">
      <c r="A580" s="29">
        <v>45174</v>
      </c>
      <c r="B580" s="328" t="s">
        <v>15</v>
      </c>
      <c r="C580">
        <v>80974.262575690009</v>
      </c>
      <c r="D580">
        <v>4001.2298212101159</v>
      </c>
    </row>
    <row r="581" spans="1:4" x14ac:dyDescent="0.2">
      <c r="A581" s="29"/>
      <c r="B581" s="328" t="s">
        <v>14</v>
      </c>
      <c r="C581">
        <v>8656.7882490000011</v>
      </c>
      <c r="D581">
        <v>4373.0279187366677</v>
      </c>
    </row>
    <row r="582" spans="1:4" x14ac:dyDescent="0.2">
      <c r="A582" s="29">
        <v>45173</v>
      </c>
      <c r="B582" s="328" t="s">
        <v>15</v>
      </c>
      <c r="C582">
        <v>80974.262575690009</v>
      </c>
      <c r="D582">
        <v>3924.755298405757</v>
      </c>
    </row>
    <row r="583" spans="1:4" x14ac:dyDescent="0.2">
      <c r="A583" s="29"/>
      <c r="B583" s="328" t="s">
        <v>14</v>
      </c>
      <c r="C583">
        <v>8656.7882490000011</v>
      </c>
      <c r="D583">
        <v>4401.2586574633633</v>
      </c>
    </row>
    <row r="584" spans="1:4" x14ac:dyDescent="0.2">
      <c r="A584" s="29">
        <v>45172</v>
      </c>
      <c r="B584" s="328" t="s">
        <v>15</v>
      </c>
      <c r="C584">
        <v>80974.262575690009</v>
      </c>
      <c r="D584">
        <v>3937.537895495956</v>
      </c>
    </row>
    <row r="585" spans="1:4" x14ac:dyDescent="0.2">
      <c r="A585" s="29"/>
      <c r="B585" s="328" t="s">
        <v>14</v>
      </c>
      <c r="C585">
        <v>8656.7882490000011</v>
      </c>
      <c r="D585">
        <v>4367.6574204427534</v>
      </c>
    </row>
    <row r="586" spans="1:4" x14ac:dyDescent="0.2">
      <c r="A586" s="29">
        <v>45171</v>
      </c>
      <c r="B586" s="328" t="s">
        <v>15</v>
      </c>
      <c r="C586">
        <v>80974.262575690009</v>
      </c>
      <c r="D586">
        <v>4026.2864970215378</v>
      </c>
    </row>
    <row r="587" spans="1:4" x14ac:dyDescent="0.2">
      <c r="A587" s="29"/>
      <c r="B587" s="328" t="s">
        <v>14</v>
      </c>
      <c r="C587">
        <v>8656.7882490000011</v>
      </c>
      <c r="D587">
        <v>4316.3132302269914</v>
      </c>
    </row>
    <row r="588" spans="1:4" x14ac:dyDescent="0.2">
      <c r="A588" s="29">
        <v>45170</v>
      </c>
      <c r="B588" s="328" t="s">
        <v>15</v>
      </c>
      <c r="C588">
        <v>80974.262575690009</v>
      </c>
      <c r="D588">
        <v>4044.7194781542671</v>
      </c>
    </row>
    <row r="589" spans="1:4" x14ac:dyDescent="0.2">
      <c r="A589" s="29"/>
      <c r="B589" s="328" t="s">
        <v>14</v>
      </c>
      <c r="C589">
        <v>8656.7882490000011</v>
      </c>
      <c r="D589">
        <v>4309.6727810969478</v>
      </c>
    </row>
    <row r="590" spans="1:4" x14ac:dyDescent="0.2">
      <c r="A590" s="29">
        <v>45169</v>
      </c>
      <c r="B590" s="328" t="s">
        <v>15</v>
      </c>
      <c r="C590">
        <v>80974.262575690009</v>
      </c>
      <c r="D590">
        <v>4244.2886456983133</v>
      </c>
    </row>
    <row r="591" spans="1:4" x14ac:dyDescent="0.2">
      <c r="A591" s="29"/>
      <c r="B591" s="328" t="s">
        <v>14</v>
      </c>
      <c r="C591">
        <v>8656.7882490000011</v>
      </c>
      <c r="D591">
        <v>4417.7546003112457</v>
      </c>
    </row>
    <row r="592" spans="1:4" x14ac:dyDescent="0.2">
      <c r="A592" s="29">
        <v>45168</v>
      </c>
      <c r="B592" s="328" t="s">
        <v>15</v>
      </c>
      <c r="C592">
        <v>80974.262575690009</v>
      </c>
      <c r="D592">
        <v>4341.0464115352561</v>
      </c>
    </row>
    <row r="593" spans="1:4" x14ac:dyDescent="0.2">
      <c r="A593" s="29"/>
      <c r="B593" s="328" t="s">
        <v>14</v>
      </c>
      <c r="C593">
        <v>8656.7882490000011</v>
      </c>
      <c r="D593">
        <v>4569.7303180705676</v>
      </c>
    </row>
    <row r="594" spans="1:4" x14ac:dyDescent="0.2">
      <c r="A594" s="29">
        <v>45167</v>
      </c>
      <c r="B594" s="328" t="s">
        <v>15</v>
      </c>
      <c r="C594">
        <v>80974.262575690009</v>
      </c>
      <c r="D594">
        <v>4556.3148691074766</v>
      </c>
    </row>
    <row r="595" spans="1:4" x14ac:dyDescent="0.2">
      <c r="A595" s="29"/>
      <c r="B595" s="328" t="s">
        <v>14</v>
      </c>
      <c r="C595">
        <v>8656.7882490000011</v>
      </c>
      <c r="D595">
        <v>4674.8780920436311</v>
      </c>
    </row>
    <row r="596" spans="1:4" x14ac:dyDescent="0.2">
      <c r="A596" s="29">
        <v>45166</v>
      </c>
      <c r="B596" s="328" t="s">
        <v>15</v>
      </c>
      <c r="C596">
        <v>80974.262575690009</v>
      </c>
      <c r="D596">
        <v>4542.9759788333831</v>
      </c>
    </row>
    <row r="597" spans="1:4" x14ac:dyDescent="0.2">
      <c r="A597" s="29"/>
      <c r="B597" s="328" t="s">
        <v>14</v>
      </c>
      <c r="C597">
        <v>8656.7882490000011</v>
      </c>
      <c r="D597">
        <v>4530.0953862082861</v>
      </c>
    </row>
    <row r="598" spans="1:4" x14ac:dyDescent="0.2">
      <c r="A598" s="29">
        <v>45165</v>
      </c>
      <c r="B598" s="328" t="s">
        <v>15</v>
      </c>
      <c r="C598">
        <v>80974.262575690009</v>
      </c>
      <c r="D598">
        <v>4708.2023421338272</v>
      </c>
    </row>
    <row r="599" spans="1:4" x14ac:dyDescent="0.2">
      <c r="A599" s="29"/>
      <c r="B599" s="328" t="s">
        <v>14</v>
      </c>
      <c r="C599">
        <v>8656.7882490000011</v>
      </c>
      <c r="D599">
        <v>4532.2318815481394</v>
      </c>
    </row>
    <row r="600" spans="1:4" x14ac:dyDescent="0.2">
      <c r="A600" s="29">
        <v>45164</v>
      </c>
      <c r="B600" s="328" t="s">
        <v>15</v>
      </c>
      <c r="C600">
        <v>80974.262575690009</v>
      </c>
      <c r="D600">
        <v>4685.6574879475038</v>
      </c>
    </row>
    <row r="601" spans="1:4" x14ac:dyDescent="0.2">
      <c r="A601" s="29"/>
      <c r="B601" s="328" t="s">
        <v>14</v>
      </c>
      <c r="C601">
        <v>8656.7882490000011</v>
      </c>
      <c r="D601">
        <v>4526.7082446700997</v>
      </c>
    </row>
    <row r="602" spans="1:4" x14ac:dyDescent="0.2">
      <c r="A602" s="29">
        <v>45163</v>
      </c>
      <c r="B602" s="328" t="s">
        <v>15</v>
      </c>
      <c r="C602">
        <v>80974.262575690009</v>
      </c>
      <c r="D602">
        <v>4770.2415831488179</v>
      </c>
    </row>
    <row r="603" spans="1:4" x14ac:dyDescent="0.2">
      <c r="A603" s="29"/>
      <c r="B603" s="328" t="s">
        <v>14</v>
      </c>
      <c r="C603">
        <v>8656.7882490000011</v>
      </c>
      <c r="D603">
        <v>4556.0348462212369</v>
      </c>
    </row>
    <row r="604" spans="1:4" x14ac:dyDescent="0.2">
      <c r="A604" s="29">
        <v>45162</v>
      </c>
      <c r="B604" s="328" t="s">
        <v>15</v>
      </c>
      <c r="C604">
        <v>80974.262575690009</v>
      </c>
      <c r="D604">
        <v>4791.5621064849965</v>
      </c>
    </row>
    <row r="605" spans="1:4" x14ac:dyDescent="0.2">
      <c r="A605" s="29"/>
      <c r="B605" s="328" t="s">
        <v>14</v>
      </c>
      <c r="C605">
        <v>8656.7882490000011</v>
      </c>
      <c r="D605">
        <v>4485.1998106949704</v>
      </c>
    </row>
    <row r="606" spans="1:4" x14ac:dyDescent="0.2">
      <c r="A606" s="29">
        <v>45161</v>
      </c>
      <c r="B606" s="328" t="s">
        <v>15</v>
      </c>
      <c r="C606">
        <v>80974.262575690009</v>
      </c>
      <c r="D606">
        <v>5007.4483976806696</v>
      </c>
    </row>
    <row r="607" spans="1:4" x14ac:dyDescent="0.2">
      <c r="A607" s="29"/>
      <c r="B607" s="328" t="s">
        <v>14</v>
      </c>
      <c r="C607">
        <v>8656.7882490000011</v>
      </c>
      <c r="D607">
        <v>4587.3998617013667</v>
      </c>
    </row>
    <row r="608" spans="1:4" x14ac:dyDescent="0.2">
      <c r="A608" s="29">
        <v>45160</v>
      </c>
      <c r="B608" s="328" t="s">
        <v>15</v>
      </c>
      <c r="C608">
        <v>80974.262575690009</v>
      </c>
      <c r="D608">
        <v>4768.824533553744</v>
      </c>
    </row>
    <row r="609" spans="1:4" x14ac:dyDescent="0.2">
      <c r="A609" s="29"/>
      <c r="B609" s="328" t="s">
        <v>14</v>
      </c>
      <c r="C609">
        <v>8656.7882490000011</v>
      </c>
      <c r="D609">
        <v>4509.5248662673648</v>
      </c>
    </row>
    <row r="610" spans="1:4" x14ac:dyDescent="0.2">
      <c r="A610" s="29">
        <v>45159</v>
      </c>
      <c r="B610" s="328" t="s">
        <v>15</v>
      </c>
      <c r="C610">
        <v>80974.262575690009</v>
      </c>
      <c r="D610">
        <v>4951.4741289325984</v>
      </c>
    </row>
    <row r="611" spans="1:4" x14ac:dyDescent="0.2">
      <c r="A611" s="29"/>
      <c r="B611" s="328" t="s">
        <v>14</v>
      </c>
      <c r="C611">
        <v>8656.7882490000011</v>
      </c>
      <c r="D611">
        <v>4539.6674566788524</v>
      </c>
    </row>
    <row r="612" spans="1:4" x14ac:dyDescent="0.2">
      <c r="A612" s="29">
        <v>45158</v>
      </c>
      <c r="B612" s="328" t="s">
        <v>15</v>
      </c>
      <c r="C612">
        <v>80974.262575690009</v>
      </c>
      <c r="D612">
        <v>4967.4892185848184</v>
      </c>
    </row>
    <row r="613" spans="1:4" x14ac:dyDescent="0.2">
      <c r="A613" s="29"/>
      <c r="B613" s="328" t="s">
        <v>14</v>
      </c>
      <c r="C613">
        <v>8656.7882490000011</v>
      </c>
      <c r="D613">
        <v>4666.2824207196691</v>
      </c>
    </row>
    <row r="614" spans="1:4" x14ac:dyDescent="0.2">
      <c r="A614" s="29">
        <v>45157</v>
      </c>
      <c r="B614" s="328" t="s">
        <v>15</v>
      </c>
      <c r="C614">
        <v>80974.262575690009</v>
      </c>
      <c r="D614">
        <v>5279.0279769332756</v>
      </c>
    </row>
    <row r="615" spans="1:4" x14ac:dyDescent="0.2">
      <c r="A615" s="29"/>
      <c r="B615" s="328" t="s">
        <v>14</v>
      </c>
      <c r="C615">
        <v>8656.7882490000011</v>
      </c>
      <c r="D615">
        <v>4499.2234613868204</v>
      </c>
    </row>
    <row r="616" spans="1:4" x14ac:dyDescent="0.2">
      <c r="A616" s="29">
        <v>45156</v>
      </c>
      <c r="B616" s="328" t="s">
        <v>15</v>
      </c>
      <c r="C616">
        <v>80974.262575690009</v>
      </c>
      <c r="D616">
        <v>4782.1820479082298</v>
      </c>
    </row>
    <row r="617" spans="1:4" x14ac:dyDescent="0.2">
      <c r="A617" s="29"/>
      <c r="B617" s="328" t="s">
        <v>14</v>
      </c>
      <c r="C617">
        <v>8656.7882490000011</v>
      </c>
      <c r="D617">
        <v>4376.3451999936833</v>
      </c>
    </row>
    <row r="618" spans="1:4" x14ac:dyDescent="0.2">
      <c r="A618" s="29">
        <v>45155</v>
      </c>
      <c r="B618" s="328" t="s">
        <v>15</v>
      </c>
      <c r="C618">
        <v>80974.262575690009</v>
      </c>
      <c r="D618">
        <v>4666.4722559154452</v>
      </c>
    </row>
    <row r="619" spans="1:4" x14ac:dyDescent="0.2">
      <c r="A619" s="29"/>
      <c r="B619" s="328" t="s">
        <v>14</v>
      </c>
      <c r="C619">
        <v>8656.7882490000011</v>
      </c>
      <c r="D619">
        <v>4367.6651249842926</v>
      </c>
    </row>
    <row r="620" spans="1:4" x14ac:dyDescent="0.2">
      <c r="A620" s="29">
        <v>45154</v>
      </c>
      <c r="B620" s="328" t="s">
        <v>15</v>
      </c>
      <c r="C620">
        <v>80974.262575690009</v>
      </c>
      <c r="D620">
        <v>5110.5245852263952</v>
      </c>
    </row>
    <row r="621" spans="1:4" x14ac:dyDescent="0.2">
      <c r="A621" s="29"/>
      <c r="B621" s="328" t="s">
        <v>14</v>
      </c>
      <c r="C621">
        <v>8656.7882490000011</v>
      </c>
      <c r="D621">
        <v>5101.0374072734076</v>
      </c>
    </row>
    <row r="622" spans="1:4" x14ac:dyDescent="0.2">
      <c r="A622" s="29">
        <v>45153</v>
      </c>
      <c r="B622" s="328" t="s">
        <v>15</v>
      </c>
      <c r="C622">
        <v>80974.262575690009</v>
      </c>
      <c r="D622">
        <v>5503.9242743257464</v>
      </c>
    </row>
    <row r="623" spans="1:4" x14ac:dyDescent="0.2">
      <c r="A623" s="29"/>
      <c r="B623" s="328" t="s">
        <v>14</v>
      </c>
      <c r="C623">
        <v>8656.7882490000011</v>
      </c>
      <c r="D623">
        <v>5274.8440733427051</v>
      </c>
    </row>
    <row r="624" spans="1:4" x14ac:dyDescent="0.2">
      <c r="A624" s="29">
        <v>45152</v>
      </c>
      <c r="B624" s="328" t="s">
        <v>15</v>
      </c>
      <c r="C624">
        <v>80974.262575690009</v>
      </c>
      <c r="D624">
        <v>5315.9514309251663</v>
      </c>
    </row>
    <row r="625" spans="1:4" x14ac:dyDescent="0.2">
      <c r="A625" s="29"/>
      <c r="B625" s="328" t="s">
        <v>14</v>
      </c>
      <c r="C625">
        <v>8656.7882490000011</v>
      </c>
      <c r="D625">
        <v>5494.2981569847443</v>
      </c>
    </row>
    <row r="626" spans="1:4" x14ac:dyDescent="0.2">
      <c r="A626" s="29">
        <v>45151</v>
      </c>
      <c r="B626" s="328" t="s">
        <v>15</v>
      </c>
      <c r="C626">
        <v>80974.262575690009</v>
      </c>
      <c r="D626">
        <v>4619.613259905519</v>
      </c>
    </row>
    <row r="627" spans="1:4" x14ac:dyDescent="0.2">
      <c r="A627" s="29"/>
      <c r="B627" s="328" t="s">
        <v>14</v>
      </c>
      <c r="C627">
        <v>8656.7882490000011</v>
      </c>
      <c r="D627">
        <v>5416.4589140862108</v>
      </c>
    </row>
    <row r="628" spans="1:4" x14ac:dyDescent="0.2">
      <c r="A628" s="29">
        <v>45150</v>
      </c>
      <c r="B628" s="328" t="s">
        <v>15</v>
      </c>
      <c r="C628">
        <v>80974.262575690009</v>
      </c>
      <c r="D628">
        <v>4551.779500660612</v>
      </c>
    </row>
    <row r="629" spans="1:4" x14ac:dyDescent="0.2">
      <c r="A629" s="29"/>
      <c r="B629" s="328" t="s">
        <v>14</v>
      </c>
      <c r="C629">
        <v>8656.7882490000011</v>
      </c>
      <c r="D629">
        <v>5428.5050946383426</v>
      </c>
    </row>
    <row r="630" spans="1:4" x14ac:dyDescent="0.2">
      <c r="A630" s="29">
        <v>45149</v>
      </c>
      <c r="B630" s="328" t="s">
        <v>15</v>
      </c>
      <c r="C630">
        <v>80974.262575690009</v>
      </c>
      <c r="D630">
        <v>4580.5618022931412</v>
      </c>
    </row>
    <row r="631" spans="1:4" x14ac:dyDescent="0.2">
      <c r="A631" s="29"/>
      <c r="B631" s="328" t="s">
        <v>14</v>
      </c>
      <c r="C631">
        <v>8656.7882490000011</v>
      </c>
      <c r="D631">
        <v>5467.7796444058195</v>
      </c>
    </row>
    <row r="632" spans="1:4" x14ac:dyDescent="0.2">
      <c r="A632" s="29">
        <v>45148</v>
      </c>
      <c r="B632" s="328" t="s">
        <v>15</v>
      </c>
      <c r="C632">
        <v>80974.262575690009</v>
      </c>
      <c r="D632">
        <v>4667.8374819824721</v>
      </c>
    </row>
    <row r="633" spans="1:4" x14ac:dyDescent="0.2">
      <c r="A633" s="29"/>
      <c r="B633" s="328" t="s">
        <v>14</v>
      </c>
      <c r="C633">
        <v>8656.7882490000011</v>
      </c>
      <c r="D633">
        <v>5481.5981292161669</v>
      </c>
    </row>
    <row r="634" spans="1:4" x14ac:dyDescent="0.2">
      <c r="A634" s="29">
        <v>45147</v>
      </c>
      <c r="B634" s="328" t="s">
        <v>15</v>
      </c>
      <c r="C634">
        <v>80974.262575690009</v>
      </c>
      <c r="D634">
        <v>4841.0819167631607</v>
      </c>
    </row>
    <row r="635" spans="1:4" x14ac:dyDescent="0.2">
      <c r="A635" s="29"/>
      <c r="B635" s="328" t="s">
        <v>14</v>
      </c>
      <c r="C635">
        <v>8656.7882490000011</v>
      </c>
      <c r="D635">
        <v>5571.5540189231788</v>
      </c>
    </row>
    <row r="636" spans="1:4" x14ac:dyDescent="0.2">
      <c r="A636" s="29">
        <v>45146</v>
      </c>
      <c r="B636" s="328" t="s">
        <v>14</v>
      </c>
      <c r="C636">
        <v>8656.7882490000011</v>
      </c>
      <c r="D636">
        <v>5563.0616230830256</v>
      </c>
    </row>
    <row r="637" spans="1:4" x14ac:dyDescent="0.2">
      <c r="A637" s="29"/>
      <c r="B637" s="328" t="s">
        <v>39</v>
      </c>
      <c r="C637">
        <v>1.443747510000001</v>
      </c>
      <c r="D637">
        <v>2680.814110094394</v>
      </c>
    </row>
    <row r="638" spans="1:4" x14ac:dyDescent="0.2">
      <c r="A638" s="29"/>
      <c r="B638" s="328" t="s">
        <v>15</v>
      </c>
      <c r="C638">
        <v>36702.641885169993</v>
      </c>
      <c r="D638">
        <v>2266.5041167576042</v>
      </c>
    </row>
    <row r="639" spans="1:4" x14ac:dyDescent="0.2">
      <c r="A639" s="29">
        <v>45145</v>
      </c>
      <c r="B639" s="328" t="s">
        <v>14</v>
      </c>
      <c r="C639">
        <v>8656.7882490000011</v>
      </c>
      <c r="D639">
        <v>5374.4627566611334</v>
      </c>
    </row>
    <row r="640" spans="1:4" x14ac:dyDescent="0.2">
      <c r="A640" s="29"/>
      <c r="B640" s="328" t="s">
        <v>39</v>
      </c>
      <c r="C640">
        <v>1.443747510000001</v>
      </c>
      <c r="D640">
        <v>2637.6306707273088</v>
      </c>
    </row>
    <row r="641" spans="1:4" x14ac:dyDescent="0.2">
      <c r="A641" s="29"/>
      <c r="B641" s="328" t="s">
        <v>15</v>
      </c>
      <c r="C641">
        <v>36702.641885169993</v>
      </c>
      <c r="D641">
        <v>2068.9620565239861</v>
      </c>
    </row>
    <row r="642" spans="1:4" x14ac:dyDescent="0.2">
      <c r="A642" s="29">
        <v>45144</v>
      </c>
      <c r="B642" s="328" t="s">
        <v>14</v>
      </c>
      <c r="C642">
        <v>8656.7882490000011</v>
      </c>
      <c r="D642">
        <v>5385.8487705413954</v>
      </c>
    </row>
    <row r="643" spans="1:4" x14ac:dyDescent="0.2">
      <c r="A643" s="29"/>
      <c r="B643" s="328" t="s">
        <v>39</v>
      </c>
      <c r="C643">
        <v>1.443747510000001</v>
      </c>
      <c r="D643">
        <v>2637.3033640711828</v>
      </c>
    </row>
    <row r="644" spans="1:4" x14ac:dyDescent="0.2">
      <c r="A644" s="29"/>
      <c r="B644" s="328" t="s">
        <v>15</v>
      </c>
      <c r="C644">
        <v>36702.641885169993</v>
      </c>
      <c r="D644">
        <v>2106.0199799826041</v>
      </c>
    </row>
    <row r="645" spans="1:4" x14ac:dyDescent="0.2">
      <c r="A645" s="29">
        <v>45143</v>
      </c>
      <c r="B645" s="328" t="s">
        <v>14</v>
      </c>
      <c r="C645">
        <v>8656.7882490000011</v>
      </c>
      <c r="D645">
        <v>5440.1874303803679</v>
      </c>
    </row>
    <row r="646" spans="1:4" x14ac:dyDescent="0.2">
      <c r="A646" s="29"/>
      <c r="B646" s="328" t="s">
        <v>39</v>
      </c>
      <c r="C646">
        <v>1.443747510000001</v>
      </c>
      <c r="D646">
        <v>2649.3785774307621</v>
      </c>
    </row>
    <row r="647" spans="1:4" x14ac:dyDescent="0.2">
      <c r="A647" s="29"/>
      <c r="B647" s="328" t="s">
        <v>15</v>
      </c>
      <c r="C647">
        <v>36702.641885169993</v>
      </c>
      <c r="D647">
        <v>1927.5086065928649</v>
      </c>
    </row>
    <row r="648" spans="1:4" x14ac:dyDescent="0.2">
      <c r="A648" s="29">
        <v>45142</v>
      </c>
      <c r="B648" s="328" t="s">
        <v>14</v>
      </c>
      <c r="C648">
        <v>8656.7882490000011</v>
      </c>
      <c r="D648">
        <v>5504.0729694361034</v>
      </c>
    </row>
    <row r="649" spans="1:4" x14ac:dyDescent="0.2">
      <c r="A649" s="29"/>
      <c r="B649" s="328" t="s">
        <v>39</v>
      </c>
      <c r="C649">
        <v>1.443747510000001</v>
      </c>
      <c r="D649">
        <v>2639.836295651503</v>
      </c>
    </row>
    <row r="650" spans="1:4" x14ac:dyDescent="0.2">
      <c r="A650" s="29"/>
      <c r="B650" s="328" t="s">
        <v>15</v>
      </c>
      <c r="C650">
        <v>36702.641885169993</v>
      </c>
      <c r="D650">
        <v>1955.6287026996069</v>
      </c>
    </row>
    <row r="651" spans="1:4" x14ac:dyDescent="0.2">
      <c r="A651" s="29">
        <v>45141</v>
      </c>
      <c r="B651" s="328" t="s">
        <v>40</v>
      </c>
      <c r="C651">
        <v>1.100000000000008E-4</v>
      </c>
      <c r="D651">
        <v>3.209376565624924</v>
      </c>
    </row>
    <row r="652" spans="1:4" x14ac:dyDescent="0.2">
      <c r="A652" s="29"/>
      <c r="B652" s="328" t="s">
        <v>14</v>
      </c>
      <c r="C652">
        <v>8656.7882490000011</v>
      </c>
      <c r="D652">
        <v>5749.9290452872383</v>
      </c>
    </row>
    <row r="653" spans="1:4" x14ac:dyDescent="0.2">
      <c r="A653" s="29"/>
      <c r="B653" s="328" t="s">
        <v>39</v>
      </c>
      <c r="C653">
        <v>1.443747510000001</v>
      </c>
      <c r="D653">
        <v>2650.2891848480081</v>
      </c>
    </row>
    <row r="654" spans="1:4" x14ac:dyDescent="0.2">
      <c r="A654" s="29"/>
      <c r="B654" s="328" t="s">
        <v>15</v>
      </c>
      <c r="C654">
        <v>36702.641885169993</v>
      </c>
      <c r="D654">
        <v>1957.2876621128171</v>
      </c>
    </row>
    <row r="655" spans="1:4" x14ac:dyDescent="0.2">
      <c r="A655" s="29">
        <v>45140</v>
      </c>
      <c r="B655" s="328" t="s">
        <v>14</v>
      </c>
      <c r="C655">
        <v>8656.7882490000011</v>
      </c>
      <c r="D655">
        <v>5927.6468482874334</v>
      </c>
    </row>
    <row r="656" spans="1:4" x14ac:dyDescent="0.2">
      <c r="A656" s="29"/>
      <c r="B656" s="328" t="s">
        <v>39</v>
      </c>
      <c r="C656">
        <v>1.443747510000001</v>
      </c>
      <c r="D656">
        <v>2653.625178876991</v>
      </c>
    </row>
    <row r="657" spans="1:4" x14ac:dyDescent="0.2">
      <c r="A657" s="29"/>
      <c r="B657" s="328" t="s">
        <v>15</v>
      </c>
      <c r="C657">
        <v>36702.641885169993</v>
      </c>
      <c r="D657">
        <v>1930.92378742028</v>
      </c>
    </row>
    <row r="658" spans="1:4" x14ac:dyDescent="0.2">
      <c r="A658" s="29">
        <v>45139</v>
      </c>
      <c r="B658" s="328" t="s">
        <v>14</v>
      </c>
      <c r="C658">
        <v>8656.7882490000011</v>
      </c>
      <c r="D658">
        <v>6122.2149164785433</v>
      </c>
    </row>
    <row r="659" spans="1:4" x14ac:dyDescent="0.2">
      <c r="A659" s="29"/>
      <c r="B659" s="328" t="s">
        <v>39</v>
      </c>
      <c r="C659">
        <v>1.443747510000001</v>
      </c>
      <c r="D659">
        <v>2699.4398449769928</v>
      </c>
    </row>
    <row r="660" spans="1:4" x14ac:dyDescent="0.2">
      <c r="A660" s="29"/>
      <c r="B660" s="328" t="s">
        <v>15</v>
      </c>
      <c r="C660">
        <v>36702.641885169993</v>
      </c>
      <c r="D660">
        <v>1898.6302339047761</v>
      </c>
    </row>
    <row r="661" spans="1:4" x14ac:dyDescent="0.2">
      <c r="A661" s="29">
        <v>45138</v>
      </c>
      <c r="B661" s="328" t="s">
        <v>14</v>
      </c>
      <c r="C661">
        <v>8656.7882490000011</v>
      </c>
      <c r="D661">
        <v>6051.3571135991806</v>
      </c>
    </row>
    <row r="662" spans="1:4" x14ac:dyDescent="0.2">
      <c r="A662" s="29"/>
      <c r="B662" s="328" t="s">
        <v>39</v>
      </c>
      <c r="C662">
        <v>1.443747510000001</v>
      </c>
      <c r="D662">
        <v>2681.437883010773</v>
      </c>
    </row>
    <row r="663" spans="1:4" x14ac:dyDescent="0.2">
      <c r="A663" s="29"/>
      <c r="B663" s="328" t="s">
        <v>15</v>
      </c>
      <c r="C663">
        <v>36702.641885169993</v>
      </c>
      <c r="D663">
        <v>1921.5352516260541</v>
      </c>
    </row>
    <row r="664" spans="1:4" x14ac:dyDescent="0.2">
      <c r="A664" s="29">
        <v>45137</v>
      </c>
      <c r="B664" s="328" t="s">
        <v>14</v>
      </c>
      <c r="C664">
        <v>8656.7882490000011</v>
      </c>
      <c r="D664">
        <v>6102.2660405017823</v>
      </c>
    </row>
    <row r="665" spans="1:4" x14ac:dyDescent="0.2">
      <c r="A665" s="29"/>
      <c r="B665" s="328" t="s">
        <v>39</v>
      </c>
      <c r="C665">
        <v>1.443747510000001</v>
      </c>
      <c r="D665">
        <v>2688.0700462032378</v>
      </c>
    </row>
    <row r="666" spans="1:4" x14ac:dyDescent="0.2">
      <c r="A666" s="29"/>
      <c r="B666" s="328" t="s">
        <v>15</v>
      </c>
      <c r="C666">
        <v>36702.641885169993</v>
      </c>
      <c r="D666">
        <v>1943.2448643011321</v>
      </c>
    </row>
    <row r="667" spans="1:4" x14ac:dyDescent="0.2">
      <c r="A667" s="29">
        <v>45136</v>
      </c>
      <c r="B667" s="328" t="s">
        <v>14</v>
      </c>
      <c r="C667">
        <v>8656.7882490000011</v>
      </c>
      <c r="D667">
        <v>6168.8892888412638</v>
      </c>
    </row>
    <row r="668" spans="1:4" x14ac:dyDescent="0.2">
      <c r="A668" s="29"/>
      <c r="B668" s="328" t="s">
        <v>39</v>
      </c>
      <c r="C668">
        <v>1.443747510000001</v>
      </c>
      <c r="D668">
        <v>2715.5707895041778</v>
      </c>
    </row>
    <row r="669" spans="1:4" x14ac:dyDescent="0.2">
      <c r="A669" s="29"/>
      <c r="B669" s="328" t="s">
        <v>15</v>
      </c>
      <c r="C669">
        <v>36702.641885169993</v>
      </c>
      <c r="D669">
        <v>1977.0366196583891</v>
      </c>
    </row>
    <row r="670" spans="1:4" x14ac:dyDescent="0.2">
      <c r="A670" s="29">
        <v>45135</v>
      </c>
      <c r="B670" s="328" t="s">
        <v>14</v>
      </c>
      <c r="C670">
        <v>8656.7882490000011</v>
      </c>
      <c r="D670">
        <v>6166.2007501147718</v>
      </c>
    </row>
    <row r="671" spans="1:4" x14ac:dyDescent="0.2">
      <c r="A671" s="29"/>
      <c r="B671" s="328" t="s">
        <v>39</v>
      </c>
      <c r="C671">
        <v>1.443747510000001</v>
      </c>
      <c r="D671">
        <v>2706.5847874087031</v>
      </c>
    </row>
    <row r="672" spans="1:4" x14ac:dyDescent="0.2">
      <c r="A672" s="29"/>
      <c r="B672" s="328" t="s">
        <v>15</v>
      </c>
      <c r="C672">
        <v>36702.641885169993</v>
      </c>
      <c r="D672">
        <v>1932.376110959676</v>
      </c>
    </row>
    <row r="673" spans="1:4" x14ac:dyDescent="0.2">
      <c r="A673" s="29">
        <v>45134</v>
      </c>
      <c r="B673" s="328" t="s">
        <v>14</v>
      </c>
      <c r="C673">
        <v>8656.7882490000011</v>
      </c>
      <c r="D673">
        <v>6176.0624767201498</v>
      </c>
    </row>
    <row r="674" spans="1:4" x14ac:dyDescent="0.2">
      <c r="A674" s="29"/>
      <c r="B674" s="328" t="s">
        <v>39</v>
      </c>
      <c r="C674">
        <v>1.443747510000001</v>
      </c>
      <c r="D674">
        <v>2683.6046962625928</v>
      </c>
    </row>
    <row r="675" spans="1:4" x14ac:dyDescent="0.2">
      <c r="A675" s="29"/>
      <c r="B675" s="328" t="s">
        <v>15</v>
      </c>
      <c r="C675">
        <v>36702.641885169993</v>
      </c>
      <c r="D675">
        <v>1902.2916894592399</v>
      </c>
    </row>
    <row r="676" spans="1:4" x14ac:dyDescent="0.2">
      <c r="A676" s="29">
        <v>45133</v>
      </c>
      <c r="B676" s="328" t="s">
        <v>14</v>
      </c>
      <c r="C676">
        <v>8656.7882490000011</v>
      </c>
      <c r="D676">
        <v>6197.1998431556158</v>
      </c>
    </row>
    <row r="677" spans="1:4" x14ac:dyDescent="0.2">
      <c r="A677" s="29"/>
      <c r="B677" s="328" t="s">
        <v>39</v>
      </c>
      <c r="C677">
        <v>1.443747510000001</v>
      </c>
      <c r="D677">
        <v>2702.0212612513801</v>
      </c>
    </row>
    <row r="678" spans="1:4" x14ac:dyDescent="0.2">
      <c r="A678" s="29"/>
      <c r="B678" s="328" t="s">
        <v>15</v>
      </c>
      <c r="C678">
        <v>36702.641885169993</v>
      </c>
      <c r="D678">
        <v>1926.0981240652179</v>
      </c>
    </row>
    <row r="679" spans="1:4" x14ac:dyDescent="0.2">
      <c r="A679" s="29">
        <v>45132</v>
      </c>
      <c r="B679" s="328" t="s">
        <v>14</v>
      </c>
      <c r="C679">
        <v>8656.7882490000011</v>
      </c>
      <c r="D679">
        <v>6148.5079197235837</v>
      </c>
    </row>
    <row r="680" spans="1:4" x14ac:dyDescent="0.2">
      <c r="A680" s="29"/>
      <c r="B680" s="328" t="s">
        <v>39</v>
      </c>
      <c r="C680">
        <v>1.443747510000001</v>
      </c>
      <c r="D680">
        <v>2681.900455367298</v>
      </c>
    </row>
    <row r="681" spans="1:4" x14ac:dyDescent="0.2">
      <c r="A681" s="29"/>
      <c r="B681" s="328" t="s">
        <v>15</v>
      </c>
      <c r="C681">
        <v>36702.641885169993</v>
      </c>
      <c r="D681">
        <v>1918.908076519913</v>
      </c>
    </row>
    <row r="682" spans="1:4" x14ac:dyDescent="0.2">
      <c r="A682" s="29">
        <v>45131</v>
      </c>
      <c r="B682" s="328" t="s">
        <v>14</v>
      </c>
      <c r="C682">
        <v>7238.0436229999996</v>
      </c>
      <c r="D682">
        <v>5092.1474627080879</v>
      </c>
    </row>
    <row r="683" spans="1:4" x14ac:dyDescent="0.2">
      <c r="A683" s="29"/>
      <c r="B683" s="328" t="s">
        <v>39</v>
      </c>
      <c r="C683">
        <v>1.443747510000001</v>
      </c>
      <c r="D683">
        <v>2671.555366090749</v>
      </c>
    </row>
    <row r="684" spans="1:4" x14ac:dyDescent="0.2">
      <c r="A684" s="29"/>
      <c r="B684" s="328" t="s">
        <v>15</v>
      </c>
      <c r="C684">
        <v>36702.641885169993</v>
      </c>
      <c r="D684">
        <v>1910.539874170094</v>
      </c>
    </row>
    <row r="685" spans="1:4" x14ac:dyDescent="0.2">
      <c r="A685" s="29">
        <v>45130</v>
      </c>
      <c r="B685" s="328" t="s">
        <v>14</v>
      </c>
      <c r="C685">
        <v>7238.0436229999996</v>
      </c>
      <c r="D685">
        <v>5341.6116304248826</v>
      </c>
    </row>
    <row r="686" spans="1:4" x14ac:dyDescent="0.2">
      <c r="A686" s="29"/>
      <c r="B686" s="328" t="s">
        <v>39</v>
      </c>
      <c r="C686">
        <v>1.443747510000001</v>
      </c>
      <c r="D686">
        <v>2725.545502927444</v>
      </c>
    </row>
    <row r="687" spans="1:4" x14ac:dyDescent="0.2">
      <c r="A687" s="29"/>
      <c r="B687" s="328" t="s">
        <v>15</v>
      </c>
      <c r="C687">
        <v>36702.641885169993</v>
      </c>
      <c r="D687">
        <v>1961.3884482906469</v>
      </c>
    </row>
    <row r="688" spans="1:4" x14ac:dyDescent="0.2">
      <c r="A688" s="29">
        <v>45129</v>
      </c>
      <c r="B688" s="328" t="s">
        <v>14</v>
      </c>
      <c r="C688">
        <v>7238.0436229999996</v>
      </c>
      <c r="D688">
        <v>5293.9166143515604</v>
      </c>
    </row>
    <row r="689" spans="1:4" x14ac:dyDescent="0.2">
      <c r="A689" s="29"/>
      <c r="B689" s="328" t="s">
        <v>39</v>
      </c>
      <c r="C689">
        <v>1.443747510000001</v>
      </c>
      <c r="D689">
        <v>2682.9321617558112</v>
      </c>
    </row>
    <row r="690" spans="1:4" x14ac:dyDescent="0.2">
      <c r="A690" s="29"/>
      <c r="B690" s="328" t="s">
        <v>15</v>
      </c>
      <c r="C690">
        <v>36702.641885169993</v>
      </c>
      <c r="D690">
        <v>1960.452163896156</v>
      </c>
    </row>
    <row r="691" spans="1:4" x14ac:dyDescent="0.2">
      <c r="A691" s="29">
        <v>45128</v>
      </c>
      <c r="B691" s="328" t="s">
        <v>14</v>
      </c>
      <c r="C691">
        <v>7238.0436229999996</v>
      </c>
      <c r="D691">
        <v>5592.6977713371552</v>
      </c>
    </row>
    <row r="692" spans="1:4" x14ac:dyDescent="0.2">
      <c r="A692" s="29"/>
      <c r="B692" s="328" t="s">
        <v>39</v>
      </c>
      <c r="C692">
        <v>1.443747510000001</v>
      </c>
      <c r="D692">
        <v>2730.8085718195312</v>
      </c>
    </row>
    <row r="693" spans="1:4" x14ac:dyDescent="0.2">
      <c r="A693" s="29"/>
      <c r="B693" s="328" t="s">
        <v>15</v>
      </c>
      <c r="C693">
        <v>36702.641885169993</v>
      </c>
      <c r="D693">
        <v>2037.1783027042659</v>
      </c>
    </row>
    <row r="694" spans="1:4" x14ac:dyDescent="0.2">
      <c r="A694" s="29">
        <v>45127</v>
      </c>
      <c r="B694" s="328" t="s">
        <v>14</v>
      </c>
      <c r="C694">
        <v>7238.0436229999996</v>
      </c>
      <c r="D694">
        <v>5741.8215193517917</v>
      </c>
    </row>
    <row r="695" spans="1:4" x14ac:dyDescent="0.2">
      <c r="A695" s="29"/>
      <c r="B695" s="328" t="s">
        <v>39</v>
      </c>
      <c r="C695">
        <v>1.443747510000001</v>
      </c>
      <c r="D695">
        <v>2730.147483631757</v>
      </c>
    </row>
    <row r="696" spans="1:4" x14ac:dyDescent="0.2">
      <c r="A696" s="29"/>
      <c r="B696" s="328" t="s">
        <v>15</v>
      </c>
      <c r="C696">
        <v>36702.641885169993</v>
      </c>
      <c r="D696">
        <v>2099.677763464847</v>
      </c>
    </row>
    <row r="697" spans="1:4" x14ac:dyDescent="0.2">
      <c r="A697" s="29">
        <v>45126</v>
      </c>
      <c r="B697" s="328" t="s">
        <v>14</v>
      </c>
      <c r="C697">
        <v>7238.0436229999996</v>
      </c>
      <c r="D697">
        <v>5944.147059408564</v>
      </c>
    </row>
    <row r="698" spans="1:4" x14ac:dyDescent="0.2">
      <c r="A698" s="29"/>
      <c r="B698" s="328" t="s">
        <v>39</v>
      </c>
      <c r="C698">
        <v>1.443747510000001</v>
      </c>
      <c r="D698">
        <v>2727.5621650955381</v>
      </c>
    </row>
    <row r="699" spans="1:4" x14ac:dyDescent="0.2">
      <c r="A699" s="29"/>
      <c r="B699" s="328" t="s">
        <v>15</v>
      </c>
      <c r="C699">
        <v>36702.641885169993</v>
      </c>
      <c r="D699">
        <v>2066.9151501860501</v>
      </c>
    </row>
    <row r="700" spans="1:4" x14ac:dyDescent="0.2">
      <c r="A700" s="29">
        <v>45125</v>
      </c>
      <c r="B700" s="328" t="s">
        <v>14</v>
      </c>
      <c r="C700">
        <v>7238.0436229999996</v>
      </c>
      <c r="D700">
        <v>5654.8163264597752</v>
      </c>
    </row>
    <row r="701" spans="1:4" x14ac:dyDescent="0.2">
      <c r="A701" s="29"/>
      <c r="B701" s="328" t="s">
        <v>39</v>
      </c>
      <c r="C701">
        <v>1.443747510000001</v>
      </c>
      <c r="D701">
        <v>2739.076494848211</v>
      </c>
    </row>
    <row r="702" spans="1:4" x14ac:dyDescent="0.2">
      <c r="A702" s="29"/>
      <c r="B702" s="328" t="s">
        <v>15</v>
      </c>
      <c r="C702">
        <v>36702.641885169993</v>
      </c>
      <c r="D702">
        <v>1930.5039091971139</v>
      </c>
    </row>
    <row r="703" spans="1:4" x14ac:dyDescent="0.2">
      <c r="A703" s="29">
        <v>45124</v>
      </c>
      <c r="B703" s="328" t="s">
        <v>32</v>
      </c>
      <c r="C703">
        <v>75.213398999999995</v>
      </c>
      <c r="D703">
        <v>710.33677973538488</v>
      </c>
    </row>
    <row r="704" spans="1:4" x14ac:dyDescent="0.2">
      <c r="A704" s="29"/>
      <c r="B704" s="328" t="s">
        <v>14</v>
      </c>
      <c r="C704">
        <v>4402.375986</v>
      </c>
      <c r="D704">
        <v>3255.5404006657732</v>
      </c>
    </row>
    <row r="705" spans="1:4" x14ac:dyDescent="0.2">
      <c r="A705" s="29"/>
      <c r="B705" s="328" t="s">
        <v>15</v>
      </c>
      <c r="C705">
        <v>36702.641885169993</v>
      </c>
      <c r="D705">
        <v>1904.8260068814111</v>
      </c>
    </row>
    <row r="706" spans="1:4" x14ac:dyDescent="0.2">
      <c r="A706" s="29"/>
      <c r="B706" s="328" t="s">
        <v>41</v>
      </c>
      <c r="C706">
        <v>105.2927045</v>
      </c>
      <c r="D706">
        <v>757.51041959547615</v>
      </c>
    </row>
    <row r="707" spans="1:4" x14ac:dyDescent="0.2">
      <c r="A707" s="29"/>
      <c r="B707" s="328" t="s">
        <v>34</v>
      </c>
      <c r="C707">
        <v>2199.5241339999998</v>
      </c>
      <c r="D707">
        <v>687.580570270728</v>
      </c>
    </row>
    <row r="708" spans="1:4" x14ac:dyDescent="0.2">
      <c r="A708" s="29"/>
      <c r="B708" s="328" t="s">
        <v>39</v>
      </c>
      <c r="C708">
        <v>1.4450574199999999</v>
      </c>
      <c r="D708">
        <v>2763.1272914918691</v>
      </c>
    </row>
    <row r="709" spans="1:4" x14ac:dyDescent="0.2">
      <c r="A709" s="29">
        <v>45123</v>
      </c>
      <c r="B709" s="328" t="s">
        <v>32</v>
      </c>
      <c r="C709">
        <v>75.213398999999995</v>
      </c>
      <c r="D709">
        <v>707.57087242281705</v>
      </c>
    </row>
    <row r="710" spans="1:4" x14ac:dyDescent="0.2">
      <c r="A710" s="29"/>
      <c r="B710" s="328" t="s">
        <v>14</v>
      </c>
      <c r="C710">
        <v>4402.375986</v>
      </c>
      <c r="D710">
        <v>3291.5117305860199</v>
      </c>
    </row>
    <row r="711" spans="1:4" x14ac:dyDescent="0.2">
      <c r="A711" s="29"/>
      <c r="B711" s="328" t="s">
        <v>15</v>
      </c>
      <c r="C711">
        <v>36702.641885169993</v>
      </c>
      <c r="D711">
        <v>1864.7118544330151</v>
      </c>
    </row>
    <row r="712" spans="1:4" x14ac:dyDescent="0.2">
      <c r="A712" s="29"/>
      <c r="B712" s="328" t="s">
        <v>41</v>
      </c>
      <c r="C712">
        <v>105.2927045</v>
      </c>
      <c r="D712">
        <v>696.40844615887784</v>
      </c>
    </row>
    <row r="713" spans="1:4" x14ac:dyDescent="0.2">
      <c r="A713" s="29"/>
      <c r="B713" s="328" t="s">
        <v>34</v>
      </c>
      <c r="C713">
        <v>2199.5241339999998</v>
      </c>
      <c r="D713">
        <v>692.25123777403576</v>
      </c>
    </row>
    <row r="714" spans="1:4" x14ac:dyDescent="0.2">
      <c r="A714" s="29"/>
      <c r="B714" s="328" t="s">
        <v>39</v>
      </c>
      <c r="C714">
        <v>1.4450574199999999</v>
      </c>
      <c r="D714">
        <v>2778.8974260164359</v>
      </c>
    </row>
    <row r="715" spans="1:4" x14ac:dyDescent="0.2">
      <c r="A715" s="29">
        <v>45122</v>
      </c>
      <c r="B715" s="328" t="s">
        <v>32</v>
      </c>
      <c r="C715">
        <v>75.213398999999995</v>
      </c>
      <c r="D715">
        <v>730.23780812093673</v>
      </c>
    </row>
    <row r="716" spans="1:4" x14ac:dyDescent="0.2">
      <c r="A716" s="29"/>
      <c r="B716" s="328" t="s">
        <v>14</v>
      </c>
      <c r="C716">
        <v>4402.375986</v>
      </c>
      <c r="D716">
        <v>3140.0192812962619</v>
      </c>
    </row>
    <row r="717" spans="1:4" x14ac:dyDescent="0.2">
      <c r="A717" s="29"/>
      <c r="B717" s="328" t="s">
        <v>15</v>
      </c>
      <c r="C717">
        <v>36702.641885169993</v>
      </c>
      <c r="D717">
        <v>1909.6531383421491</v>
      </c>
    </row>
    <row r="718" spans="1:4" x14ac:dyDescent="0.2">
      <c r="A718" s="29"/>
      <c r="B718" s="328" t="s">
        <v>41</v>
      </c>
      <c r="C718">
        <v>105.2927045</v>
      </c>
      <c r="D718">
        <v>728.39959279566256</v>
      </c>
    </row>
    <row r="719" spans="1:4" x14ac:dyDescent="0.2">
      <c r="A719" s="29"/>
      <c r="B719" s="328" t="s">
        <v>34</v>
      </c>
      <c r="C719">
        <v>2199.5241339999998</v>
      </c>
      <c r="D719">
        <v>716.90946497831089</v>
      </c>
    </row>
    <row r="720" spans="1:4" x14ac:dyDescent="0.2">
      <c r="A720" s="29"/>
      <c r="B720" s="328" t="s">
        <v>39</v>
      </c>
      <c r="C720">
        <v>1.4450574199999999</v>
      </c>
      <c r="D720">
        <v>2790.968560489639</v>
      </c>
    </row>
    <row r="721" spans="1:4" x14ac:dyDescent="0.2">
      <c r="A721" s="29">
        <v>45121</v>
      </c>
      <c r="B721" s="328" t="s">
        <v>32</v>
      </c>
      <c r="C721">
        <v>75.213398999999995</v>
      </c>
      <c r="D721">
        <v>734.26037939972866</v>
      </c>
    </row>
    <row r="722" spans="1:4" x14ac:dyDescent="0.2">
      <c r="A722" s="29"/>
      <c r="B722" s="328" t="s">
        <v>14</v>
      </c>
      <c r="C722">
        <v>4402.375986</v>
      </c>
      <c r="D722">
        <v>3168.2992641551291</v>
      </c>
    </row>
    <row r="723" spans="1:4" x14ac:dyDescent="0.2">
      <c r="A723" s="29"/>
      <c r="B723" s="328" t="s">
        <v>15</v>
      </c>
      <c r="C723">
        <v>36702.641885169993</v>
      </c>
      <c r="D723">
        <v>1873.6661979737401</v>
      </c>
    </row>
    <row r="724" spans="1:4" x14ac:dyDescent="0.2">
      <c r="A724" s="29"/>
      <c r="B724" s="328" t="s">
        <v>41</v>
      </c>
      <c r="C724">
        <v>105.2927045</v>
      </c>
      <c r="D724">
        <v>730.61781315405085</v>
      </c>
    </row>
    <row r="725" spans="1:4" x14ac:dyDescent="0.2">
      <c r="A725" s="29"/>
      <c r="B725" s="328" t="s">
        <v>34</v>
      </c>
      <c r="C725">
        <v>2199.5241339999998</v>
      </c>
      <c r="D725">
        <v>722.91161441613542</v>
      </c>
    </row>
    <row r="726" spans="1:4" x14ac:dyDescent="0.2">
      <c r="A726" s="29"/>
      <c r="B726" s="328" t="s">
        <v>39</v>
      </c>
      <c r="C726">
        <v>1.4450574199999999</v>
      </c>
      <c r="D726">
        <v>2797.5448095579241</v>
      </c>
    </row>
    <row r="727" spans="1:4" x14ac:dyDescent="0.2">
      <c r="A727" s="29">
        <v>45120</v>
      </c>
      <c r="B727" s="328" t="s">
        <v>42</v>
      </c>
      <c r="C727">
        <v>10508.52390858</v>
      </c>
      <c r="D727">
        <v>398.017068492769</v>
      </c>
    </row>
    <row r="728" spans="1:4" x14ac:dyDescent="0.2">
      <c r="A728" s="29"/>
      <c r="B728" s="328" t="s">
        <v>32</v>
      </c>
      <c r="C728">
        <v>34.086134999999992</v>
      </c>
      <c r="D728">
        <v>337.16499225589308</v>
      </c>
    </row>
    <row r="729" spans="1:4" x14ac:dyDescent="0.2">
      <c r="A729" s="29"/>
      <c r="B729" s="328" t="s">
        <v>14</v>
      </c>
      <c r="C729">
        <v>4402.375986</v>
      </c>
      <c r="D729">
        <v>3576.971782911749</v>
      </c>
    </row>
    <row r="730" spans="1:4" x14ac:dyDescent="0.2">
      <c r="A730" s="29"/>
      <c r="B730" s="328" t="s">
        <v>15</v>
      </c>
      <c r="C730">
        <v>36702.641885169993</v>
      </c>
      <c r="D730">
        <v>1920.9946217110851</v>
      </c>
    </row>
    <row r="731" spans="1:4" x14ac:dyDescent="0.2">
      <c r="A731" s="29"/>
      <c r="B731" s="328" t="s">
        <v>41</v>
      </c>
      <c r="C731">
        <v>105.2927045</v>
      </c>
      <c r="D731">
        <v>744.85458503342807</v>
      </c>
    </row>
    <row r="732" spans="1:4" x14ac:dyDescent="0.2">
      <c r="A732" s="29"/>
      <c r="B732" s="328" t="s">
        <v>34</v>
      </c>
      <c r="C732">
        <v>2199.5241339999998</v>
      </c>
      <c r="D732">
        <v>784.97593882907495</v>
      </c>
    </row>
    <row r="733" spans="1:4" x14ac:dyDescent="0.2">
      <c r="A733" s="29"/>
      <c r="B733" s="328" t="s">
        <v>39</v>
      </c>
      <c r="C733">
        <v>1.4450574199999999</v>
      </c>
      <c r="D733">
        <v>2894.816502043785</v>
      </c>
    </row>
    <row r="734" spans="1:4" x14ac:dyDescent="0.2">
      <c r="A734" s="29">
        <v>45119</v>
      </c>
      <c r="B734" s="328" t="s">
        <v>42</v>
      </c>
      <c r="C734">
        <v>10508.52390858</v>
      </c>
      <c r="D734">
        <v>387.84240038876459</v>
      </c>
    </row>
    <row r="735" spans="1:4" x14ac:dyDescent="0.2">
      <c r="A735" s="29"/>
      <c r="B735" s="328" t="s">
        <v>32</v>
      </c>
      <c r="C735">
        <v>34.086134999999992</v>
      </c>
      <c r="D735">
        <v>309.26878893281571</v>
      </c>
    </row>
    <row r="736" spans="1:4" x14ac:dyDescent="0.2">
      <c r="A736" s="29"/>
      <c r="B736" s="328" t="s">
        <v>14</v>
      </c>
      <c r="C736">
        <v>4402.375986</v>
      </c>
      <c r="D736">
        <v>2075.173942539137</v>
      </c>
    </row>
    <row r="737" spans="1:4" x14ac:dyDescent="0.2">
      <c r="A737" s="29"/>
      <c r="B737" s="328" t="s">
        <v>15</v>
      </c>
      <c r="C737">
        <v>36702.641885169993</v>
      </c>
      <c r="D737">
        <v>1774.3851846479361</v>
      </c>
    </row>
    <row r="738" spans="1:4" x14ac:dyDescent="0.2">
      <c r="A738" s="29"/>
      <c r="B738" s="328" t="s">
        <v>41</v>
      </c>
      <c r="C738">
        <v>105.2927045</v>
      </c>
      <c r="D738">
        <v>658.52347615915585</v>
      </c>
    </row>
    <row r="739" spans="1:4" x14ac:dyDescent="0.2">
      <c r="A739" s="29"/>
      <c r="B739" s="328" t="s">
        <v>34</v>
      </c>
      <c r="C739">
        <v>2199.5241339999998</v>
      </c>
      <c r="D739">
        <v>635.08655132675347</v>
      </c>
    </row>
    <row r="740" spans="1:4" x14ac:dyDescent="0.2">
      <c r="A740" s="29"/>
      <c r="B740" s="328" t="s">
        <v>39</v>
      </c>
      <c r="C740">
        <v>1.4450574199999999</v>
      </c>
      <c r="D740">
        <v>2707.3249249854398</v>
      </c>
    </row>
    <row r="741" spans="1:4" x14ac:dyDescent="0.2">
      <c r="A741" s="29">
        <v>45118</v>
      </c>
      <c r="B741" s="328" t="s">
        <v>42</v>
      </c>
      <c r="C741">
        <v>10508.52390858</v>
      </c>
      <c r="D741">
        <v>388.89630025155611</v>
      </c>
    </row>
    <row r="742" spans="1:4" x14ac:dyDescent="0.2">
      <c r="A742" s="29"/>
      <c r="B742" s="328" t="s">
        <v>32</v>
      </c>
      <c r="C742">
        <v>34.086134999999992</v>
      </c>
      <c r="D742">
        <v>313.75784428836471</v>
      </c>
    </row>
    <row r="743" spans="1:4" x14ac:dyDescent="0.2">
      <c r="A743" s="29"/>
      <c r="B743" s="328" t="s">
        <v>14</v>
      </c>
      <c r="C743">
        <v>4402.375986</v>
      </c>
      <c r="D743">
        <v>2093.1682141443139</v>
      </c>
    </row>
    <row r="744" spans="1:4" x14ac:dyDescent="0.2">
      <c r="A744" s="29"/>
      <c r="B744" s="328" t="s">
        <v>15</v>
      </c>
      <c r="C744">
        <v>36702.641885169993</v>
      </c>
      <c r="D744">
        <v>1774.307375047139</v>
      </c>
    </row>
    <row r="745" spans="1:4" x14ac:dyDescent="0.2">
      <c r="A745" s="29"/>
      <c r="B745" s="328" t="s">
        <v>41</v>
      </c>
      <c r="C745">
        <v>105.2927045</v>
      </c>
      <c r="D745">
        <v>653.27786837878602</v>
      </c>
    </row>
    <row r="746" spans="1:4" x14ac:dyDescent="0.2">
      <c r="A746" s="29"/>
      <c r="B746" s="328" t="s">
        <v>34</v>
      </c>
      <c r="C746">
        <v>2199.5241339999998</v>
      </c>
      <c r="D746">
        <v>643.72810773013668</v>
      </c>
    </row>
    <row r="747" spans="1:4" x14ac:dyDescent="0.2">
      <c r="A747" s="29"/>
      <c r="B747" s="328" t="s">
        <v>39</v>
      </c>
      <c r="C747">
        <v>1.4450574199999999</v>
      </c>
      <c r="D747">
        <v>2710.7338971572171</v>
      </c>
    </row>
    <row r="748" spans="1:4" x14ac:dyDescent="0.2">
      <c r="A748" s="29">
        <v>45117</v>
      </c>
      <c r="B748" s="328" t="s">
        <v>42</v>
      </c>
      <c r="C748">
        <v>10508.52390858</v>
      </c>
      <c r="D748">
        <v>388.86708655509022</v>
      </c>
    </row>
    <row r="749" spans="1:4" x14ac:dyDescent="0.2">
      <c r="A749" s="29"/>
      <c r="B749" s="328" t="s">
        <v>32</v>
      </c>
      <c r="C749">
        <v>34.086134999999992</v>
      </c>
      <c r="D749">
        <v>315.03756732357772</v>
      </c>
    </row>
    <row r="750" spans="1:4" x14ac:dyDescent="0.2">
      <c r="A750" s="29"/>
      <c r="B750" s="328" t="s">
        <v>14</v>
      </c>
      <c r="C750">
        <v>4402.375986</v>
      </c>
      <c r="D750">
        <v>2101.3299991035592</v>
      </c>
    </row>
    <row r="751" spans="1:4" x14ac:dyDescent="0.2">
      <c r="A751" s="29"/>
      <c r="B751" s="328" t="s">
        <v>15</v>
      </c>
      <c r="C751">
        <v>36702.641885169993</v>
      </c>
      <c r="D751">
        <v>1745.526631386464</v>
      </c>
    </row>
    <row r="752" spans="1:4" x14ac:dyDescent="0.2">
      <c r="A752" s="29"/>
      <c r="B752" s="328" t="s">
        <v>41</v>
      </c>
      <c r="C752">
        <v>105.2927045</v>
      </c>
      <c r="D752">
        <v>649.38692178792064</v>
      </c>
    </row>
    <row r="753" spans="1:4" x14ac:dyDescent="0.2">
      <c r="A753" s="29"/>
      <c r="B753" s="328" t="s">
        <v>34</v>
      </c>
      <c r="C753">
        <v>2199.5241339999998</v>
      </c>
      <c r="D753">
        <v>632.90772471485434</v>
      </c>
    </row>
    <row r="754" spans="1:4" x14ac:dyDescent="0.2">
      <c r="A754" s="29"/>
      <c r="B754" s="328" t="s">
        <v>39</v>
      </c>
      <c r="C754">
        <v>1.4450574199999999</v>
      </c>
      <c r="D754">
        <v>2709.8790022568869</v>
      </c>
    </row>
    <row r="755" spans="1:4" x14ac:dyDescent="0.2">
      <c r="A755" s="29">
        <v>45116</v>
      </c>
      <c r="B755" s="328" t="s">
        <v>14</v>
      </c>
      <c r="C755">
        <v>4402.375986</v>
      </c>
      <c r="D755">
        <v>2061.1578339699499</v>
      </c>
    </row>
    <row r="756" spans="1:4" x14ac:dyDescent="0.2">
      <c r="A756" s="29"/>
      <c r="B756" s="328" t="s">
        <v>32</v>
      </c>
      <c r="C756">
        <v>34.09613499999999</v>
      </c>
      <c r="D756">
        <v>321.9631342829166</v>
      </c>
    </row>
    <row r="757" spans="1:4" x14ac:dyDescent="0.2">
      <c r="A757" s="29"/>
      <c r="B757" s="328" t="s">
        <v>15</v>
      </c>
      <c r="C757">
        <v>36702.641885169993</v>
      </c>
      <c r="D757">
        <v>1730.134277432662</v>
      </c>
    </row>
    <row r="758" spans="1:4" x14ac:dyDescent="0.2">
      <c r="A758" s="29"/>
      <c r="B758" s="328" t="s">
        <v>42</v>
      </c>
      <c r="C758">
        <v>10561.520754220001</v>
      </c>
      <c r="D758">
        <v>386.84748780077769</v>
      </c>
    </row>
    <row r="759" spans="1:4" x14ac:dyDescent="0.2">
      <c r="A759" s="29"/>
      <c r="B759" s="328" t="s">
        <v>41</v>
      </c>
      <c r="C759">
        <v>105.2927045</v>
      </c>
      <c r="D759">
        <v>646.93184443783264</v>
      </c>
    </row>
    <row r="760" spans="1:4" x14ac:dyDescent="0.2">
      <c r="A760" s="29"/>
      <c r="B760" s="328" t="s">
        <v>34</v>
      </c>
      <c r="C760">
        <v>2199.5241339999998</v>
      </c>
      <c r="D760">
        <v>625.6621622888382</v>
      </c>
    </row>
    <row r="761" spans="1:4" x14ac:dyDescent="0.2">
      <c r="A761" s="29"/>
      <c r="B761" s="328" t="s">
        <v>39</v>
      </c>
      <c r="C761">
        <v>1.4450574199999999</v>
      </c>
      <c r="D761">
        <v>2697.8018912429538</v>
      </c>
    </row>
    <row r="762" spans="1:4" x14ac:dyDescent="0.2">
      <c r="A762" s="29">
        <v>45115</v>
      </c>
      <c r="B762" s="328" t="s">
        <v>14</v>
      </c>
      <c r="C762">
        <v>4402.375986</v>
      </c>
      <c r="D762">
        <v>2070.9966160135418</v>
      </c>
    </row>
    <row r="763" spans="1:4" x14ac:dyDescent="0.2">
      <c r="A763" s="29"/>
      <c r="B763" s="328" t="s">
        <v>32</v>
      </c>
      <c r="C763">
        <v>34.09613499999999</v>
      </c>
      <c r="D763">
        <v>313.9611485016697</v>
      </c>
    </row>
    <row r="764" spans="1:4" x14ac:dyDescent="0.2">
      <c r="A764" s="29"/>
      <c r="B764" s="328" t="s">
        <v>15</v>
      </c>
      <c r="C764">
        <v>36702.641885169993</v>
      </c>
      <c r="D764">
        <v>1730.883745379957</v>
      </c>
    </row>
    <row r="765" spans="1:4" x14ac:dyDescent="0.2">
      <c r="A765" s="29"/>
      <c r="B765" s="328" t="s">
        <v>42</v>
      </c>
      <c r="C765">
        <v>10561.520754220001</v>
      </c>
      <c r="D765">
        <v>400.75025126080271</v>
      </c>
    </row>
    <row r="766" spans="1:4" x14ac:dyDescent="0.2">
      <c r="A766" s="29"/>
      <c r="B766" s="328" t="s">
        <v>41</v>
      </c>
      <c r="C766">
        <v>105.2927045</v>
      </c>
      <c r="D766">
        <v>652.17546534486848</v>
      </c>
    </row>
    <row r="767" spans="1:4" x14ac:dyDescent="0.2">
      <c r="A767" s="29"/>
      <c r="B767" s="328" t="s">
        <v>34</v>
      </c>
      <c r="C767">
        <v>2199.5241339999998</v>
      </c>
      <c r="D767">
        <v>639.16708650490875</v>
      </c>
    </row>
    <row r="768" spans="1:4" x14ac:dyDescent="0.2">
      <c r="A768" s="29"/>
      <c r="B768" s="328" t="s">
        <v>39</v>
      </c>
      <c r="C768">
        <v>1.4450574199999999</v>
      </c>
      <c r="D768">
        <v>2694.8421960644978</v>
      </c>
    </row>
    <row r="769" spans="1:4" x14ac:dyDescent="0.2">
      <c r="A769" s="29">
        <v>45114</v>
      </c>
      <c r="B769" s="328" t="s">
        <v>14</v>
      </c>
      <c r="C769">
        <v>4402.375986</v>
      </c>
      <c r="D769">
        <v>2061.9137219267459</v>
      </c>
    </row>
    <row r="770" spans="1:4" x14ac:dyDescent="0.2">
      <c r="A770" s="29"/>
      <c r="B770" s="328" t="s">
        <v>32</v>
      </c>
      <c r="C770">
        <v>34.09613499999999</v>
      </c>
      <c r="D770">
        <v>313.9734950531145</v>
      </c>
    </row>
    <row r="771" spans="1:4" x14ac:dyDescent="0.2">
      <c r="A771" s="29"/>
      <c r="B771" s="328" t="s">
        <v>15</v>
      </c>
      <c r="C771">
        <v>36702.641885169993</v>
      </c>
      <c r="D771">
        <v>1728.9586918130799</v>
      </c>
    </row>
    <row r="772" spans="1:4" x14ac:dyDescent="0.2">
      <c r="A772" s="29"/>
      <c r="B772" s="328" t="s">
        <v>42</v>
      </c>
      <c r="C772">
        <v>10561.520754220001</v>
      </c>
      <c r="D772">
        <v>403.94785728435039</v>
      </c>
    </row>
    <row r="773" spans="1:4" x14ac:dyDescent="0.2">
      <c r="A773" s="29"/>
      <c r="B773" s="328" t="s">
        <v>41</v>
      </c>
      <c r="C773">
        <v>105.2927045</v>
      </c>
      <c r="D773">
        <v>647.66827845993839</v>
      </c>
    </row>
    <row r="774" spans="1:4" x14ac:dyDescent="0.2">
      <c r="A774" s="29"/>
      <c r="B774" s="328" t="s">
        <v>34</v>
      </c>
      <c r="C774">
        <v>2199.5241339999998</v>
      </c>
      <c r="D774">
        <v>625.00329483449843</v>
      </c>
    </row>
    <row r="775" spans="1:4" x14ac:dyDescent="0.2">
      <c r="A775" s="29"/>
      <c r="B775" s="328" t="s">
        <v>39</v>
      </c>
      <c r="C775">
        <v>1.4450574199999999</v>
      </c>
      <c r="D775">
        <v>2701.2706716101861</v>
      </c>
    </row>
    <row r="776" spans="1:4" x14ac:dyDescent="0.2">
      <c r="A776" s="29">
        <v>45113</v>
      </c>
      <c r="B776" s="328" t="s">
        <v>14</v>
      </c>
      <c r="C776">
        <v>4402.375986</v>
      </c>
      <c r="D776">
        <v>2044.502060759557</v>
      </c>
    </row>
    <row r="777" spans="1:4" x14ac:dyDescent="0.2">
      <c r="A777" s="29"/>
      <c r="B777" s="328" t="s">
        <v>32</v>
      </c>
      <c r="C777">
        <v>34.09613499999999</v>
      </c>
      <c r="D777">
        <v>314.82825106142951</v>
      </c>
    </row>
    <row r="778" spans="1:4" x14ac:dyDescent="0.2">
      <c r="A778" s="29"/>
      <c r="B778" s="328" t="s">
        <v>15</v>
      </c>
      <c r="C778">
        <v>36702.641885169993</v>
      </c>
      <c r="D778">
        <v>1698.6845176540969</v>
      </c>
    </row>
    <row r="779" spans="1:4" x14ac:dyDescent="0.2">
      <c r="A779" s="29"/>
      <c r="B779" s="328" t="s">
        <v>42</v>
      </c>
      <c r="C779">
        <v>10561.520754220001</v>
      </c>
      <c r="D779">
        <v>389.71895406343498</v>
      </c>
    </row>
    <row r="780" spans="1:4" x14ac:dyDescent="0.2">
      <c r="A780" s="29"/>
      <c r="B780" s="328" t="s">
        <v>41</v>
      </c>
      <c r="C780">
        <v>105.2927045</v>
      </c>
      <c r="D780">
        <v>642.41224354304188</v>
      </c>
    </row>
    <row r="781" spans="1:4" x14ac:dyDescent="0.2">
      <c r="A781" s="29"/>
      <c r="B781" s="328" t="s">
        <v>34</v>
      </c>
      <c r="C781">
        <v>2199.5241339999998</v>
      </c>
      <c r="D781">
        <v>615.90489726848352</v>
      </c>
    </row>
    <row r="782" spans="1:4" x14ac:dyDescent="0.2">
      <c r="A782" s="29"/>
      <c r="B782" s="328" t="s">
        <v>39</v>
      </c>
      <c r="C782">
        <v>1.4450574199999999</v>
      </c>
      <c r="D782">
        <v>2681.2676037218771</v>
      </c>
    </row>
    <row r="783" spans="1:4" x14ac:dyDescent="0.2">
      <c r="A783" s="29">
        <v>45112</v>
      </c>
      <c r="B783" s="328" t="s">
        <v>14</v>
      </c>
      <c r="C783">
        <v>4402.375986</v>
      </c>
      <c r="D783">
        <v>2103.4795912500031</v>
      </c>
    </row>
    <row r="784" spans="1:4" x14ac:dyDescent="0.2">
      <c r="A784" s="29"/>
      <c r="B784" s="328" t="s">
        <v>32</v>
      </c>
      <c r="C784">
        <v>34.09613499999999</v>
      </c>
      <c r="D784">
        <v>320.30466281653622</v>
      </c>
    </row>
    <row r="785" spans="1:4" x14ac:dyDescent="0.2">
      <c r="A785" s="29"/>
      <c r="B785" s="328" t="s">
        <v>15</v>
      </c>
      <c r="C785">
        <v>36702.641885169993</v>
      </c>
      <c r="D785">
        <v>1734.055587691674</v>
      </c>
    </row>
    <row r="786" spans="1:4" x14ac:dyDescent="0.2">
      <c r="A786" s="29"/>
      <c r="B786" s="328" t="s">
        <v>42</v>
      </c>
      <c r="C786">
        <v>10561.520754220001</v>
      </c>
      <c r="D786">
        <v>399.23847518004368</v>
      </c>
    </row>
    <row r="787" spans="1:4" x14ac:dyDescent="0.2">
      <c r="A787" s="29"/>
      <c r="B787" s="328" t="s">
        <v>41</v>
      </c>
      <c r="C787">
        <v>105.2927045</v>
      </c>
      <c r="D787">
        <v>663.83720410762885</v>
      </c>
    </row>
    <row r="788" spans="1:4" x14ac:dyDescent="0.2">
      <c r="A788" s="29"/>
      <c r="B788" s="328" t="s">
        <v>34</v>
      </c>
      <c r="C788">
        <v>2199.5241339999998</v>
      </c>
      <c r="D788">
        <v>625.00131526277789</v>
      </c>
    </row>
    <row r="789" spans="1:4" x14ac:dyDescent="0.2">
      <c r="A789" s="29"/>
      <c r="B789" s="328" t="s">
        <v>39</v>
      </c>
      <c r="C789">
        <v>1.4450574199999999</v>
      </c>
      <c r="D789">
        <v>2760.7898026490088</v>
      </c>
    </row>
    <row r="790" spans="1:4" x14ac:dyDescent="0.2">
      <c r="A790" s="29">
        <v>45111</v>
      </c>
      <c r="B790" s="328" t="s">
        <v>14</v>
      </c>
      <c r="C790">
        <v>4402.375986</v>
      </c>
      <c r="D790">
        <v>2148.5104386405601</v>
      </c>
    </row>
    <row r="791" spans="1:4" x14ac:dyDescent="0.2">
      <c r="A791" s="29"/>
      <c r="B791" s="328" t="s">
        <v>32</v>
      </c>
      <c r="C791">
        <v>34.09613499999999</v>
      </c>
      <c r="D791">
        <v>330.66011999578137</v>
      </c>
    </row>
    <row r="792" spans="1:4" x14ac:dyDescent="0.2">
      <c r="A792" s="29"/>
      <c r="B792" s="328" t="s">
        <v>15</v>
      </c>
      <c r="C792">
        <v>36702.641885169993</v>
      </c>
      <c r="D792">
        <v>1780.030785022713</v>
      </c>
    </row>
    <row r="793" spans="1:4" x14ac:dyDescent="0.2">
      <c r="A793" s="29"/>
      <c r="B793" s="328" t="s">
        <v>42</v>
      </c>
      <c r="C793">
        <v>10561.520754220001</v>
      </c>
      <c r="D793">
        <v>411.24069298034692</v>
      </c>
    </row>
    <row r="794" spans="1:4" x14ac:dyDescent="0.2">
      <c r="A794" s="29"/>
      <c r="B794" s="328" t="s">
        <v>41</v>
      </c>
      <c r="C794">
        <v>105.2927045</v>
      </c>
      <c r="D794">
        <v>687.62175943908233</v>
      </c>
    </row>
    <row r="795" spans="1:4" x14ac:dyDescent="0.2">
      <c r="A795" s="29"/>
      <c r="B795" s="328" t="s">
        <v>34</v>
      </c>
      <c r="C795">
        <v>2199.5241339999998</v>
      </c>
      <c r="D795">
        <v>644.18886404572686</v>
      </c>
    </row>
    <row r="796" spans="1:4" x14ac:dyDescent="0.2">
      <c r="A796" s="29"/>
      <c r="B796" s="328" t="s">
        <v>39</v>
      </c>
      <c r="C796">
        <v>1.4450574199999999</v>
      </c>
      <c r="D796">
        <v>2799.076837469735</v>
      </c>
    </row>
    <row r="797" spans="1:4" x14ac:dyDescent="0.2">
      <c r="A797" s="29">
        <v>45110</v>
      </c>
      <c r="B797" s="328" t="s">
        <v>14</v>
      </c>
      <c r="C797">
        <v>4402.375986</v>
      </c>
      <c r="D797">
        <v>2155.0352881369299</v>
      </c>
    </row>
    <row r="798" spans="1:4" x14ac:dyDescent="0.2">
      <c r="A798" s="29"/>
      <c r="B798" s="328" t="s">
        <v>32</v>
      </c>
      <c r="C798">
        <v>34.09613499999999</v>
      </c>
      <c r="D798">
        <v>338.2464445687022</v>
      </c>
    </row>
    <row r="799" spans="1:4" x14ac:dyDescent="0.2">
      <c r="A799" s="29"/>
      <c r="B799" s="328" t="s">
        <v>15</v>
      </c>
      <c r="C799">
        <v>36702.641885169993</v>
      </c>
      <c r="D799">
        <v>1840.0983287319821</v>
      </c>
    </row>
    <row r="800" spans="1:4" x14ac:dyDescent="0.2">
      <c r="A800" s="29"/>
      <c r="B800" s="328" t="s">
        <v>42</v>
      </c>
      <c r="C800">
        <v>10561.520754220001</v>
      </c>
      <c r="D800">
        <v>416.51089183670268</v>
      </c>
    </row>
    <row r="801" spans="1:4" x14ac:dyDescent="0.2">
      <c r="A801" s="29"/>
      <c r="B801" s="328" t="s">
        <v>41</v>
      </c>
      <c r="C801">
        <v>105.2927045</v>
      </c>
      <c r="D801">
        <v>696.59398032762317</v>
      </c>
    </row>
    <row r="802" spans="1:4" x14ac:dyDescent="0.2">
      <c r="A802" s="29"/>
      <c r="B802" s="328" t="s">
        <v>34</v>
      </c>
      <c r="C802">
        <v>2199.5241339999998</v>
      </c>
      <c r="D802">
        <v>650.43867990103979</v>
      </c>
    </row>
    <row r="803" spans="1:4" x14ac:dyDescent="0.2">
      <c r="A803" s="29"/>
      <c r="B803" s="328" t="s">
        <v>39</v>
      </c>
      <c r="C803">
        <v>1.4450574199999999</v>
      </c>
      <c r="D803">
        <v>2823.3259155666001</v>
      </c>
    </row>
    <row r="804" spans="1:4" x14ac:dyDescent="0.2">
      <c r="A804" s="29">
        <v>45109</v>
      </c>
      <c r="B804" s="328" t="s">
        <v>14</v>
      </c>
      <c r="C804">
        <v>4402.375986</v>
      </c>
      <c r="D804">
        <v>2129.984404040034</v>
      </c>
    </row>
    <row r="805" spans="1:4" x14ac:dyDescent="0.2">
      <c r="A805" s="29"/>
      <c r="B805" s="328" t="s">
        <v>32</v>
      </c>
      <c r="C805">
        <v>34.09613499999999</v>
      </c>
      <c r="D805">
        <v>326.59632816179231</v>
      </c>
    </row>
    <row r="806" spans="1:4" x14ac:dyDescent="0.2">
      <c r="A806" s="29"/>
      <c r="B806" s="328" t="s">
        <v>15</v>
      </c>
      <c r="C806">
        <v>36702.641885169993</v>
      </c>
      <c r="D806">
        <v>1836.6350674436969</v>
      </c>
    </row>
    <row r="807" spans="1:4" x14ac:dyDescent="0.2">
      <c r="A807" s="29"/>
      <c r="B807" s="328" t="s">
        <v>42</v>
      </c>
      <c r="C807">
        <v>10561.520754220001</v>
      </c>
      <c r="D807">
        <v>419.51596133690089</v>
      </c>
    </row>
    <row r="808" spans="1:4" x14ac:dyDescent="0.2">
      <c r="A808" s="29"/>
      <c r="B808" s="328" t="s">
        <v>41</v>
      </c>
      <c r="C808">
        <v>105.2927045</v>
      </c>
      <c r="D808">
        <v>686.85384395125823</v>
      </c>
    </row>
    <row r="809" spans="1:4" x14ac:dyDescent="0.2">
      <c r="A809" s="29"/>
      <c r="B809" s="328" t="s">
        <v>34</v>
      </c>
      <c r="C809">
        <v>2199.5241339999998</v>
      </c>
      <c r="D809">
        <v>641.32708519022083</v>
      </c>
    </row>
    <row r="810" spans="1:4" x14ac:dyDescent="0.2">
      <c r="A810" s="29"/>
      <c r="B810" s="328" t="s">
        <v>39</v>
      </c>
      <c r="C810">
        <v>1.4450574199999999</v>
      </c>
      <c r="D810">
        <v>2794.683076570489</v>
      </c>
    </row>
    <row r="811" spans="1:4" x14ac:dyDescent="0.2">
      <c r="A811" s="29">
        <v>45108</v>
      </c>
      <c r="B811" s="328" t="s">
        <v>14</v>
      </c>
      <c r="C811">
        <v>4402.375986</v>
      </c>
      <c r="D811">
        <v>2083.716048759813</v>
      </c>
    </row>
    <row r="812" spans="1:4" x14ac:dyDescent="0.2">
      <c r="A812" s="29"/>
      <c r="B812" s="328" t="s">
        <v>32</v>
      </c>
      <c r="C812">
        <v>34.09613499999999</v>
      </c>
      <c r="D812">
        <v>325.93998506419189</v>
      </c>
    </row>
    <row r="813" spans="1:4" x14ac:dyDescent="0.2">
      <c r="A813" s="29"/>
      <c r="B813" s="328" t="s">
        <v>15</v>
      </c>
      <c r="C813">
        <v>36702.641885169993</v>
      </c>
      <c r="D813">
        <v>1862.004300541146</v>
      </c>
    </row>
    <row r="814" spans="1:4" x14ac:dyDescent="0.2">
      <c r="A814" s="29"/>
      <c r="B814" s="328" t="s">
        <v>42</v>
      </c>
      <c r="C814">
        <v>10561.520754220001</v>
      </c>
      <c r="D814">
        <v>413.37771108975568</v>
      </c>
    </row>
    <row r="815" spans="1:4" x14ac:dyDescent="0.2">
      <c r="A815" s="29"/>
      <c r="B815" s="328" t="s">
        <v>41</v>
      </c>
      <c r="C815">
        <v>105.2927045</v>
      </c>
      <c r="D815">
        <v>684.14749714407833</v>
      </c>
    </row>
    <row r="816" spans="1:4" x14ac:dyDescent="0.2">
      <c r="A816" s="29"/>
      <c r="B816" s="328" t="s">
        <v>34</v>
      </c>
      <c r="C816">
        <v>2199.5241339999998</v>
      </c>
      <c r="D816">
        <v>642.54964668962202</v>
      </c>
    </row>
    <row r="817" spans="1:4" x14ac:dyDescent="0.2">
      <c r="A817" s="29"/>
      <c r="B817" s="328" t="s">
        <v>39</v>
      </c>
      <c r="C817">
        <v>1.4450574199999999</v>
      </c>
      <c r="D817">
        <v>2781.110171708121</v>
      </c>
    </row>
    <row r="818" spans="1:4" x14ac:dyDescent="0.2">
      <c r="A818" s="29">
        <v>45107</v>
      </c>
      <c r="B818" s="328" t="s">
        <v>14</v>
      </c>
      <c r="C818">
        <v>4402.375986</v>
      </c>
      <c r="D818">
        <v>2085.1761848030892</v>
      </c>
    </row>
    <row r="819" spans="1:4" x14ac:dyDescent="0.2">
      <c r="A819" s="29"/>
      <c r="B819" s="328" t="s">
        <v>32</v>
      </c>
      <c r="C819">
        <v>34.09613499999999</v>
      </c>
      <c r="D819">
        <v>316.72050813281902</v>
      </c>
    </row>
    <row r="820" spans="1:4" x14ac:dyDescent="0.2">
      <c r="A820" s="29"/>
      <c r="B820" s="328" t="s">
        <v>15</v>
      </c>
      <c r="C820">
        <v>36702.641885169993</v>
      </c>
      <c r="D820">
        <v>1850.1111764646751</v>
      </c>
    </row>
    <row r="821" spans="1:4" x14ac:dyDescent="0.2">
      <c r="A821" s="29"/>
      <c r="B821" s="328" t="s">
        <v>42</v>
      </c>
      <c r="C821">
        <v>10561.520754220001</v>
      </c>
      <c r="D821">
        <v>401.188765602518</v>
      </c>
    </row>
    <row r="822" spans="1:4" x14ac:dyDescent="0.2">
      <c r="A822" s="29"/>
      <c r="B822" s="328" t="s">
        <v>41</v>
      </c>
      <c r="C822">
        <v>105.2927045</v>
      </c>
      <c r="D822">
        <v>664.15002452099031</v>
      </c>
    </row>
    <row r="823" spans="1:4" x14ac:dyDescent="0.2">
      <c r="A823" s="29"/>
      <c r="B823" s="328" t="s">
        <v>34</v>
      </c>
      <c r="C823">
        <v>2199.5241339999998</v>
      </c>
      <c r="D823">
        <v>630.92375394598628</v>
      </c>
    </row>
    <row r="824" spans="1:4" x14ac:dyDescent="0.2">
      <c r="A824" s="29"/>
      <c r="B824" s="328" t="s">
        <v>39</v>
      </c>
      <c r="C824">
        <v>1.4450574199999999</v>
      </c>
      <c r="D824">
        <v>2794.807110010614</v>
      </c>
    </row>
    <row r="825" spans="1:4" x14ac:dyDescent="0.2">
      <c r="A825" s="29">
        <v>45106</v>
      </c>
      <c r="B825" s="328" t="s">
        <v>14</v>
      </c>
      <c r="C825">
        <v>4402.375986</v>
      </c>
      <c r="D825">
        <v>2089.3158269902451</v>
      </c>
    </row>
    <row r="826" spans="1:4" x14ac:dyDescent="0.2">
      <c r="A826" s="29"/>
      <c r="B826" s="328" t="s">
        <v>32</v>
      </c>
      <c r="C826">
        <v>34.09613499999999</v>
      </c>
      <c r="D826">
        <v>306.87665152560157</v>
      </c>
    </row>
    <row r="827" spans="1:4" x14ac:dyDescent="0.2">
      <c r="A827" s="29"/>
      <c r="B827" s="328" t="s">
        <v>15</v>
      </c>
      <c r="C827">
        <v>36702.641885169993</v>
      </c>
      <c r="D827">
        <v>1773.908050303429</v>
      </c>
    </row>
    <row r="828" spans="1:4" x14ac:dyDescent="0.2">
      <c r="A828" s="29"/>
      <c r="B828" s="328" t="s">
        <v>42</v>
      </c>
      <c r="C828">
        <v>10561.520754220001</v>
      </c>
      <c r="D828">
        <v>404.03403929370478</v>
      </c>
    </row>
    <row r="829" spans="1:4" x14ac:dyDescent="0.2">
      <c r="A829" s="29"/>
      <c r="B829" s="328" t="s">
        <v>41</v>
      </c>
      <c r="C829">
        <v>105.2927045</v>
      </c>
      <c r="D829">
        <v>621.64403042886795</v>
      </c>
    </row>
    <row r="830" spans="1:4" x14ac:dyDescent="0.2">
      <c r="A830" s="29"/>
      <c r="B830" s="328" t="s">
        <v>34</v>
      </c>
      <c r="C830">
        <v>2199.5241339999998</v>
      </c>
      <c r="D830">
        <v>606.48895440324293</v>
      </c>
    </row>
    <row r="831" spans="1:4" x14ac:dyDescent="0.2">
      <c r="A831" s="29"/>
      <c r="B831" s="328" t="s">
        <v>39</v>
      </c>
      <c r="C831">
        <v>1.4450574199999999</v>
      </c>
      <c r="D831">
        <v>2678.334805108168</v>
      </c>
    </row>
    <row r="832" spans="1:4" x14ac:dyDescent="0.2">
      <c r="A832" s="29">
        <v>45105</v>
      </c>
      <c r="B832" s="328" t="s">
        <v>14</v>
      </c>
      <c r="C832">
        <v>4402.375986</v>
      </c>
      <c r="D832">
        <v>2046.304613607025</v>
      </c>
    </row>
    <row r="833" spans="1:4" x14ac:dyDescent="0.2">
      <c r="A833" s="29"/>
      <c r="B833" s="328" t="s">
        <v>32</v>
      </c>
      <c r="C833">
        <v>34.09613499999999</v>
      </c>
      <c r="D833">
        <v>310.90780790301409</v>
      </c>
    </row>
    <row r="834" spans="1:4" x14ac:dyDescent="0.2">
      <c r="A834" s="29"/>
      <c r="B834" s="328" t="s">
        <v>15</v>
      </c>
      <c r="C834">
        <v>36702.641885169993</v>
      </c>
      <c r="D834">
        <v>1746.366387832797</v>
      </c>
    </row>
    <row r="835" spans="1:4" x14ac:dyDescent="0.2">
      <c r="A835" s="29"/>
      <c r="B835" s="328" t="s">
        <v>42</v>
      </c>
      <c r="C835">
        <v>10561.520754220001</v>
      </c>
      <c r="D835">
        <v>401.75908772324578</v>
      </c>
    </row>
    <row r="836" spans="1:4" x14ac:dyDescent="0.2">
      <c r="A836" s="29"/>
      <c r="B836" s="328" t="s">
        <v>41</v>
      </c>
      <c r="C836">
        <v>105.2927045</v>
      </c>
      <c r="D836">
        <v>612.40089246457569</v>
      </c>
    </row>
    <row r="837" spans="1:4" x14ac:dyDescent="0.2">
      <c r="A837" s="29"/>
      <c r="B837" s="328" t="s">
        <v>34</v>
      </c>
      <c r="C837">
        <v>2199.5241339999998</v>
      </c>
      <c r="D837">
        <v>587.24522977391155</v>
      </c>
    </row>
    <row r="838" spans="1:4" x14ac:dyDescent="0.2">
      <c r="A838" s="29"/>
      <c r="B838" s="328" t="s">
        <v>39</v>
      </c>
      <c r="C838">
        <v>1.4450574199999999</v>
      </c>
      <c r="D838">
        <v>2642.2272861756769</v>
      </c>
    </row>
    <row r="839" spans="1:4" x14ac:dyDescent="0.2">
      <c r="A839" s="29">
        <v>45104</v>
      </c>
      <c r="B839" s="328" t="s">
        <v>14</v>
      </c>
      <c r="C839">
        <v>4402.375986</v>
      </c>
      <c r="D839">
        <v>2132.377095388425</v>
      </c>
    </row>
    <row r="840" spans="1:4" x14ac:dyDescent="0.2">
      <c r="A840" s="29"/>
      <c r="B840" s="328" t="s">
        <v>32</v>
      </c>
      <c r="C840">
        <v>34.09613499999999</v>
      </c>
      <c r="D840">
        <v>321.17789927098261</v>
      </c>
    </row>
    <row r="841" spans="1:4" x14ac:dyDescent="0.2">
      <c r="A841" s="29"/>
      <c r="B841" s="328" t="s">
        <v>15</v>
      </c>
      <c r="C841">
        <v>36702.641885169993</v>
      </c>
      <c r="D841">
        <v>1854.8157211015159</v>
      </c>
    </row>
    <row r="842" spans="1:4" x14ac:dyDescent="0.2">
      <c r="A842" s="29"/>
      <c r="B842" s="328" t="s">
        <v>42</v>
      </c>
      <c r="C842">
        <v>10561.520754220001</v>
      </c>
      <c r="D842">
        <v>422.55651754683322</v>
      </c>
    </row>
    <row r="843" spans="1:4" x14ac:dyDescent="0.2">
      <c r="A843" s="29"/>
      <c r="B843" s="328" t="s">
        <v>41</v>
      </c>
      <c r="C843">
        <v>105.2927045</v>
      </c>
      <c r="D843">
        <v>653.03147081513146</v>
      </c>
    </row>
    <row r="844" spans="1:4" x14ac:dyDescent="0.2">
      <c r="A844" s="29"/>
      <c r="B844" s="328" t="s">
        <v>34</v>
      </c>
      <c r="C844">
        <v>2199.5241339999998</v>
      </c>
      <c r="D844">
        <v>629.86536492794676</v>
      </c>
    </row>
    <row r="845" spans="1:4" x14ac:dyDescent="0.2">
      <c r="A845" s="29"/>
      <c r="B845" s="328" t="s">
        <v>39</v>
      </c>
      <c r="C845">
        <v>1.4450574199999999</v>
      </c>
      <c r="D845">
        <v>2731.177170503036</v>
      </c>
    </row>
    <row r="846" spans="1:4" x14ac:dyDescent="0.2">
      <c r="A846" s="29">
        <v>45103</v>
      </c>
      <c r="B846" s="328" t="s">
        <v>14</v>
      </c>
      <c r="C846">
        <v>4402.375986</v>
      </c>
      <c r="D846">
        <v>2109.3984096681402</v>
      </c>
    </row>
    <row r="847" spans="1:4" x14ac:dyDescent="0.2">
      <c r="A847" s="29"/>
      <c r="B847" s="328" t="s">
        <v>32</v>
      </c>
      <c r="C847">
        <v>34.09613499999999</v>
      </c>
      <c r="D847">
        <v>314.15843351223862</v>
      </c>
    </row>
    <row r="848" spans="1:4" x14ac:dyDescent="0.2">
      <c r="A848" s="29"/>
      <c r="B848" s="328" t="s">
        <v>15</v>
      </c>
      <c r="C848">
        <v>36702.641885169993</v>
      </c>
      <c r="D848">
        <v>1820.4983839124629</v>
      </c>
    </row>
    <row r="849" spans="1:4" x14ac:dyDescent="0.2">
      <c r="A849" s="29"/>
      <c r="B849" s="328" t="s">
        <v>42</v>
      </c>
      <c r="C849">
        <v>10561.520754220001</v>
      </c>
      <c r="D849">
        <v>430.74951165671189</v>
      </c>
    </row>
    <row r="850" spans="1:4" x14ac:dyDescent="0.2">
      <c r="A850" s="29"/>
      <c r="B850" s="328" t="s">
        <v>41</v>
      </c>
      <c r="C850">
        <v>105.2927045</v>
      </c>
      <c r="D850">
        <v>638.97669737548244</v>
      </c>
    </row>
    <row r="851" spans="1:4" x14ac:dyDescent="0.2">
      <c r="A851" s="29"/>
      <c r="B851" s="328" t="s">
        <v>34</v>
      </c>
      <c r="C851">
        <v>2199.5241339999998</v>
      </c>
      <c r="D851">
        <v>617.2223242437841</v>
      </c>
    </row>
    <row r="852" spans="1:4" x14ac:dyDescent="0.2">
      <c r="A852" s="29"/>
      <c r="B852" s="328" t="s">
        <v>39</v>
      </c>
      <c r="C852">
        <v>1.4450574199999999</v>
      </c>
      <c r="D852">
        <v>2687.5212862347362</v>
      </c>
    </row>
    <row r="853" spans="1:4" x14ac:dyDescent="0.2">
      <c r="A853" s="29">
        <v>45102</v>
      </c>
      <c r="B853" s="328" t="s">
        <v>14</v>
      </c>
      <c r="C853">
        <v>4402.375986</v>
      </c>
      <c r="D853">
        <v>2155.2813369307878</v>
      </c>
    </row>
    <row r="854" spans="1:4" x14ac:dyDescent="0.2">
      <c r="A854" s="29"/>
      <c r="B854" s="328" t="s">
        <v>32</v>
      </c>
      <c r="C854">
        <v>34.09613499999999</v>
      </c>
      <c r="D854">
        <v>323.2121050306427</v>
      </c>
    </row>
    <row r="855" spans="1:4" x14ac:dyDescent="0.2">
      <c r="A855" s="29"/>
      <c r="B855" s="328" t="s">
        <v>15</v>
      </c>
      <c r="C855">
        <v>36702.641885169993</v>
      </c>
      <c r="D855">
        <v>1898.7630974684</v>
      </c>
    </row>
    <row r="856" spans="1:4" x14ac:dyDescent="0.2">
      <c r="A856" s="29"/>
      <c r="B856" s="328" t="s">
        <v>42</v>
      </c>
      <c r="C856">
        <v>10561.520754220001</v>
      </c>
      <c r="D856">
        <v>433.86241428381072</v>
      </c>
    </row>
    <row r="857" spans="1:4" x14ac:dyDescent="0.2">
      <c r="A857" s="29"/>
      <c r="B857" s="328" t="s">
        <v>41</v>
      </c>
      <c r="C857">
        <v>105.2927045</v>
      </c>
      <c r="D857">
        <v>647.25010216645433</v>
      </c>
    </row>
    <row r="858" spans="1:4" x14ac:dyDescent="0.2">
      <c r="A858" s="29"/>
      <c r="B858" s="328" t="s">
        <v>34</v>
      </c>
      <c r="C858">
        <v>2199.5241339999998</v>
      </c>
      <c r="D858">
        <v>642.30160635303082</v>
      </c>
    </row>
    <row r="859" spans="1:4" x14ac:dyDescent="0.2">
      <c r="A859" s="29"/>
      <c r="B859" s="328" t="s">
        <v>39</v>
      </c>
      <c r="C859">
        <v>1.4450574199999999</v>
      </c>
      <c r="D859">
        <v>2744.376915023161</v>
      </c>
    </row>
    <row r="860" spans="1:4" x14ac:dyDescent="0.2">
      <c r="A860" s="29">
        <v>45101</v>
      </c>
      <c r="B860" s="328" t="s">
        <v>14</v>
      </c>
      <c r="C860">
        <v>4402.375986</v>
      </c>
      <c r="D860">
        <v>2142.6225689256039</v>
      </c>
    </row>
    <row r="861" spans="1:4" x14ac:dyDescent="0.2">
      <c r="A861" s="29"/>
      <c r="B861" s="328" t="s">
        <v>32</v>
      </c>
      <c r="C861">
        <v>34.09613499999999</v>
      </c>
      <c r="D861">
        <v>319.68599663003363</v>
      </c>
    </row>
    <row r="862" spans="1:4" x14ac:dyDescent="0.2">
      <c r="A862" s="29"/>
      <c r="B862" s="328" t="s">
        <v>15</v>
      </c>
      <c r="C862">
        <v>36702.641885169993</v>
      </c>
      <c r="D862">
        <v>1879.4446619121411</v>
      </c>
    </row>
    <row r="863" spans="1:4" x14ac:dyDescent="0.2">
      <c r="A863" s="29"/>
      <c r="B863" s="328" t="s">
        <v>42</v>
      </c>
      <c r="C863">
        <v>10561.520754220001</v>
      </c>
      <c r="D863">
        <v>423.5470825783716</v>
      </c>
    </row>
    <row r="864" spans="1:4" x14ac:dyDescent="0.2">
      <c r="A864" s="29"/>
      <c r="B864" s="328" t="s">
        <v>41</v>
      </c>
      <c r="C864">
        <v>105.2927045</v>
      </c>
      <c r="D864">
        <v>646.79069324988802</v>
      </c>
    </row>
    <row r="865" spans="1:4" x14ac:dyDescent="0.2">
      <c r="A865" s="29"/>
      <c r="B865" s="328" t="s">
        <v>34</v>
      </c>
      <c r="C865">
        <v>2199.5241339999998</v>
      </c>
      <c r="D865">
        <v>637.01249864896647</v>
      </c>
    </row>
    <row r="866" spans="1:4" x14ac:dyDescent="0.2">
      <c r="A866" s="29"/>
      <c r="B866" s="328" t="s">
        <v>39</v>
      </c>
      <c r="C866">
        <v>1.4450574199999999</v>
      </c>
      <c r="D866">
        <v>2709.5693109318649</v>
      </c>
    </row>
    <row r="867" spans="1:4" x14ac:dyDescent="0.2">
      <c r="A867" s="29">
        <v>45100</v>
      </c>
      <c r="B867" s="328" t="s">
        <v>14</v>
      </c>
      <c r="C867">
        <v>4402.375986</v>
      </c>
      <c r="D867">
        <v>2184.165237727414</v>
      </c>
    </row>
    <row r="868" spans="1:4" x14ac:dyDescent="0.2">
      <c r="A868" s="29"/>
      <c r="B868" s="328" t="s">
        <v>32</v>
      </c>
      <c r="C868">
        <v>34.09613499999999</v>
      </c>
      <c r="D868">
        <v>315.73421264528753</v>
      </c>
    </row>
    <row r="869" spans="1:4" x14ac:dyDescent="0.2">
      <c r="A869" s="29"/>
      <c r="B869" s="328" t="s">
        <v>15</v>
      </c>
      <c r="C869">
        <v>36702.641885169993</v>
      </c>
      <c r="D869">
        <v>1909.209036375338</v>
      </c>
    </row>
    <row r="870" spans="1:4" x14ac:dyDescent="0.2">
      <c r="A870" s="29"/>
      <c r="B870" s="328" t="s">
        <v>42</v>
      </c>
      <c r="C870">
        <v>10561.520754220001</v>
      </c>
      <c r="D870">
        <v>437.53930211918492</v>
      </c>
    </row>
    <row r="871" spans="1:4" x14ac:dyDescent="0.2">
      <c r="A871" s="29"/>
      <c r="B871" s="328" t="s">
        <v>41</v>
      </c>
      <c r="C871">
        <v>105.2927045</v>
      </c>
      <c r="D871">
        <v>637.33135356373782</v>
      </c>
    </row>
    <row r="872" spans="1:4" x14ac:dyDescent="0.2">
      <c r="A872" s="29"/>
      <c r="B872" s="328" t="s">
        <v>34</v>
      </c>
      <c r="C872">
        <v>2199.5241339999998</v>
      </c>
      <c r="D872">
        <v>650.77560300788605</v>
      </c>
    </row>
    <row r="873" spans="1:4" x14ac:dyDescent="0.2">
      <c r="A873" s="29"/>
      <c r="B873" s="328" t="s">
        <v>39</v>
      </c>
      <c r="C873">
        <v>1.4450574199999999</v>
      </c>
      <c r="D873">
        <v>2733.1021376192612</v>
      </c>
    </row>
    <row r="874" spans="1:4" x14ac:dyDescent="0.2">
      <c r="A874" s="29">
        <v>45099</v>
      </c>
      <c r="B874" s="328" t="s">
        <v>14</v>
      </c>
      <c r="C874">
        <v>4402.375986</v>
      </c>
      <c r="D874">
        <v>2180.34573632196</v>
      </c>
    </row>
    <row r="875" spans="1:4" x14ac:dyDescent="0.2">
      <c r="A875" s="29"/>
      <c r="B875" s="328" t="s">
        <v>32</v>
      </c>
      <c r="C875">
        <v>34.09613499999999</v>
      </c>
      <c r="D875">
        <v>307.48582909869509</v>
      </c>
    </row>
    <row r="876" spans="1:4" x14ac:dyDescent="0.2">
      <c r="A876" s="29"/>
      <c r="B876" s="328" t="s">
        <v>15</v>
      </c>
      <c r="C876">
        <v>36702.641885169993</v>
      </c>
      <c r="D876">
        <v>1843.8082317737351</v>
      </c>
    </row>
    <row r="877" spans="1:4" x14ac:dyDescent="0.2">
      <c r="A877" s="29"/>
      <c r="B877" s="328" t="s">
        <v>42</v>
      </c>
      <c r="C877">
        <v>10561.520754220001</v>
      </c>
      <c r="D877">
        <v>436.37066984773043</v>
      </c>
    </row>
    <row r="878" spans="1:4" x14ac:dyDescent="0.2">
      <c r="A878" s="29"/>
      <c r="B878" s="328" t="s">
        <v>41</v>
      </c>
      <c r="C878">
        <v>105.2927045</v>
      </c>
      <c r="D878">
        <v>586.94705291915534</v>
      </c>
    </row>
    <row r="879" spans="1:4" x14ac:dyDescent="0.2">
      <c r="A879" s="29"/>
      <c r="B879" s="328" t="s">
        <v>34</v>
      </c>
      <c r="C879">
        <v>2199.5241339999998</v>
      </c>
      <c r="D879">
        <v>638.43374316339191</v>
      </c>
    </row>
    <row r="880" spans="1:4" x14ac:dyDescent="0.2">
      <c r="A880" s="29"/>
      <c r="B880" s="328" t="s">
        <v>39</v>
      </c>
      <c r="C880">
        <v>1.4450574199999999</v>
      </c>
      <c r="D880">
        <v>2708.2947487416191</v>
      </c>
    </row>
    <row r="881" spans="1:4" x14ac:dyDescent="0.2">
      <c r="A881" s="29">
        <v>45098</v>
      </c>
      <c r="B881" s="328" t="s">
        <v>14</v>
      </c>
      <c r="C881">
        <v>4402.375986</v>
      </c>
      <c r="D881">
        <v>2205.5787026896369</v>
      </c>
    </row>
    <row r="882" spans="1:4" x14ac:dyDescent="0.2">
      <c r="A882" s="29"/>
      <c r="B882" s="328" t="s">
        <v>32</v>
      </c>
      <c r="C882">
        <v>34.09613499999999</v>
      </c>
      <c r="D882">
        <v>308.9647833914164</v>
      </c>
    </row>
    <row r="883" spans="1:4" x14ac:dyDescent="0.2">
      <c r="A883" s="29"/>
      <c r="B883" s="328" t="s">
        <v>15</v>
      </c>
      <c r="C883">
        <v>36702.641885169993</v>
      </c>
      <c r="D883">
        <v>1850.9123951370291</v>
      </c>
    </row>
    <row r="884" spans="1:4" x14ac:dyDescent="0.2">
      <c r="A884" s="29"/>
      <c r="B884" s="328" t="s">
        <v>42</v>
      </c>
      <c r="C884">
        <v>10561.520754220001</v>
      </c>
      <c r="D884">
        <v>436.37542253206982</v>
      </c>
    </row>
    <row r="885" spans="1:4" x14ac:dyDescent="0.2">
      <c r="A885" s="29"/>
      <c r="B885" s="328" t="s">
        <v>41</v>
      </c>
      <c r="C885">
        <v>105.2927045</v>
      </c>
      <c r="D885">
        <v>585.2234471460099</v>
      </c>
    </row>
    <row r="886" spans="1:4" x14ac:dyDescent="0.2">
      <c r="A886" s="29"/>
      <c r="B886" s="328" t="s">
        <v>34</v>
      </c>
      <c r="C886">
        <v>2199.5241339999998</v>
      </c>
      <c r="D886">
        <v>631.58875807265986</v>
      </c>
    </row>
    <row r="887" spans="1:4" x14ac:dyDescent="0.2">
      <c r="A887" s="29"/>
      <c r="B887" s="328" t="s">
        <v>39</v>
      </c>
      <c r="C887">
        <v>1.4450574199999999</v>
      </c>
      <c r="D887">
        <v>2735.348571717821</v>
      </c>
    </row>
    <row r="888" spans="1:4" x14ac:dyDescent="0.2">
      <c r="A888" s="29">
        <v>45097</v>
      </c>
      <c r="B888" s="328" t="s">
        <v>32</v>
      </c>
      <c r="C888">
        <v>34.09613499999999</v>
      </c>
      <c r="D888">
        <v>299.28050658387809</v>
      </c>
    </row>
    <row r="889" spans="1:4" x14ac:dyDescent="0.2">
      <c r="A889" s="29"/>
      <c r="B889" s="328" t="s">
        <v>15</v>
      </c>
      <c r="C889">
        <v>36702.641885169993</v>
      </c>
      <c r="D889">
        <v>1796.630655894538</v>
      </c>
    </row>
    <row r="890" spans="1:4" x14ac:dyDescent="0.2">
      <c r="A890" s="29"/>
      <c r="B890" s="328" t="s">
        <v>42</v>
      </c>
      <c r="C890">
        <v>10561.520754220001</v>
      </c>
      <c r="D890">
        <v>424.11212393872228</v>
      </c>
    </row>
    <row r="891" spans="1:4" x14ac:dyDescent="0.2">
      <c r="A891" s="29"/>
      <c r="B891" s="328" t="s">
        <v>14</v>
      </c>
      <c r="C891">
        <v>4404.4075869999997</v>
      </c>
      <c r="D891">
        <v>2168.1723454856792</v>
      </c>
    </row>
    <row r="892" spans="1:4" x14ac:dyDescent="0.2">
      <c r="A892" s="29"/>
      <c r="B892" s="328" t="s">
        <v>41</v>
      </c>
      <c r="C892">
        <v>105.2927045</v>
      </c>
      <c r="D892">
        <v>553.46685369655052</v>
      </c>
    </row>
    <row r="893" spans="1:4" x14ac:dyDescent="0.2">
      <c r="A893" s="29"/>
      <c r="B893" s="328" t="s">
        <v>34</v>
      </c>
      <c r="C893">
        <v>2199.5241339999998</v>
      </c>
      <c r="D893">
        <v>593.13192618994242</v>
      </c>
    </row>
    <row r="894" spans="1:4" x14ac:dyDescent="0.2">
      <c r="A894" s="29"/>
      <c r="B894" s="328" t="s">
        <v>39</v>
      </c>
      <c r="C894">
        <v>1.4450574199999999</v>
      </c>
      <c r="D894">
        <v>2586.927979589957</v>
      </c>
    </row>
    <row r="895" spans="1:4" x14ac:dyDescent="0.2">
      <c r="A895" s="29">
        <v>45096</v>
      </c>
      <c r="B895" s="328" t="s">
        <v>15</v>
      </c>
      <c r="C895">
        <v>36702.641885169993</v>
      </c>
      <c r="D895">
        <v>1650.110406251169</v>
      </c>
    </row>
    <row r="896" spans="1:4" x14ac:dyDescent="0.2">
      <c r="A896" s="29"/>
      <c r="B896" s="328" t="s">
        <v>32</v>
      </c>
      <c r="C896">
        <v>45.775306</v>
      </c>
      <c r="D896">
        <v>392.93478543005023</v>
      </c>
    </row>
    <row r="897" spans="1:4" x14ac:dyDescent="0.2">
      <c r="A897" s="29"/>
      <c r="B897" s="328" t="s">
        <v>42</v>
      </c>
      <c r="C897">
        <v>10561.520754220001</v>
      </c>
      <c r="D897">
        <v>411.5956656928962</v>
      </c>
    </row>
    <row r="898" spans="1:4" x14ac:dyDescent="0.2">
      <c r="A898" s="29"/>
      <c r="B898" s="328" t="s">
        <v>14</v>
      </c>
      <c r="C898">
        <v>4404.4075869999997</v>
      </c>
      <c r="D898">
        <v>2175.5160344758629</v>
      </c>
    </row>
    <row r="899" spans="1:4" x14ac:dyDescent="0.2">
      <c r="A899" s="29"/>
      <c r="B899" s="328" t="s">
        <v>41</v>
      </c>
      <c r="C899">
        <v>105.2927045</v>
      </c>
      <c r="D899">
        <v>538.57332383748974</v>
      </c>
    </row>
    <row r="900" spans="1:4" x14ac:dyDescent="0.2">
      <c r="A900" s="29"/>
      <c r="B900" s="328" t="s">
        <v>34</v>
      </c>
      <c r="C900">
        <v>2199.5241339999998</v>
      </c>
      <c r="D900">
        <v>578.55218251055135</v>
      </c>
    </row>
    <row r="901" spans="1:4" x14ac:dyDescent="0.2">
      <c r="A901" s="29"/>
      <c r="B901" s="328" t="s">
        <v>39</v>
      </c>
      <c r="C901">
        <v>1.4450574199999999</v>
      </c>
      <c r="D901">
        <v>2506.8756462908</v>
      </c>
    </row>
    <row r="902" spans="1:4" x14ac:dyDescent="0.2">
      <c r="A902" s="29">
        <v>45095</v>
      </c>
      <c r="B902" s="328" t="s">
        <v>15</v>
      </c>
      <c r="C902">
        <v>36702.641885169993</v>
      </c>
      <c r="D902">
        <v>1661.0121919703211</v>
      </c>
    </row>
    <row r="903" spans="1:4" x14ac:dyDescent="0.2">
      <c r="A903" s="29"/>
      <c r="B903" s="328" t="s">
        <v>32</v>
      </c>
      <c r="C903">
        <v>45.775306</v>
      </c>
      <c r="D903">
        <v>391.57500845092642</v>
      </c>
    </row>
    <row r="904" spans="1:4" x14ac:dyDescent="0.2">
      <c r="A904" s="29"/>
      <c r="B904" s="328" t="s">
        <v>42</v>
      </c>
      <c r="C904">
        <v>10561.520754220001</v>
      </c>
      <c r="D904">
        <v>421.83442637286731</v>
      </c>
    </row>
    <row r="905" spans="1:4" x14ac:dyDescent="0.2">
      <c r="A905" s="29"/>
      <c r="B905" s="328" t="s">
        <v>14</v>
      </c>
      <c r="C905">
        <v>4404.4075869999997</v>
      </c>
      <c r="D905">
        <v>2152.597127023922</v>
      </c>
    </row>
    <row r="906" spans="1:4" x14ac:dyDescent="0.2">
      <c r="A906" s="29"/>
      <c r="B906" s="328" t="s">
        <v>41</v>
      </c>
      <c r="C906">
        <v>105.2927045</v>
      </c>
      <c r="D906">
        <v>543.11901942323675</v>
      </c>
    </row>
    <row r="907" spans="1:4" x14ac:dyDescent="0.2">
      <c r="A907" s="29"/>
      <c r="B907" s="328" t="s">
        <v>34</v>
      </c>
      <c r="C907">
        <v>2199.5241339999998</v>
      </c>
      <c r="D907">
        <v>574.35568842005137</v>
      </c>
    </row>
    <row r="908" spans="1:4" x14ac:dyDescent="0.2">
      <c r="A908" s="29"/>
      <c r="B908" s="328" t="s">
        <v>39</v>
      </c>
      <c r="C908">
        <v>1.4450574199999999</v>
      </c>
      <c r="D908">
        <v>2484.4484390468838</v>
      </c>
    </row>
    <row r="909" spans="1:4" x14ac:dyDescent="0.2">
      <c r="A909" s="29">
        <v>45094</v>
      </c>
      <c r="B909" s="328" t="s">
        <v>15</v>
      </c>
      <c r="C909">
        <v>36702.641885169993</v>
      </c>
      <c r="D909">
        <v>1679.109530631061</v>
      </c>
    </row>
    <row r="910" spans="1:4" x14ac:dyDescent="0.2">
      <c r="A910" s="29"/>
      <c r="B910" s="328" t="s">
        <v>32</v>
      </c>
      <c r="C910">
        <v>45.775306</v>
      </c>
      <c r="D910">
        <v>407.14040962943989</v>
      </c>
    </row>
    <row r="911" spans="1:4" x14ac:dyDescent="0.2">
      <c r="A911" s="29"/>
      <c r="B911" s="328" t="s">
        <v>42</v>
      </c>
      <c r="C911">
        <v>10561.520754220001</v>
      </c>
      <c r="D911">
        <v>415.81087424111291</v>
      </c>
    </row>
    <row r="912" spans="1:4" x14ac:dyDescent="0.2">
      <c r="A912" s="29"/>
      <c r="B912" s="328" t="s">
        <v>14</v>
      </c>
      <c r="C912">
        <v>4404.4075869999997</v>
      </c>
      <c r="D912">
        <v>2118.1589760130182</v>
      </c>
    </row>
    <row r="913" spans="1:4" x14ac:dyDescent="0.2">
      <c r="A913" s="29"/>
      <c r="B913" s="328" t="s">
        <v>41</v>
      </c>
      <c r="C913">
        <v>105.2927045</v>
      </c>
      <c r="D913">
        <v>555.67544187833118</v>
      </c>
    </row>
    <row r="914" spans="1:4" x14ac:dyDescent="0.2">
      <c r="A914" s="29"/>
      <c r="B914" s="328" t="s">
        <v>34</v>
      </c>
      <c r="C914">
        <v>2199.5241339999998</v>
      </c>
      <c r="D914">
        <v>587.19565249993127</v>
      </c>
    </row>
    <row r="915" spans="1:4" x14ac:dyDescent="0.2">
      <c r="A915" s="29"/>
      <c r="B915" s="328" t="s">
        <v>39</v>
      </c>
      <c r="C915">
        <v>1.4450574199999999</v>
      </c>
      <c r="D915">
        <v>2494.7078383865851</v>
      </c>
    </row>
    <row r="916" spans="1:4" x14ac:dyDescent="0.2">
      <c r="A916" s="29">
        <v>45093</v>
      </c>
      <c r="B916" s="328" t="s">
        <v>15</v>
      </c>
      <c r="C916">
        <v>36702.641885169993</v>
      </c>
      <c r="D916">
        <v>1630.9259353377911</v>
      </c>
    </row>
    <row r="917" spans="1:4" x14ac:dyDescent="0.2">
      <c r="A917" s="29"/>
      <c r="B917" s="328" t="s">
        <v>32</v>
      </c>
      <c r="C917">
        <v>45.775306</v>
      </c>
      <c r="D917">
        <v>400.15504300347271</v>
      </c>
    </row>
    <row r="918" spans="1:4" x14ac:dyDescent="0.2">
      <c r="A918" s="29"/>
      <c r="B918" s="328" t="s">
        <v>42</v>
      </c>
      <c r="C918">
        <v>10561.520754220001</v>
      </c>
      <c r="D918">
        <v>434.17461283730552</v>
      </c>
    </row>
    <row r="919" spans="1:4" x14ac:dyDescent="0.2">
      <c r="A919" s="29"/>
      <c r="B919" s="328" t="s">
        <v>14</v>
      </c>
      <c r="C919">
        <v>4404.4075869999997</v>
      </c>
      <c r="D919">
        <v>2102.798076024445</v>
      </c>
    </row>
    <row r="920" spans="1:4" x14ac:dyDescent="0.2">
      <c r="A920" s="29"/>
      <c r="B920" s="328" t="s">
        <v>41</v>
      </c>
      <c r="C920">
        <v>105.2927045</v>
      </c>
      <c r="D920">
        <v>559.70433454721592</v>
      </c>
    </row>
    <row r="921" spans="1:4" x14ac:dyDescent="0.2">
      <c r="A921" s="29"/>
      <c r="B921" s="328" t="s">
        <v>34</v>
      </c>
      <c r="C921">
        <v>2199.5241339999998</v>
      </c>
      <c r="D921">
        <v>579.24034762635597</v>
      </c>
    </row>
    <row r="922" spans="1:4" x14ac:dyDescent="0.2">
      <c r="A922" s="29"/>
      <c r="B922" s="328" t="s">
        <v>39</v>
      </c>
      <c r="C922">
        <v>1.4450574199999999</v>
      </c>
      <c r="D922">
        <v>2480.263725558531</v>
      </c>
    </row>
    <row r="923" spans="1:4" x14ac:dyDescent="0.2">
      <c r="A923" s="29">
        <v>45092</v>
      </c>
      <c r="B923" s="328" t="s">
        <v>15</v>
      </c>
      <c r="C923">
        <v>36702.641885169993</v>
      </c>
      <c r="D923">
        <v>1575.5412817066499</v>
      </c>
    </row>
    <row r="924" spans="1:4" x14ac:dyDescent="0.2">
      <c r="A924" s="29"/>
      <c r="B924" s="328" t="s">
        <v>32</v>
      </c>
      <c r="C924">
        <v>45.775306</v>
      </c>
      <c r="D924">
        <v>397.58437643226148</v>
      </c>
    </row>
    <row r="925" spans="1:4" x14ac:dyDescent="0.2">
      <c r="A925" s="29"/>
      <c r="B925" s="328" t="s">
        <v>42</v>
      </c>
      <c r="C925">
        <v>10561.520754220001</v>
      </c>
      <c r="D925">
        <v>429.12747329927879</v>
      </c>
    </row>
    <row r="926" spans="1:4" x14ac:dyDescent="0.2">
      <c r="A926" s="29"/>
      <c r="B926" s="328" t="s">
        <v>14</v>
      </c>
      <c r="C926">
        <v>4404.4075869999997</v>
      </c>
      <c r="D926">
        <v>2122.3524124766</v>
      </c>
    </row>
    <row r="927" spans="1:4" x14ac:dyDescent="0.2">
      <c r="A927" s="29"/>
      <c r="B927" s="328" t="s">
        <v>41</v>
      </c>
      <c r="C927">
        <v>105.2927045</v>
      </c>
      <c r="D927">
        <v>558.15218109651596</v>
      </c>
    </row>
    <row r="928" spans="1:4" x14ac:dyDescent="0.2">
      <c r="A928" s="29"/>
      <c r="B928" s="328" t="s">
        <v>34</v>
      </c>
      <c r="C928">
        <v>2199.5241339999998</v>
      </c>
      <c r="D928">
        <v>575.6161697155228</v>
      </c>
    </row>
    <row r="929" spans="1:4" x14ac:dyDescent="0.2">
      <c r="A929" s="29"/>
      <c r="B929" s="328" t="s">
        <v>39</v>
      </c>
      <c r="C929">
        <v>1.4450574199999999</v>
      </c>
      <c r="D929">
        <v>2405.988036159441</v>
      </c>
    </row>
    <row r="930" spans="1:4" x14ac:dyDescent="0.2">
      <c r="A930" s="29">
        <v>45091</v>
      </c>
      <c r="B930" s="328" t="s">
        <v>15</v>
      </c>
      <c r="C930">
        <v>36702.641885169993</v>
      </c>
      <c r="D930">
        <v>1668.165169847322</v>
      </c>
    </row>
    <row r="931" spans="1:4" x14ac:dyDescent="0.2">
      <c r="A931" s="29"/>
      <c r="B931" s="328" t="s">
        <v>32</v>
      </c>
      <c r="C931">
        <v>45.775306</v>
      </c>
      <c r="D931">
        <v>387.76527529801939</v>
      </c>
    </row>
    <row r="932" spans="1:4" x14ac:dyDescent="0.2">
      <c r="A932" s="29"/>
      <c r="B932" s="328" t="s">
        <v>42</v>
      </c>
      <c r="C932">
        <v>10561.520754220001</v>
      </c>
      <c r="D932">
        <v>406.69427514127779</v>
      </c>
    </row>
    <row r="933" spans="1:4" x14ac:dyDescent="0.2">
      <c r="A933" s="29"/>
      <c r="B933" s="328" t="s">
        <v>14</v>
      </c>
      <c r="C933">
        <v>4404.4075869999997</v>
      </c>
      <c r="D933">
        <v>2122.8600204510021</v>
      </c>
    </row>
    <row r="934" spans="1:4" x14ac:dyDescent="0.2">
      <c r="A934" s="29"/>
      <c r="B934" s="328" t="s">
        <v>41</v>
      </c>
      <c r="C934">
        <v>105.2927045</v>
      </c>
      <c r="D934">
        <v>552.09636806648666</v>
      </c>
    </row>
    <row r="935" spans="1:4" x14ac:dyDescent="0.2">
      <c r="A935" s="29"/>
      <c r="B935" s="328" t="s">
        <v>34</v>
      </c>
      <c r="C935">
        <v>2199.5241339999998</v>
      </c>
      <c r="D935">
        <v>578.93478973366075</v>
      </c>
    </row>
    <row r="936" spans="1:4" x14ac:dyDescent="0.2">
      <c r="A936" s="29"/>
      <c r="B936" s="328" t="s">
        <v>39</v>
      </c>
      <c r="C936">
        <v>1.4450574199999999</v>
      </c>
      <c r="D936">
        <v>2385.3225664640008</v>
      </c>
    </row>
    <row r="937" spans="1:4" x14ac:dyDescent="0.2">
      <c r="A937" s="29">
        <v>45090</v>
      </c>
      <c r="B937" s="328" t="s">
        <v>15</v>
      </c>
      <c r="C937">
        <v>36702.641885169993</v>
      </c>
      <c r="D937">
        <v>1718.216562586128</v>
      </c>
    </row>
    <row r="938" spans="1:4" x14ac:dyDescent="0.2">
      <c r="A938" s="29"/>
      <c r="B938" s="328" t="s">
        <v>32</v>
      </c>
      <c r="C938">
        <v>45.775306</v>
      </c>
      <c r="D938">
        <v>395.36478173940498</v>
      </c>
    </row>
    <row r="939" spans="1:4" x14ac:dyDescent="0.2">
      <c r="A939" s="29"/>
      <c r="B939" s="328" t="s">
        <v>42</v>
      </c>
      <c r="C939">
        <v>10561.520754220001</v>
      </c>
      <c r="D939">
        <v>417.01150792045257</v>
      </c>
    </row>
    <row r="940" spans="1:4" x14ac:dyDescent="0.2">
      <c r="A940" s="29"/>
      <c r="B940" s="328" t="s">
        <v>14</v>
      </c>
      <c r="C940">
        <v>4404.4075869999997</v>
      </c>
      <c r="D940">
        <v>2300.083692055191</v>
      </c>
    </row>
    <row r="941" spans="1:4" x14ac:dyDescent="0.2">
      <c r="A941" s="29"/>
      <c r="B941" s="328" t="s">
        <v>41</v>
      </c>
      <c r="C941">
        <v>105.2927045</v>
      </c>
      <c r="D941">
        <v>556.96612616765435</v>
      </c>
    </row>
    <row r="942" spans="1:4" x14ac:dyDescent="0.2">
      <c r="A942" s="29"/>
      <c r="B942" s="328" t="s">
        <v>34</v>
      </c>
      <c r="C942">
        <v>2199.5241339999998</v>
      </c>
      <c r="D942">
        <v>604.68065962695744</v>
      </c>
    </row>
    <row r="943" spans="1:4" x14ac:dyDescent="0.2">
      <c r="A943" s="29"/>
      <c r="B943" s="328" t="s">
        <v>39</v>
      </c>
      <c r="C943">
        <v>1.4450574199999999</v>
      </c>
      <c r="D943">
        <v>2509.760463160133</v>
      </c>
    </row>
    <row r="944" spans="1:4" x14ac:dyDescent="0.2">
      <c r="A944" s="29">
        <v>45089</v>
      </c>
      <c r="B944" s="328" t="s">
        <v>15</v>
      </c>
      <c r="C944">
        <v>36702.641885169993</v>
      </c>
      <c r="D944">
        <v>1663.02936916833</v>
      </c>
    </row>
    <row r="945" spans="1:4" x14ac:dyDescent="0.2">
      <c r="A945" s="29"/>
      <c r="B945" s="328" t="s">
        <v>32</v>
      </c>
      <c r="C945">
        <v>45.775306</v>
      </c>
      <c r="D945">
        <v>400.97627762728399</v>
      </c>
    </row>
    <row r="946" spans="1:4" x14ac:dyDescent="0.2">
      <c r="A946" s="29"/>
      <c r="B946" s="328" t="s">
        <v>42</v>
      </c>
      <c r="C946">
        <v>10561.520754220001</v>
      </c>
      <c r="D946">
        <v>419.92902241359837</v>
      </c>
    </row>
    <row r="947" spans="1:4" x14ac:dyDescent="0.2">
      <c r="A947" s="29"/>
      <c r="B947" s="328" t="s">
        <v>14</v>
      </c>
      <c r="C947">
        <v>4404.4075869999997</v>
      </c>
      <c r="D947">
        <v>2322.4070795572929</v>
      </c>
    </row>
    <row r="948" spans="1:4" x14ac:dyDescent="0.2">
      <c r="A948" s="29"/>
      <c r="B948" s="328" t="s">
        <v>41</v>
      </c>
      <c r="C948">
        <v>105.2927045</v>
      </c>
      <c r="D948">
        <v>543.76359293115547</v>
      </c>
    </row>
    <row r="949" spans="1:4" x14ac:dyDescent="0.2">
      <c r="A949" s="29"/>
      <c r="B949" s="328" t="s">
        <v>34</v>
      </c>
      <c r="C949">
        <v>2199.5241339999998</v>
      </c>
      <c r="D949">
        <v>606.31345437259108</v>
      </c>
    </row>
    <row r="950" spans="1:4" x14ac:dyDescent="0.2">
      <c r="A950" s="29"/>
      <c r="B950" s="328" t="s">
        <v>39</v>
      </c>
      <c r="C950">
        <v>1.4450574199999999</v>
      </c>
      <c r="D950">
        <v>2518.1513558289889</v>
      </c>
    </row>
    <row r="951" spans="1:4" x14ac:dyDescent="0.2">
      <c r="A951" s="29">
        <v>45088</v>
      </c>
      <c r="B951" s="328" t="s">
        <v>15</v>
      </c>
      <c r="C951">
        <v>36702.641885169993</v>
      </c>
      <c r="D951">
        <v>1626.845702639416</v>
      </c>
    </row>
    <row r="952" spans="1:4" x14ac:dyDescent="0.2">
      <c r="A952" s="29"/>
      <c r="B952" s="328" t="s">
        <v>32</v>
      </c>
      <c r="C952">
        <v>45.775306</v>
      </c>
      <c r="D952">
        <v>386.20956581887071</v>
      </c>
    </row>
    <row r="953" spans="1:4" x14ac:dyDescent="0.2">
      <c r="A953" s="29"/>
      <c r="B953" s="328" t="s">
        <v>42</v>
      </c>
      <c r="C953">
        <v>10561.520754220001</v>
      </c>
      <c r="D953">
        <v>439.50627974445081</v>
      </c>
    </row>
    <row r="954" spans="1:4" x14ac:dyDescent="0.2">
      <c r="A954" s="29"/>
      <c r="B954" s="328" t="s">
        <v>14</v>
      </c>
      <c r="C954">
        <v>4404.4075869999997</v>
      </c>
      <c r="D954">
        <v>2305.5562565701898</v>
      </c>
    </row>
    <row r="955" spans="1:4" x14ac:dyDescent="0.2">
      <c r="A955" s="29"/>
      <c r="B955" s="328" t="s">
        <v>41</v>
      </c>
      <c r="C955">
        <v>105.2927045</v>
      </c>
      <c r="D955">
        <v>544.35893683508527</v>
      </c>
    </row>
    <row r="956" spans="1:4" x14ac:dyDescent="0.2">
      <c r="A956" s="29"/>
      <c r="B956" s="328" t="s">
        <v>34</v>
      </c>
      <c r="C956">
        <v>2199.5241339999998</v>
      </c>
      <c r="D956">
        <v>600.24835455405139</v>
      </c>
    </row>
    <row r="957" spans="1:4" x14ac:dyDescent="0.2">
      <c r="A957" s="29"/>
      <c r="B957" s="328" t="s">
        <v>39</v>
      </c>
      <c r="C957">
        <v>1.4450574199999999</v>
      </c>
      <c r="D957">
        <v>2531.3426259688322</v>
      </c>
    </row>
    <row r="958" spans="1:4" x14ac:dyDescent="0.2">
      <c r="A958" s="29">
        <v>45087</v>
      </c>
      <c r="B958" s="328" t="s">
        <v>32</v>
      </c>
      <c r="C958">
        <v>45.775306</v>
      </c>
      <c r="D958">
        <v>377.69584915639803</v>
      </c>
    </row>
    <row r="959" spans="1:4" x14ac:dyDescent="0.2">
      <c r="A959" s="29"/>
      <c r="B959" s="328" t="s">
        <v>42</v>
      </c>
      <c r="C959">
        <v>10561.520754220001</v>
      </c>
      <c r="D959">
        <v>434.20312894334182</v>
      </c>
    </row>
    <row r="960" spans="1:4" x14ac:dyDescent="0.2">
      <c r="A960" s="29"/>
      <c r="B960" s="328" t="s">
        <v>15</v>
      </c>
      <c r="C960">
        <v>36572.399698799993</v>
      </c>
      <c r="D960">
        <v>1668.5773352380661</v>
      </c>
    </row>
    <row r="961" spans="1:4" x14ac:dyDescent="0.2">
      <c r="A961" s="29"/>
      <c r="B961" s="328" t="s">
        <v>14</v>
      </c>
      <c r="C961">
        <v>4404.4075869999997</v>
      </c>
      <c r="D961">
        <v>2249.8731812989349</v>
      </c>
    </row>
    <row r="962" spans="1:4" x14ac:dyDescent="0.2">
      <c r="A962" s="29"/>
      <c r="B962" s="328" t="s">
        <v>41</v>
      </c>
      <c r="C962">
        <v>105.2927045</v>
      </c>
      <c r="D962">
        <v>552.77507957505838</v>
      </c>
    </row>
    <row r="963" spans="1:4" x14ac:dyDescent="0.2">
      <c r="A963" s="29"/>
      <c r="B963" s="328" t="s">
        <v>34</v>
      </c>
      <c r="C963">
        <v>2199.5241339999998</v>
      </c>
      <c r="D963">
        <v>607.75038149409181</v>
      </c>
    </row>
    <row r="964" spans="1:4" x14ac:dyDescent="0.2">
      <c r="A964" s="29"/>
      <c r="B964" s="328" t="s">
        <v>39</v>
      </c>
      <c r="C964">
        <v>1.4450574199999999</v>
      </c>
      <c r="D964">
        <v>2535.603568389226</v>
      </c>
    </row>
    <row r="965" spans="1:4" x14ac:dyDescent="0.2">
      <c r="A965" s="29">
        <v>45086</v>
      </c>
      <c r="B965" s="328" t="s">
        <v>32</v>
      </c>
      <c r="C965">
        <v>45.775306</v>
      </c>
      <c r="D965">
        <v>419.51354762397642</v>
      </c>
    </row>
    <row r="966" spans="1:4" x14ac:dyDescent="0.2">
      <c r="A966" s="29"/>
      <c r="B966" s="328" t="s">
        <v>42</v>
      </c>
      <c r="C966">
        <v>10561.520754220001</v>
      </c>
      <c r="D966">
        <v>451.54208318075229</v>
      </c>
    </row>
    <row r="967" spans="1:4" x14ac:dyDescent="0.2">
      <c r="A967" s="29"/>
      <c r="B967" s="328" t="s">
        <v>15</v>
      </c>
      <c r="C967">
        <v>36572.399698799993</v>
      </c>
      <c r="D967">
        <v>1775.201240767941</v>
      </c>
    </row>
    <row r="968" spans="1:4" x14ac:dyDescent="0.2">
      <c r="A968" s="29"/>
      <c r="B968" s="328" t="s">
        <v>14</v>
      </c>
      <c r="C968">
        <v>4404.4075869999997</v>
      </c>
      <c r="D968">
        <v>2372.7261589605678</v>
      </c>
    </row>
    <row r="969" spans="1:4" x14ac:dyDescent="0.2">
      <c r="A969" s="29"/>
      <c r="B969" s="328" t="s">
        <v>41</v>
      </c>
      <c r="C969">
        <v>105.2927045</v>
      </c>
      <c r="D969">
        <v>629.90798098790265</v>
      </c>
    </row>
    <row r="970" spans="1:4" x14ac:dyDescent="0.2">
      <c r="A970" s="29"/>
      <c r="B970" s="328" t="s">
        <v>34</v>
      </c>
      <c r="C970">
        <v>2199.5241339999998</v>
      </c>
      <c r="D970">
        <v>649.34850775926418</v>
      </c>
    </row>
    <row r="971" spans="1:4" x14ac:dyDescent="0.2">
      <c r="A971" s="29"/>
      <c r="B971" s="328" t="s">
        <v>39</v>
      </c>
      <c r="C971">
        <v>1.4450574199999999</v>
      </c>
      <c r="D971">
        <v>2657.7611856177869</v>
      </c>
    </row>
    <row r="972" spans="1:4" x14ac:dyDescent="0.2">
      <c r="A972" s="29">
        <v>45085</v>
      </c>
      <c r="B972" s="328" t="s">
        <v>32</v>
      </c>
      <c r="C972">
        <v>45.775306</v>
      </c>
      <c r="D972">
        <v>432.33186603296701</v>
      </c>
    </row>
    <row r="973" spans="1:4" x14ac:dyDescent="0.2">
      <c r="A973" s="29"/>
      <c r="B973" s="328" t="s">
        <v>42</v>
      </c>
      <c r="C973">
        <v>10561.520754220001</v>
      </c>
      <c r="D973">
        <v>465.38696950704428</v>
      </c>
    </row>
    <row r="974" spans="1:4" x14ac:dyDescent="0.2">
      <c r="A974" s="29"/>
      <c r="B974" s="328" t="s">
        <v>15</v>
      </c>
      <c r="C974">
        <v>36572.399698799993</v>
      </c>
      <c r="D974">
        <v>1785.010689815153</v>
      </c>
    </row>
    <row r="975" spans="1:4" x14ac:dyDescent="0.2">
      <c r="A975" s="29"/>
      <c r="B975" s="328" t="s">
        <v>14</v>
      </c>
      <c r="C975">
        <v>4404.4075869999997</v>
      </c>
      <c r="D975">
        <v>2313.1902841085089</v>
      </c>
    </row>
    <row r="976" spans="1:4" x14ac:dyDescent="0.2">
      <c r="A976" s="29"/>
      <c r="B976" s="328" t="s">
        <v>41</v>
      </c>
      <c r="C976">
        <v>105.2927045</v>
      </c>
      <c r="D976">
        <v>630.95323640645279</v>
      </c>
    </row>
    <row r="977" spans="1:4" x14ac:dyDescent="0.2">
      <c r="A977" s="29"/>
      <c r="B977" s="328" t="s">
        <v>34</v>
      </c>
      <c r="C977">
        <v>2199.5241339999998</v>
      </c>
      <c r="D977">
        <v>710.81431966010075</v>
      </c>
    </row>
    <row r="978" spans="1:4" x14ac:dyDescent="0.2">
      <c r="A978" s="29"/>
      <c r="B978" s="328" t="s">
        <v>39</v>
      </c>
      <c r="C978">
        <v>1.4450574199999999</v>
      </c>
      <c r="D978">
        <v>2667.6193516148028</v>
      </c>
    </row>
    <row r="979" spans="1:4" x14ac:dyDescent="0.2">
      <c r="A979" s="29">
        <v>45084</v>
      </c>
      <c r="B979" s="328" t="s">
        <v>32</v>
      </c>
      <c r="C979">
        <v>45.775306</v>
      </c>
      <c r="D979">
        <v>431.22666979142139</v>
      </c>
    </row>
    <row r="980" spans="1:4" x14ac:dyDescent="0.2">
      <c r="A980" s="29"/>
      <c r="B980" s="328" t="s">
        <v>42</v>
      </c>
      <c r="C980">
        <v>10561.520754220001</v>
      </c>
      <c r="D980">
        <v>463.23917864646609</v>
      </c>
    </row>
    <row r="981" spans="1:4" x14ac:dyDescent="0.2">
      <c r="A981" s="29"/>
      <c r="B981" s="328" t="s">
        <v>15</v>
      </c>
      <c r="C981">
        <v>36572.399698799993</v>
      </c>
      <c r="D981">
        <v>1776.2772007670801</v>
      </c>
    </row>
    <row r="982" spans="1:4" x14ac:dyDescent="0.2">
      <c r="A982" s="29"/>
      <c r="B982" s="328" t="s">
        <v>14</v>
      </c>
      <c r="C982">
        <v>4404.4075869999997</v>
      </c>
      <c r="D982">
        <v>2294.0868268610352</v>
      </c>
    </row>
    <row r="983" spans="1:4" x14ac:dyDescent="0.2">
      <c r="A983" s="29"/>
      <c r="B983" s="328" t="s">
        <v>41</v>
      </c>
      <c r="C983">
        <v>105.2927045</v>
      </c>
      <c r="D983">
        <v>622.82909665923421</v>
      </c>
    </row>
    <row r="984" spans="1:4" x14ac:dyDescent="0.2">
      <c r="A984" s="29"/>
      <c r="B984" s="328" t="s">
        <v>34</v>
      </c>
      <c r="C984">
        <v>2199.5241339999998</v>
      </c>
      <c r="D984">
        <v>709.10711501301409</v>
      </c>
    </row>
    <row r="985" spans="1:4" x14ac:dyDescent="0.2">
      <c r="A985" s="29"/>
      <c r="B985" s="328" t="s">
        <v>39</v>
      </c>
      <c r="C985">
        <v>1.4450574199999999</v>
      </c>
      <c r="D985">
        <v>2647.8081934500119</v>
      </c>
    </row>
    <row r="986" spans="1:4" x14ac:dyDescent="0.2">
      <c r="A986" s="29">
        <v>45083</v>
      </c>
      <c r="B986" s="328" t="s">
        <v>32</v>
      </c>
      <c r="C986">
        <v>45.775306</v>
      </c>
      <c r="D986">
        <v>465.21251139964193</v>
      </c>
    </row>
    <row r="987" spans="1:4" x14ac:dyDescent="0.2">
      <c r="A987" s="29"/>
      <c r="B987" s="328" t="s">
        <v>42</v>
      </c>
      <c r="C987">
        <v>10561.520754220001</v>
      </c>
      <c r="D987">
        <v>475.01823151323248</v>
      </c>
    </row>
    <row r="988" spans="1:4" x14ac:dyDescent="0.2">
      <c r="A988" s="29"/>
      <c r="B988" s="328" t="s">
        <v>15</v>
      </c>
      <c r="C988">
        <v>36572.399698799993</v>
      </c>
      <c r="D988">
        <v>1816.6311865947359</v>
      </c>
    </row>
    <row r="989" spans="1:4" x14ac:dyDescent="0.2">
      <c r="A989" s="29"/>
      <c r="B989" s="328" t="s">
        <v>14</v>
      </c>
      <c r="C989">
        <v>4404.4075869999997</v>
      </c>
      <c r="D989">
        <v>2341.885748287104</v>
      </c>
    </row>
    <row r="990" spans="1:4" x14ac:dyDescent="0.2">
      <c r="A990" s="29"/>
      <c r="B990" s="328" t="s">
        <v>41</v>
      </c>
      <c r="C990">
        <v>105.2927045</v>
      </c>
      <c r="D990">
        <v>658.95755691565455</v>
      </c>
    </row>
    <row r="991" spans="1:4" x14ac:dyDescent="0.2">
      <c r="A991" s="29"/>
      <c r="B991" s="328" t="s">
        <v>34</v>
      </c>
      <c r="C991">
        <v>2199.5241339999998</v>
      </c>
      <c r="D991">
        <v>778.86192159379505</v>
      </c>
    </row>
    <row r="992" spans="1:4" x14ac:dyDescent="0.2">
      <c r="A992" s="29"/>
      <c r="B992" s="328" t="s">
        <v>39</v>
      </c>
      <c r="C992">
        <v>1.4450574199999999</v>
      </c>
      <c r="D992">
        <v>2721.39367057956</v>
      </c>
    </row>
    <row r="993" spans="1:4" x14ac:dyDescent="0.2">
      <c r="A993" s="29">
        <v>45082</v>
      </c>
      <c r="B993" s="328" t="s">
        <v>32</v>
      </c>
      <c r="C993">
        <v>45.775306</v>
      </c>
      <c r="D993">
        <v>458.9392323001066</v>
      </c>
    </row>
    <row r="994" spans="1:4" x14ac:dyDescent="0.2">
      <c r="A994" s="29"/>
      <c r="B994" s="328" t="s">
        <v>42</v>
      </c>
      <c r="C994">
        <v>10561.520754220001</v>
      </c>
      <c r="D994">
        <v>442.5843293530607</v>
      </c>
    </row>
    <row r="995" spans="1:4" x14ac:dyDescent="0.2">
      <c r="A995" s="29"/>
      <c r="B995" s="328" t="s">
        <v>15</v>
      </c>
      <c r="C995">
        <v>36572.399698799993</v>
      </c>
      <c r="D995">
        <v>1793.5305960489859</v>
      </c>
    </row>
    <row r="996" spans="1:4" x14ac:dyDescent="0.2">
      <c r="A996" s="29"/>
      <c r="B996" s="328" t="s">
        <v>14</v>
      </c>
      <c r="C996">
        <v>4404.4075869999997</v>
      </c>
      <c r="D996">
        <v>2256.1830236962228</v>
      </c>
    </row>
    <row r="997" spans="1:4" x14ac:dyDescent="0.2">
      <c r="A997" s="29"/>
      <c r="B997" s="328" t="s">
        <v>41</v>
      </c>
      <c r="C997">
        <v>105.2927045</v>
      </c>
      <c r="D997">
        <v>638.98990423940791</v>
      </c>
    </row>
    <row r="998" spans="1:4" x14ac:dyDescent="0.2">
      <c r="A998" s="29"/>
      <c r="B998" s="328" t="s">
        <v>34</v>
      </c>
      <c r="C998">
        <v>2199.5241339999998</v>
      </c>
      <c r="D998">
        <v>774.40861106540933</v>
      </c>
    </row>
    <row r="999" spans="1:4" x14ac:dyDescent="0.2">
      <c r="A999" s="29"/>
      <c r="B999" s="328" t="s">
        <v>39</v>
      </c>
      <c r="C999">
        <v>1.4450574199999999</v>
      </c>
      <c r="D999">
        <v>2620.8741329311251</v>
      </c>
    </row>
    <row r="1000" spans="1:4" x14ac:dyDescent="0.2">
      <c r="A1000" s="29">
        <v>45081</v>
      </c>
      <c r="B1000" s="328" t="s">
        <v>32</v>
      </c>
      <c r="C1000">
        <v>45.775306</v>
      </c>
      <c r="D1000">
        <v>492.81175622281802</v>
      </c>
    </row>
    <row r="1001" spans="1:4" x14ac:dyDescent="0.2">
      <c r="A1001" s="29"/>
      <c r="B1001" s="328" t="s">
        <v>42</v>
      </c>
      <c r="C1001">
        <v>10561.520754220001</v>
      </c>
      <c r="D1001">
        <v>486.95021520052012</v>
      </c>
    </row>
    <row r="1002" spans="1:4" x14ac:dyDescent="0.2">
      <c r="A1002" s="29"/>
      <c r="B1002" s="328" t="s">
        <v>15</v>
      </c>
      <c r="C1002">
        <v>36572.399698799993</v>
      </c>
      <c r="D1002">
        <v>1845.8854491138061</v>
      </c>
    </row>
    <row r="1003" spans="1:4" x14ac:dyDescent="0.2">
      <c r="A1003" s="29"/>
      <c r="B1003" s="328" t="s">
        <v>14</v>
      </c>
      <c r="C1003">
        <v>4404.4075869999997</v>
      </c>
      <c r="D1003">
        <v>2367.914079407316</v>
      </c>
    </row>
    <row r="1004" spans="1:4" x14ac:dyDescent="0.2">
      <c r="A1004" s="29"/>
      <c r="B1004" s="328" t="s">
        <v>41</v>
      </c>
      <c r="C1004">
        <v>105.2927045</v>
      </c>
      <c r="D1004">
        <v>680.69720262739963</v>
      </c>
    </row>
    <row r="1005" spans="1:4" x14ac:dyDescent="0.2">
      <c r="A1005" s="29"/>
      <c r="B1005" s="328" t="s">
        <v>34</v>
      </c>
      <c r="C1005">
        <v>2199.5241339999998</v>
      </c>
      <c r="D1005">
        <v>832.79588100733429</v>
      </c>
    </row>
    <row r="1006" spans="1:4" x14ac:dyDescent="0.2">
      <c r="A1006" s="29"/>
      <c r="B1006" s="328" t="s">
        <v>39</v>
      </c>
      <c r="C1006">
        <v>1.4450574199999999</v>
      </c>
      <c r="D1006">
        <v>2735.75132144596</v>
      </c>
    </row>
    <row r="1007" spans="1:4" x14ac:dyDescent="0.2">
      <c r="A1007" s="29">
        <v>45080</v>
      </c>
      <c r="B1007" s="328" t="s">
        <v>15</v>
      </c>
      <c r="C1007">
        <v>36572.399698799993</v>
      </c>
      <c r="D1007">
        <v>1846.701379351086</v>
      </c>
    </row>
    <row r="1008" spans="1:4" x14ac:dyDescent="0.2">
      <c r="A1008" s="29"/>
      <c r="B1008" s="328" t="s">
        <v>14</v>
      </c>
      <c r="C1008">
        <v>4404.4075869999997</v>
      </c>
      <c r="D1008">
        <v>2290.1699871939159</v>
      </c>
    </row>
    <row r="1009" spans="1:4" x14ac:dyDescent="0.2">
      <c r="A1009" s="29"/>
      <c r="B1009" s="328" t="s">
        <v>41</v>
      </c>
      <c r="C1009">
        <v>105.2927045</v>
      </c>
      <c r="D1009">
        <v>676.02352481225989</v>
      </c>
    </row>
    <row r="1010" spans="1:4" x14ac:dyDescent="0.2">
      <c r="A1010" s="29"/>
      <c r="B1010" s="328" t="s">
        <v>34</v>
      </c>
      <c r="C1010">
        <v>2199.5241339999998</v>
      </c>
      <c r="D1010">
        <v>826.90762292916816</v>
      </c>
    </row>
    <row r="1011" spans="1:4" x14ac:dyDescent="0.2">
      <c r="A1011" s="29"/>
      <c r="B1011" s="328" t="s">
        <v>39</v>
      </c>
      <c r="C1011">
        <v>1.4450574199999999</v>
      </c>
      <c r="D1011">
        <v>2734.161608113593</v>
      </c>
    </row>
    <row r="1012" spans="1:4" x14ac:dyDescent="0.2">
      <c r="A1012" s="29">
        <v>45079</v>
      </c>
      <c r="B1012" s="328" t="s">
        <v>15</v>
      </c>
      <c r="C1012">
        <v>36572.399698799993</v>
      </c>
      <c r="D1012">
        <v>1866.7423229380349</v>
      </c>
    </row>
    <row r="1013" spans="1:4" x14ac:dyDescent="0.2">
      <c r="A1013" s="29"/>
      <c r="B1013" s="328" t="s">
        <v>14</v>
      </c>
      <c r="C1013">
        <v>4404.4075869999997</v>
      </c>
      <c r="D1013">
        <v>2316.335295390083</v>
      </c>
    </row>
    <row r="1014" spans="1:4" x14ac:dyDescent="0.2">
      <c r="A1014" s="29"/>
      <c r="B1014" s="328" t="s">
        <v>41</v>
      </c>
      <c r="C1014">
        <v>105.2927045</v>
      </c>
      <c r="D1014">
        <v>679.77196930978198</v>
      </c>
    </row>
    <row r="1015" spans="1:4" x14ac:dyDescent="0.2">
      <c r="A1015" s="29"/>
      <c r="B1015" s="328" t="s">
        <v>34</v>
      </c>
      <c r="C1015">
        <v>2199.5241339999998</v>
      </c>
      <c r="D1015">
        <v>832.49784548717719</v>
      </c>
    </row>
    <row r="1016" spans="1:4" x14ac:dyDescent="0.2">
      <c r="A1016" s="29"/>
      <c r="B1016" s="328" t="s">
        <v>39</v>
      </c>
      <c r="C1016">
        <v>1.4450574199999999</v>
      </c>
      <c r="D1016">
        <v>2756.0313172047709</v>
      </c>
    </row>
    <row r="1017" spans="1:4" x14ac:dyDescent="0.2">
      <c r="A1017" s="29">
        <v>45078</v>
      </c>
      <c r="B1017" s="328" t="s">
        <v>15</v>
      </c>
      <c r="C1017">
        <v>36572.399698799993</v>
      </c>
      <c r="D1017">
        <v>1845.835344926219</v>
      </c>
    </row>
    <row r="1018" spans="1:4" x14ac:dyDescent="0.2">
      <c r="A1018" s="29"/>
      <c r="B1018" s="328" t="s">
        <v>14</v>
      </c>
      <c r="C1018">
        <v>4404.4075869999997</v>
      </c>
      <c r="D1018">
        <v>2239.466226831993</v>
      </c>
    </row>
    <row r="1019" spans="1:4" x14ac:dyDescent="0.2">
      <c r="A1019" s="29"/>
      <c r="B1019" s="328" t="s">
        <v>41</v>
      </c>
      <c r="C1019">
        <v>105.2927045</v>
      </c>
      <c r="D1019">
        <v>667.87703563558432</v>
      </c>
    </row>
    <row r="1020" spans="1:4" x14ac:dyDescent="0.2">
      <c r="A1020" s="29"/>
      <c r="B1020" s="328" t="s">
        <v>34</v>
      </c>
      <c r="C1020">
        <v>2199.5241339999998</v>
      </c>
      <c r="D1020">
        <v>803.21107166676052</v>
      </c>
    </row>
    <row r="1021" spans="1:4" x14ac:dyDescent="0.2">
      <c r="A1021" s="29"/>
      <c r="B1021" s="328" t="s">
        <v>39</v>
      </c>
      <c r="C1021">
        <v>1.4450574199999999</v>
      </c>
      <c r="D1021">
        <v>2690.300084414469</v>
      </c>
    </row>
    <row r="1022" spans="1:4" x14ac:dyDescent="0.2">
      <c r="A1022" s="29">
        <v>45077</v>
      </c>
      <c r="B1022" s="328" t="s">
        <v>15</v>
      </c>
      <c r="C1022">
        <v>36572.399698799993</v>
      </c>
      <c r="D1022">
        <v>1887.923959671589</v>
      </c>
    </row>
    <row r="1023" spans="1:4" x14ac:dyDescent="0.2">
      <c r="A1023" s="29"/>
      <c r="B1023" s="328" t="s">
        <v>14</v>
      </c>
      <c r="C1023">
        <v>4404.4075869999997</v>
      </c>
      <c r="D1023">
        <v>2287.4169241435102</v>
      </c>
    </row>
    <row r="1024" spans="1:4" x14ac:dyDescent="0.2">
      <c r="A1024" s="29"/>
      <c r="B1024" s="328" t="s">
        <v>41</v>
      </c>
      <c r="C1024">
        <v>105.2927045</v>
      </c>
      <c r="D1024">
        <v>682.95431074034093</v>
      </c>
    </row>
    <row r="1025" spans="1:4" x14ac:dyDescent="0.2">
      <c r="A1025" s="29"/>
      <c r="B1025" s="328" t="s">
        <v>34</v>
      </c>
      <c r="C1025">
        <v>2199.5241339999998</v>
      </c>
      <c r="D1025">
        <v>825.00982951587036</v>
      </c>
    </row>
    <row r="1026" spans="1:4" x14ac:dyDescent="0.2">
      <c r="A1026" s="29"/>
      <c r="B1026" s="328" t="s">
        <v>39</v>
      </c>
      <c r="C1026">
        <v>1.4450574199999999</v>
      </c>
      <c r="D1026">
        <v>2709.041753848649</v>
      </c>
    </row>
    <row r="1027" spans="1:4" x14ac:dyDescent="0.2">
      <c r="A1027" s="29">
        <v>45076</v>
      </c>
      <c r="B1027" s="328" t="s">
        <v>15</v>
      </c>
      <c r="C1027">
        <v>36572.399698799993</v>
      </c>
      <c r="D1027">
        <v>1939.3897376997311</v>
      </c>
    </row>
    <row r="1028" spans="1:4" x14ac:dyDescent="0.2">
      <c r="A1028" s="29"/>
      <c r="B1028" s="328" t="s">
        <v>14</v>
      </c>
      <c r="C1028">
        <v>4404.4075869999997</v>
      </c>
      <c r="D1028">
        <v>2300.5065151835429</v>
      </c>
    </row>
    <row r="1029" spans="1:4" x14ac:dyDescent="0.2">
      <c r="A1029" s="29"/>
      <c r="B1029" s="328" t="s">
        <v>41</v>
      </c>
      <c r="C1029">
        <v>105.2927045</v>
      </c>
      <c r="D1029">
        <v>696.15325981317869</v>
      </c>
    </row>
    <row r="1030" spans="1:4" x14ac:dyDescent="0.2">
      <c r="A1030" s="29"/>
      <c r="B1030" s="328" t="s">
        <v>34</v>
      </c>
      <c r="C1030">
        <v>2199.5241339999998</v>
      </c>
      <c r="D1030">
        <v>831.37778181242038</v>
      </c>
    </row>
    <row r="1031" spans="1:4" x14ac:dyDescent="0.2">
      <c r="A1031" s="29"/>
      <c r="B1031" s="328" t="s">
        <v>39</v>
      </c>
      <c r="C1031">
        <v>1.4450574199999999</v>
      </c>
      <c r="D1031">
        <v>2747.16731809777</v>
      </c>
    </row>
    <row r="1032" spans="1:4" x14ac:dyDescent="0.2">
      <c r="A1032" s="29">
        <v>45075</v>
      </c>
      <c r="B1032" s="328" t="s">
        <v>15</v>
      </c>
      <c r="C1032">
        <v>36572.399698799993</v>
      </c>
      <c r="D1032">
        <v>1937.652182990041</v>
      </c>
    </row>
    <row r="1033" spans="1:4" x14ac:dyDescent="0.2">
      <c r="A1033" s="29"/>
      <c r="B1033" s="328" t="s">
        <v>14</v>
      </c>
      <c r="C1033">
        <v>4404.4075869999997</v>
      </c>
      <c r="D1033">
        <v>2174.741739622069</v>
      </c>
    </row>
    <row r="1034" spans="1:4" x14ac:dyDescent="0.2">
      <c r="A1034" s="29"/>
      <c r="B1034" s="328" t="s">
        <v>41</v>
      </c>
      <c r="C1034">
        <v>105.2927045</v>
      </c>
      <c r="D1034">
        <v>699.16430580742178</v>
      </c>
    </row>
    <row r="1035" spans="1:4" x14ac:dyDescent="0.2">
      <c r="A1035" s="29"/>
      <c r="B1035" s="328" t="s">
        <v>34</v>
      </c>
      <c r="C1035">
        <v>2199.5241339999998</v>
      </c>
      <c r="D1035">
        <v>833.62633333936731</v>
      </c>
    </row>
    <row r="1036" spans="1:4" x14ac:dyDescent="0.2">
      <c r="A1036" s="29"/>
      <c r="B1036" s="328" t="s">
        <v>39</v>
      </c>
      <c r="C1036">
        <v>1.4450574199999999</v>
      </c>
      <c r="D1036">
        <v>2736.5258631336692</v>
      </c>
    </row>
    <row r="1037" spans="1:4" x14ac:dyDescent="0.2">
      <c r="A1037" s="29">
        <v>45074</v>
      </c>
      <c r="B1037" s="328" t="s">
        <v>15</v>
      </c>
      <c r="C1037">
        <v>36572.399698799993</v>
      </c>
      <c r="D1037">
        <v>1960.71400679211</v>
      </c>
    </row>
    <row r="1038" spans="1:4" x14ac:dyDescent="0.2">
      <c r="A1038" s="29"/>
      <c r="B1038" s="328" t="s">
        <v>14</v>
      </c>
      <c r="C1038">
        <v>4404.4075869999997</v>
      </c>
      <c r="D1038">
        <v>2129.6336910112768</v>
      </c>
    </row>
    <row r="1039" spans="1:4" x14ac:dyDescent="0.2">
      <c r="A1039" s="29"/>
      <c r="B1039" s="328" t="s">
        <v>41</v>
      </c>
      <c r="C1039">
        <v>105.2927045</v>
      </c>
      <c r="D1039">
        <v>699.60466095618165</v>
      </c>
    </row>
    <row r="1040" spans="1:4" x14ac:dyDescent="0.2">
      <c r="A1040" s="29"/>
      <c r="B1040" s="328" t="s">
        <v>34</v>
      </c>
      <c r="C1040">
        <v>2199.5241339999998</v>
      </c>
      <c r="D1040">
        <v>843.20350132363001</v>
      </c>
    </row>
    <row r="1041" spans="1:4" x14ac:dyDescent="0.2">
      <c r="A1041" s="29"/>
      <c r="B1041" s="328" t="s">
        <v>39</v>
      </c>
      <c r="C1041">
        <v>1.4450574199999999</v>
      </c>
      <c r="D1041">
        <v>2765.5743715964368</v>
      </c>
    </row>
    <row r="1042" spans="1:4" x14ac:dyDescent="0.2">
      <c r="A1042" s="29">
        <v>45073</v>
      </c>
      <c r="B1042" s="328" t="s">
        <v>15</v>
      </c>
      <c r="C1042">
        <v>36572.399698799993</v>
      </c>
      <c r="D1042">
        <v>1912.2903209709141</v>
      </c>
    </row>
    <row r="1043" spans="1:4" x14ac:dyDescent="0.2">
      <c r="A1043" s="29"/>
      <c r="B1043" s="328" t="s">
        <v>14</v>
      </c>
      <c r="C1043">
        <v>4404.4075869999997</v>
      </c>
      <c r="D1043">
        <v>2079.833538909902</v>
      </c>
    </row>
    <row r="1044" spans="1:4" x14ac:dyDescent="0.2">
      <c r="A1044" s="29"/>
      <c r="B1044" s="328" t="s">
        <v>41</v>
      </c>
      <c r="C1044">
        <v>105.2927045</v>
      </c>
      <c r="D1044">
        <v>677.88839233068973</v>
      </c>
    </row>
    <row r="1045" spans="1:4" x14ac:dyDescent="0.2">
      <c r="A1045" s="29"/>
      <c r="B1045" s="328" t="s">
        <v>34</v>
      </c>
      <c r="C1045">
        <v>2199.5241339999998</v>
      </c>
      <c r="D1045">
        <v>807.3406782283455</v>
      </c>
    </row>
    <row r="1046" spans="1:4" x14ac:dyDescent="0.2">
      <c r="A1046" s="29"/>
      <c r="B1046" s="328" t="s">
        <v>39</v>
      </c>
      <c r="C1046">
        <v>1.4450574199999999</v>
      </c>
      <c r="D1046">
        <v>2644.8982073653192</v>
      </c>
    </row>
    <row r="1047" spans="1:4" x14ac:dyDescent="0.2">
      <c r="A1047" s="29">
        <v>45072</v>
      </c>
      <c r="B1047" s="328" t="s">
        <v>15</v>
      </c>
      <c r="C1047">
        <v>36572.399698799993</v>
      </c>
      <c r="D1047">
        <v>1914.5526896162819</v>
      </c>
    </row>
    <row r="1048" spans="1:4" x14ac:dyDescent="0.2">
      <c r="A1048" s="29"/>
      <c r="B1048" s="328" t="s">
        <v>14</v>
      </c>
      <c r="C1048">
        <v>4404.4075869999997</v>
      </c>
      <c r="D1048">
        <v>2068.949190704604</v>
      </c>
    </row>
    <row r="1049" spans="1:4" x14ac:dyDescent="0.2">
      <c r="A1049" s="29"/>
      <c r="B1049" s="328" t="s">
        <v>41</v>
      </c>
      <c r="C1049">
        <v>105.2927045</v>
      </c>
      <c r="D1049">
        <v>668.73708013399187</v>
      </c>
    </row>
    <row r="1050" spans="1:4" x14ac:dyDescent="0.2">
      <c r="A1050" s="29"/>
      <c r="B1050" s="328" t="s">
        <v>34</v>
      </c>
      <c r="C1050">
        <v>2199.5241339999998</v>
      </c>
      <c r="D1050">
        <v>798.42367541766157</v>
      </c>
    </row>
    <row r="1051" spans="1:4" x14ac:dyDescent="0.2">
      <c r="A1051" s="29"/>
      <c r="B1051" s="328" t="s">
        <v>39</v>
      </c>
      <c r="C1051">
        <v>1.4450574199999999</v>
      </c>
      <c r="D1051">
        <v>2642.9472141002329</v>
      </c>
    </row>
    <row r="1052" spans="1:4" x14ac:dyDescent="0.2">
      <c r="A1052" s="29">
        <v>45071</v>
      </c>
      <c r="B1052" s="328" t="s">
        <v>15</v>
      </c>
      <c r="C1052">
        <v>36572.399698799993</v>
      </c>
      <c r="D1052">
        <v>1857.456590654509</v>
      </c>
    </row>
    <row r="1053" spans="1:4" x14ac:dyDescent="0.2">
      <c r="A1053" s="29"/>
      <c r="B1053" s="328" t="s">
        <v>14</v>
      </c>
      <c r="C1053">
        <v>4404.4075869999997</v>
      </c>
      <c r="D1053">
        <v>2000.1083001197951</v>
      </c>
    </row>
    <row r="1054" spans="1:4" x14ac:dyDescent="0.2">
      <c r="A1054" s="29"/>
      <c r="B1054" s="328" t="s">
        <v>41</v>
      </c>
      <c r="C1054">
        <v>105.2927045</v>
      </c>
      <c r="D1054">
        <v>660.8443032051523</v>
      </c>
    </row>
    <row r="1055" spans="1:4" x14ac:dyDescent="0.2">
      <c r="A1055" s="29"/>
      <c r="B1055" s="328" t="s">
        <v>34</v>
      </c>
      <c r="C1055">
        <v>2199.5241339999998</v>
      </c>
      <c r="D1055">
        <v>788.65391710022561</v>
      </c>
    </row>
    <row r="1056" spans="1:4" x14ac:dyDescent="0.2">
      <c r="A1056" s="29"/>
      <c r="B1056" s="328" t="s">
        <v>39</v>
      </c>
      <c r="C1056">
        <v>1.4450574199999999</v>
      </c>
      <c r="D1056">
        <v>2609.4930131592132</v>
      </c>
    </row>
    <row r="1057" spans="1:4" x14ac:dyDescent="0.2">
      <c r="A1057" s="29">
        <v>45070</v>
      </c>
      <c r="B1057" s="328" t="s">
        <v>15</v>
      </c>
      <c r="C1057">
        <v>36572.399698799993</v>
      </c>
      <c r="D1057">
        <v>1867.223615718071</v>
      </c>
    </row>
    <row r="1058" spans="1:4" x14ac:dyDescent="0.2">
      <c r="A1058" s="29"/>
      <c r="B1058" s="328" t="s">
        <v>14</v>
      </c>
      <c r="C1058">
        <v>4404.4075869999997</v>
      </c>
      <c r="D1058">
        <v>2001.2080806942679</v>
      </c>
    </row>
    <row r="1059" spans="1:4" x14ac:dyDescent="0.2">
      <c r="A1059" s="29"/>
      <c r="B1059" s="328" t="s">
        <v>41</v>
      </c>
      <c r="C1059">
        <v>105.2927045</v>
      </c>
      <c r="D1059">
        <v>666.04919113791084</v>
      </c>
    </row>
    <row r="1060" spans="1:4" x14ac:dyDescent="0.2">
      <c r="A1060" s="29"/>
      <c r="B1060" s="328" t="s">
        <v>34</v>
      </c>
      <c r="C1060">
        <v>2199.5241339999998</v>
      </c>
      <c r="D1060">
        <v>801.69621540519199</v>
      </c>
    </row>
    <row r="1061" spans="1:4" x14ac:dyDescent="0.2">
      <c r="A1061" s="29"/>
      <c r="B1061" s="328" t="s">
        <v>39</v>
      </c>
      <c r="C1061">
        <v>1.4450574199999999</v>
      </c>
      <c r="D1061">
        <v>2602.1669331596631</v>
      </c>
    </row>
    <row r="1062" spans="1:4" x14ac:dyDescent="0.2">
      <c r="A1062" s="29">
        <v>45069</v>
      </c>
      <c r="B1062" s="328" t="s">
        <v>15</v>
      </c>
      <c r="C1062">
        <v>36572.399698799993</v>
      </c>
      <c r="D1062">
        <v>1919.6713626781259</v>
      </c>
    </row>
    <row r="1063" spans="1:4" x14ac:dyDescent="0.2">
      <c r="A1063" s="29"/>
      <c r="B1063" s="328" t="s">
        <v>14</v>
      </c>
      <c r="C1063">
        <v>4404.4075869999997</v>
      </c>
      <c r="D1063">
        <v>2052.6235933222511</v>
      </c>
    </row>
    <row r="1064" spans="1:4" x14ac:dyDescent="0.2">
      <c r="A1064" s="29"/>
      <c r="B1064" s="328" t="s">
        <v>41</v>
      </c>
      <c r="C1064">
        <v>105.2927045</v>
      </c>
      <c r="D1064">
        <v>684.9057899316382</v>
      </c>
    </row>
    <row r="1065" spans="1:4" x14ac:dyDescent="0.2">
      <c r="A1065" s="29"/>
      <c r="B1065" s="328" t="s">
        <v>34</v>
      </c>
      <c r="C1065">
        <v>2199.5241339999998</v>
      </c>
      <c r="D1065">
        <v>815.1051963785377</v>
      </c>
    </row>
    <row r="1066" spans="1:4" x14ac:dyDescent="0.2">
      <c r="A1066" s="29"/>
      <c r="B1066" s="328" t="s">
        <v>39</v>
      </c>
      <c r="C1066">
        <v>1.4450574199999999</v>
      </c>
      <c r="D1066">
        <v>2679.4155236690021</v>
      </c>
    </row>
    <row r="1067" spans="1:4" x14ac:dyDescent="0.2">
      <c r="A1067" s="29">
        <v>45068</v>
      </c>
      <c r="B1067" s="328" t="s">
        <v>15</v>
      </c>
      <c r="C1067">
        <v>36572.399698799993</v>
      </c>
      <c r="D1067">
        <v>1914.780901390403</v>
      </c>
    </row>
    <row r="1068" spans="1:4" x14ac:dyDescent="0.2">
      <c r="A1068" s="29"/>
      <c r="B1068" s="328" t="s">
        <v>14</v>
      </c>
      <c r="C1068">
        <v>4404.4075869999997</v>
      </c>
      <c r="D1068">
        <v>2036.385291298272</v>
      </c>
    </row>
    <row r="1069" spans="1:4" x14ac:dyDescent="0.2">
      <c r="A1069" s="29"/>
      <c r="B1069" s="328" t="s">
        <v>41</v>
      </c>
      <c r="C1069">
        <v>105.2927045</v>
      </c>
      <c r="D1069">
        <v>687.55365085317658</v>
      </c>
    </row>
    <row r="1070" spans="1:4" x14ac:dyDescent="0.2">
      <c r="A1070" s="29"/>
      <c r="B1070" s="328" t="s">
        <v>34</v>
      </c>
      <c r="C1070">
        <v>2199.5241339999998</v>
      </c>
      <c r="D1070">
        <v>809.96673408241077</v>
      </c>
    </row>
    <row r="1071" spans="1:4" x14ac:dyDescent="0.2">
      <c r="A1071" s="29"/>
      <c r="B1071" s="328" t="s">
        <v>39</v>
      </c>
      <c r="C1071">
        <v>1.4450574199999999</v>
      </c>
      <c r="D1071">
        <v>2627.6945288145921</v>
      </c>
    </row>
    <row r="1072" spans="1:4" x14ac:dyDescent="0.2">
      <c r="A1072" s="29">
        <v>45067</v>
      </c>
      <c r="B1072" s="328" t="s">
        <v>15</v>
      </c>
      <c r="C1072">
        <v>36513.931897809998</v>
      </c>
      <c r="D1072">
        <v>1923.8595539866151</v>
      </c>
    </row>
    <row r="1073" spans="1:4" x14ac:dyDescent="0.2">
      <c r="A1073" s="29"/>
      <c r="B1073" s="328" t="s">
        <v>14</v>
      </c>
      <c r="C1073">
        <v>4404.4075869999997</v>
      </c>
      <c r="D1073">
        <v>2020.0430452552389</v>
      </c>
    </row>
    <row r="1074" spans="1:4" x14ac:dyDescent="0.2">
      <c r="A1074" s="29"/>
      <c r="B1074" s="328" t="s">
        <v>41</v>
      </c>
      <c r="C1074">
        <v>105.2927045</v>
      </c>
      <c r="D1074">
        <v>677.41841202659157</v>
      </c>
    </row>
    <row r="1075" spans="1:4" x14ac:dyDescent="0.2">
      <c r="A1075" s="29"/>
      <c r="B1075" s="328" t="s">
        <v>34</v>
      </c>
      <c r="C1075">
        <v>2199.5241339999998</v>
      </c>
      <c r="D1075">
        <v>794.23580346176686</v>
      </c>
    </row>
    <row r="1076" spans="1:4" x14ac:dyDescent="0.2">
      <c r="A1076" s="29"/>
      <c r="B1076" s="328" t="s">
        <v>39</v>
      </c>
      <c r="C1076">
        <v>1.4450574199999999</v>
      </c>
      <c r="D1076">
        <v>2608.2261410009842</v>
      </c>
    </row>
    <row r="1077" spans="1:4" x14ac:dyDescent="0.2">
      <c r="A1077" s="29">
        <v>45066</v>
      </c>
      <c r="B1077" s="328" t="s">
        <v>15</v>
      </c>
      <c r="C1077">
        <v>36513.931897809998</v>
      </c>
      <c r="D1077">
        <v>1951.319491331044</v>
      </c>
    </row>
    <row r="1078" spans="1:4" x14ac:dyDescent="0.2">
      <c r="A1078" s="29"/>
      <c r="B1078" s="328" t="s">
        <v>14</v>
      </c>
      <c r="C1078">
        <v>4404.4075869999997</v>
      </c>
      <c r="D1078">
        <v>2068.2837287622851</v>
      </c>
    </row>
    <row r="1079" spans="1:4" x14ac:dyDescent="0.2">
      <c r="A1079" s="29"/>
      <c r="B1079" s="328" t="s">
        <v>41</v>
      </c>
      <c r="C1079">
        <v>105.2927045</v>
      </c>
      <c r="D1079">
        <v>684.91826079955911</v>
      </c>
    </row>
    <row r="1080" spans="1:4" x14ac:dyDescent="0.2">
      <c r="A1080" s="29"/>
      <c r="B1080" s="328" t="s">
        <v>34</v>
      </c>
      <c r="C1080">
        <v>2199.5241339999998</v>
      </c>
      <c r="D1080">
        <v>806.05430853381699</v>
      </c>
    </row>
    <row r="1081" spans="1:4" x14ac:dyDescent="0.2">
      <c r="A1081" s="29"/>
      <c r="B1081" s="328" t="s">
        <v>39</v>
      </c>
      <c r="C1081">
        <v>1.4450574199999999</v>
      </c>
      <c r="D1081">
        <v>2628.5154153578851</v>
      </c>
    </row>
    <row r="1082" spans="1:4" x14ac:dyDescent="0.2">
      <c r="A1082" s="29">
        <v>45065</v>
      </c>
      <c r="B1082" s="328" t="s">
        <v>15</v>
      </c>
      <c r="C1082">
        <v>36513.931897809998</v>
      </c>
      <c r="D1082">
        <v>1940.724243712257</v>
      </c>
    </row>
    <row r="1083" spans="1:4" x14ac:dyDescent="0.2">
      <c r="A1083" s="29"/>
      <c r="B1083" s="328" t="s">
        <v>14</v>
      </c>
      <c r="C1083">
        <v>4404.4075869999997</v>
      </c>
      <c r="D1083">
        <v>2065.124535288282</v>
      </c>
    </row>
    <row r="1084" spans="1:4" x14ac:dyDescent="0.2">
      <c r="A1084" s="29"/>
      <c r="B1084" s="328" t="s">
        <v>41</v>
      </c>
      <c r="C1084">
        <v>105.2927045</v>
      </c>
      <c r="D1084">
        <v>685.31503950963474</v>
      </c>
    </row>
    <row r="1085" spans="1:4" x14ac:dyDescent="0.2">
      <c r="A1085" s="29"/>
      <c r="B1085" s="328" t="s">
        <v>34</v>
      </c>
      <c r="C1085">
        <v>2199.5241339999998</v>
      </c>
      <c r="D1085">
        <v>810.74294614929943</v>
      </c>
    </row>
    <row r="1086" spans="1:4" x14ac:dyDescent="0.2">
      <c r="A1086" s="29"/>
      <c r="B1086" s="328" t="s">
        <v>39</v>
      </c>
      <c r="C1086">
        <v>1.4450574199999999</v>
      </c>
      <c r="D1086">
        <v>2618.634364246619</v>
      </c>
    </row>
    <row r="1087" spans="1:4" x14ac:dyDescent="0.2">
      <c r="A1087" s="29">
        <v>45064</v>
      </c>
      <c r="B1087" s="328" t="s">
        <v>15</v>
      </c>
      <c r="C1087">
        <v>36513.931897809998</v>
      </c>
      <c r="D1087">
        <v>1922.6542290946691</v>
      </c>
    </row>
    <row r="1088" spans="1:4" x14ac:dyDescent="0.2">
      <c r="A1088" s="29"/>
      <c r="B1088" s="328" t="s">
        <v>14</v>
      </c>
      <c r="C1088">
        <v>4404.4075869999997</v>
      </c>
      <c r="D1088">
        <v>2029.392941901302</v>
      </c>
    </row>
    <row r="1089" spans="1:4" x14ac:dyDescent="0.2">
      <c r="A1089" s="29"/>
      <c r="B1089" s="328" t="s">
        <v>41</v>
      </c>
      <c r="C1089">
        <v>105.2927045</v>
      </c>
      <c r="D1089">
        <v>687.80730940173339</v>
      </c>
    </row>
    <row r="1090" spans="1:4" x14ac:dyDescent="0.2">
      <c r="A1090" s="29"/>
      <c r="B1090" s="328" t="s">
        <v>34</v>
      </c>
      <c r="C1090">
        <v>2199.5241339999998</v>
      </c>
      <c r="D1090">
        <v>819.84781031626846</v>
      </c>
    </row>
    <row r="1091" spans="1:4" x14ac:dyDescent="0.2">
      <c r="A1091" s="29"/>
      <c r="B1091" s="328" t="s">
        <v>39</v>
      </c>
      <c r="C1091">
        <v>1.4450574199999999</v>
      </c>
      <c r="D1091">
        <v>2604.558423957264</v>
      </c>
    </row>
    <row r="1092" spans="1:4" x14ac:dyDescent="0.2">
      <c r="A1092" s="29">
        <v>45063</v>
      </c>
      <c r="B1092" s="328" t="s">
        <v>15</v>
      </c>
      <c r="C1092">
        <v>36513.931897809998</v>
      </c>
      <c r="D1092">
        <v>1952.8384708979929</v>
      </c>
    </row>
    <row r="1093" spans="1:4" x14ac:dyDescent="0.2">
      <c r="A1093" s="29"/>
      <c r="B1093" s="328" t="s">
        <v>14</v>
      </c>
      <c r="C1093">
        <v>4404.4075869999997</v>
      </c>
      <c r="D1093">
        <v>1976.401664370919</v>
      </c>
    </row>
    <row r="1094" spans="1:4" x14ac:dyDescent="0.2">
      <c r="A1094" s="29"/>
      <c r="B1094" s="328" t="s">
        <v>41</v>
      </c>
      <c r="C1094">
        <v>105.2927045</v>
      </c>
      <c r="D1094">
        <v>710.37737445654795</v>
      </c>
    </row>
    <row r="1095" spans="1:4" x14ac:dyDescent="0.2">
      <c r="A1095" s="29"/>
      <c r="B1095" s="328" t="s">
        <v>34</v>
      </c>
      <c r="C1095">
        <v>2199.5241339999998</v>
      </c>
      <c r="D1095">
        <v>825.24964363220033</v>
      </c>
    </row>
    <row r="1096" spans="1:4" x14ac:dyDescent="0.2">
      <c r="A1096" s="29"/>
      <c r="B1096" s="328" t="s">
        <v>39</v>
      </c>
      <c r="C1096">
        <v>1.4450574199999999</v>
      </c>
      <c r="D1096">
        <v>2631.522731883395</v>
      </c>
    </row>
    <row r="1097" spans="1:4" x14ac:dyDescent="0.2">
      <c r="A1097" s="29">
        <v>45062</v>
      </c>
      <c r="B1097" s="328" t="s">
        <v>15</v>
      </c>
      <c r="C1097">
        <v>36513.931897809998</v>
      </c>
      <c r="D1097">
        <v>1918.695388598308</v>
      </c>
    </row>
    <row r="1098" spans="1:4" x14ac:dyDescent="0.2">
      <c r="A1098" s="29"/>
      <c r="B1098" s="328" t="s">
        <v>14</v>
      </c>
      <c r="C1098">
        <v>4404.4075869999997</v>
      </c>
      <c r="D1098">
        <v>1941.5066001169389</v>
      </c>
    </row>
    <row r="1099" spans="1:4" x14ac:dyDescent="0.2">
      <c r="A1099" s="29"/>
      <c r="B1099" s="328" t="s">
        <v>41</v>
      </c>
      <c r="C1099">
        <v>105.2927045</v>
      </c>
      <c r="D1099">
        <v>701.19515042766295</v>
      </c>
    </row>
    <row r="1100" spans="1:4" x14ac:dyDescent="0.2">
      <c r="A1100" s="29"/>
      <c r="B1100" s="328" t="s">
        <v>34</v>
      </c>
      <c r="C1100">
        <v>2199.5241339999998</v>
      </c>
      <c r="D1100">
        <v>809.61593197827915</v>
      </c>
    </row>
    <row r="1101" spans="1:4" x14ac:dyDescent="0.2">
      <c r="A1101" s="29"/>
      <c r="B1101" s="328" t="s">
        <v>39</v>
      </c>
      <c r="C1101">
        <v>1.4450574199999999</v>
      </c>
      <c r="D1101">
        <v>2635.2977762462642</v>
      </c>
    </row>
    <row r="1102" spans="1:4" x14ac:dyDescent="0.2">
      <c r="A1102" s="29">
        <v>45061</v>
      </c>
      <c r="B1102" s="328" t="s">
        <v>15</v>
      </c>
      <c r="C1102">
        <v>36513.931897809998</v>
      </c>
      <c r="D1102">
        <v>1922.618810580728</v>
      </c>
    </row>
    <row r="1103" spans="1:4" x14ac:dyDescent="0.2">
      <c r="A1103" s="29"/>
      <c r="B1103" s="328" t="s">
        <v>14</v>
      </c>
      <c r="C1103">
        <v>4404.4075869999997</v>
      </c>
      <c r="D1103">
        <v>1886.872170248073</v>
      </c>
    </row>
    <row r="1104" spans="1:4" x14ac:dyDescent="0.2">
      <c r="A1104" s="29"/>
      <c r="B1104" s="328" t="s">
        <v>41</v>
      </c>
      <c r="C1104">
        <v>105.2927045</v>
      </c>
      <c r="D1104">
        <v>700.19451068679064</v>
      </c>
    </row>
    <row r="1105" spans="1:4" x14ac:dyDescent="0.2">
      <c r="A1105" s="29"/>
      <c r="B1105" s="328" t="s">
        <v>34</v>
      </c>
      <c r="C1105">
        <v>2199.5241339999998</v>
      </c>
      <c r="D1105">
        <v>809.61203882056202</v>
      </c>
    </row>
    <row r="1106" spans="1:4" x14ac:dyDescent="0.2">
      <c r="A1106" s="29"/>
      <c r="B1106" s="328" t="s">
        <v>39</v>
      </c>
      <c r="C1106">
        <v>1.4450574199999999</v>
      </c>
      <c r="D1106">
        <v>2630.069184505393</v>
      </c>
    </row>
    <row r="1107" spans="1:4" x14ac:dyDescent="0.2">
      <c r="A1107" s="29">
        <v>45060</v>
      </c>
      <c r="B1107" s="328" t="s">
        <v>15</v>
      </c>
      <c r="C1107">
        <v>36513.931897809998</v>
      </c>
      <c r="D1107">
        <v>1901.281164197605</v>
      </c>
    </row>
    <row r="1108" spans="1:4" x14ac:dyDescent="0.2">
      <c r="A1108" s="29"/>
      <c r="B1108" s="328" t="s">
        <v>14</v>
      </c>
      <c r="C1108">
        <v>4404.4075869999997</v>
      </c>
      <c r="D1108">
        <v>1877.822918463899</v>
      </c>
    </row>
    <row r="1109" spans="1:4" x14ac:dyDescent="0.2">
      <c r="A1109" s="29"/>
      <c r="B1109" s="328" t="s">
        <v>41</v>
      </c>
      <c r="C1109">
        <v>105.2927045</v>
      </c>
      <c r="D1109">
        <v>688.51286423239037</v>
      </c>
    </row>
    <row r="1110" spans="1:4" x14ac:dyDescent="0.2">
      <c r="A1110" s="29"/>
      <c r="B1110" s="328" t="s">
        <v>34</v>
      </c>
      <c r="C1110">
        <v>2199.5241339999998</v>
      </c>
      <c r="D1110">
        <v>815.62465799326435</v>
      </c>
    </row>
    <row r="1111" spans="1:4" x14ac:dyDescent="0.2">
      <c r="A1111" s="29"/>
      <c r="B1111" s="328" t="s">
        <v>39</v>
      </c>
      <c r="C1111">
        <v>1.4450574199999999</v>
      </c>
      <c r="D1111">
        <v>2599.6708107830791</v>
      </c>
    </row>
    <row r="1112" spans="1:4" x14ac:dyDescent="0.2">
      <c r="A1112" s="29">
        <v>45059</v>
      </c>
      <c r="B1112" s="328" t="s">
        <v>15</v>
      </c>
      <c r="C1112">
        <v>36513.931897809998</v>
      </c>
      <c r="D1112">
        <v>1885.9248649986621</v>
      </c>
    </row>
    <row r="1113" spans="1:4" x14ac:dyDescent="0.2">
      <c r="A1113" s="29"/>
      <c r="B1113" s="328" t="s">
        <v>14</v>
      </c>
      <c r="C1113">
        <v>4404.4075869999997</v>
      </c>
      <c r="D1113">
        <v>1874.346343379176</v>
      </c>
    </row>
    <row r="1114" spans="1:4" x14ac:dyDescent="0.2">
      <c r="A1114" s="29"/>
      <c r="B1114" s="328" t="s">
        <v>41</v>
      </c>
      <c r="C1114">
        <v>105.2927045</v>
      </c>
      <c r="D1114">
        <v>684.01681310388813</v>
      </c>
    </row>
    <row r="1115" spans="1:4" x14ac:dyDescent="0.2">
      <c r="A1115" s="29"/>
      <c r="B1115" s="328" t="s">
        <v>34</v>
      </c>
      <c r="C1115">
        <v>2199.5241339999998</v>
      </c>
      <c r="D1115">
        <v>803.03055672108314</v>
      </c>
    </row>
    <row r="1116" spans="1:4" x14ac:dyDescent="0.2">
      <c r="A1116" s="29"/>
      <c r="B1116" s="328" t="s">
        <v>39</v>
      </c>
      <c r="C1116">
        <v>1.4450574199999999</v>
      </c>
      <c r="D1116">
        <v>2597.0564295458762</v>
      </c>
    </row>
    <row r="1117" spans="1:4" x14ac:dyDescent="0.2">
      <c r="A1117" s="29">
        <v>45058</v>
      </c>
      <c r="B1117" s="328" t="s">
        <v>14</v>
      </c>
      <c r="C1117">
        <v>4357.7849999999999</v>
      </c>
      <c r="D1117">
        <v>1880.96481519555</v>
      </c>
    </row>
    <row r="1118" spans="1:4" x14ac:dyDescent="0.2">
      <c r="A1118" s="29"/>
      <c r="B1118" s="328" t="s">
        <v>41</v>
      </c>
      <c r="C1118">
        <v>105.2927045</v>
      </c>
      <c r="D1118">
        <v>697.61694843941177</v>
      </c>
    </row>
    <row r="1119" spans="1:4" x14ac:dyDescent="0.2">
      <c r="A1119" s="29"/>
      <c r="B1119" s="328" t="s">
        <v>15</v>
      </c>
      <c r="C1119">
        <v>36230.054252109992</v>
      </c>
      <c r="D1119">
        <v>1901.5659175691919</v>
      </c>
    </row>
    <row r="1120" spans="1:4" x14ac:dyDescent="0.2">
      <c r="A1120" s="29"/>
      <c r="B1120" s="328" t="s">
        <v>34</v>
      </c>
      <c r="C1120">
        <v>2199.5241339999998</v>
      </c>
      <c r="D1120">
        <v>815.61022911494535</v>
      </c>
    </row>
    <row r="1121" spans="1:4" x14ac:dyDescent="0.2">
      <c r="A1121" s="29"/>
      <c r="B1121" s="328" t="s">
        <v>39</v>
      </c>
      <c r="C1121">
        <v>1.4450574199999999</v>
      </c>
      <c r="D1121">
        <v>2613.6681301223948</v>
      </c>
    </row>
    <row r="1122" spans="1:4" x14ac:dyDescent="0.2">
      <c r="A1122" s="29">
        <v>45057</v>
      </c>
      <c r="B1122" s="328" t="s">
        <v>14</v>
      </c>
      <c r="C1122">
        <v>4357.7849999999999</v>
      </c>
      <c r="D1122">
        <v>1843.15118172645</v>
      </c>
    </row>
    <row r="1123" spans="1:4" x14ac:dyDescent="0.2">
      <c r="A1123" s="29"/>
      <c r="B1123" s="328" t="s">
        <v>41</v>
      </c>
      <c r="C1123">
        <v>105.2927045</v>
      </c>
      <c r="D1123">
        <v>670.76263484875903</v>
      </c>
    </row>
    <row r="1124" spans="1:4" x14ac:dyDescent="0.2">
      <c r="A1124" s="29"/>
      <c r="B1124" s="328" t="s">
        <v>15</v>
      </c>
      <c r="C1124">
        <v>36230.054252109992</v>
      </c>
      <c r="D1124">
        <v>1867.6357471610061</v>
      </c>
    </row>
    <row r="1125" spans="1:4" x14ac:dyDescent="0.2">
      <c r="A1125" s="29"/>
      <c r="B1125" s="328" t="s">
        <v>34</v>
      </c>
      <c r="C1125">
        <v>2199.5241339999998</v>
      </c>
      <c r="D1125">
        <v>793.21256283938874</v>
      </c>
    </row>
    <row r="1126" spans="1:4" x14ac:dyDescent="0.2">
      <c r="A1126" s="29"/>
      <c r="B1126" s="328" t="s">
        <v>39</v>
      </c>
      <c r="C1126">
        <v>1.4450574199999999</v>
      </c>
      <c r="D1126">
        <v>2598.3172065819631</v>
      </c>
    </row>
    <row r="1127" spans="1:4" x14ac:dyDescent="0.2">
      <c r="A1127" s="29">
        <v>45056</v>
      </c>
      <c r="B1127" s="328" t="s">
        <v>14</v>
      </c>
      <c r="C1127">
        <v>4357.7849999999999</v>
      </c>
      <c r="D1127">
        <v>1883.63169245985</v>
      </c>
    </row>
    <row r="1128" spans="1:4" x14ac:dyDescent="0.2">
      <c r="A1128" s="29"/>
      <c r="B1128" s="328" t="s">
        <v>41</v>
      </c>
      <c r="C1128">
        <v>105.2927045</v>
      </c>
      <c r="D1128">
        <v>695.03080904832427</v>
      </c>
    </row>
    <row r="1129" spans="1:4" x14ac:dyDescent="0.2">
      <c r="A1129" s="29"/>
      <c r="B1129" s="328" t="s">
        <v>15</v>
      </c>
      <c r="C1129">
        <v>36230.054252109992</v>
      </c>
      <c r="D1129">
        <v>1977.817501250895</v>
      </c>
    </row>
    <row r="1130" spans="1:4" x14ac:dyDescent="0.2">
      <c r="A1130" s="29"/>
      <c r="B1130" s="328" t="s">
        <v>34</v>
      </c>
      <c r="C1130">
        <v>2199.5241339999998</v>
      </c>
      <c r="D1130">
        <v>815.1624939822284</v>
      </c>
    </row>
    <row r="1131" spans="1:4" x14ac:dyDescent="0.2">
      <c r="A1131" s="29"/>
      <c r="B1131" s="328" t="s">
        <v>39</v>
      </c>
      <c r="C1131">
        <v>1.4450574199999999</v>
      </c>
      <c r="D1131">
        <v>2663.0465498497392</v>
      </c>
    </row>
    <row r="1132" spans="1:4" x14ac:dyDescent="0.2">
      <c r="A1132" s="29">
        <v>45055</v>
      </c>
      <c r="B1132" s="328" t="s">
        <v>14</v>
      </c>
      <c r="C1132">
        <v>4357.7849999999999</v>
      </c>
      <c r="D1132">
        <v>1874.12413861395</v>
      </c>
    </row>
    <row r="1133" spans="1:4" x14ac:dyDescent="0.2">
      <c r="A1133" s="29"/>
      <c r="B1133" s="328" t="s">
        <v>41</v>
      </c>
      <c r="C1133">
        <v>105.2927045</v>
      </c>
      <c r="D1133">
        <v>686.19147492335173</v>
      </c>
    </row>
    <row r="1134" spans="1:4" x14ac:dyDescent="0.2">
      <c r="A1134" s="29"/>
      <c r="B1134" s="328" t="s">
        <v>15</v>
      </c>
      <c r="C1134">
        <v>36230.054252109992</v>
      </c>
      <c r="D1134">
        <v>1968.648036820229</v>
      </c>
    </row>
    <row r="1135" spans="1:4" x14ac:dyDescent="0.2">
      <c r="A1135" s="29"/>
      <c r="B1135" s="328" t="s">
        <v>34</v>
      </c>
      <c r="C1135">
        <v>2199.5241339999998</v>
      </c>
      <c r="D1135">
        <v>799.69939941538144</v>
      </c>
    </row>
    <row r="1136" spans="1:4" x14ac:dyDescent="0.2">
      <c r="A1136" s="29"/>
      <c r="B1136" s="328" t="s">
        <v>39</v>
      </c>
      <c r="C1136">
        <v>1.4450574199999999</v>
      </c>
      <c r="D1136">
        <v>2667.6688625189408</v>
      </c>
    </row>
    <row r="1137" spans="1:4" x14ac:dyDescent="0.2">
      <c r="A1137" s="29">
        <v>45054</v>
      </c>
      <c r="B1137" s="328" t="s">
        <v>41</v>
      </c>
      <c r="C1137">
        <v>105.2927045</v>
      </c>
      <c r="D1137">
        <v>694.25622326767007</v>
      </c>
    </row>
    <row r="1138" spans="1:4" x14ac:dyDescent="0.2">
      <c r="A1138" s="29"/>
      <c r="B1138" s="328" t="s">
        <v>14</v>
      </c>
      <c r="C1138">
        <v>4244.4980000000014</v>
      </c>
      <c r="D1138">
        <v>1823.7525559010001</v>
      </c>
    </row>
    <row r="1139" spans="1:4" x14ac:dyDescent="0.2">
      <c r="A1139" s="29"/>
      <c r="B1139" s="328" t="s">
        <v>15</v>
      </c>
      <c r="C1139">
        <v>36230.054252109992</v>
      </c>
      <c r="D1139">
        <v>1982.818697939857</v>
      </c>
    </row>
    <row r="1140" spans="1:4" x14ac:dyDescent="0.2">
      <c r="A1140" s="29"/>
      <c r="B1140" s="328" t="s">
        <v>34</v>
      </c>
      <c r="C1140">
        <v>2199.5241339999998</v>
      </c>
      <c r="D1140">
        <v>805.34625971984099</v>
      </c>
    </row>
    <row r="1141" spans="1:4" x14ac:dyDescent="0.2">
      <c r="A1141" s="29"/>
      <c r="B1141" s="328" t="s">
        <v>39</v>
      </c>
      <c r="C1141">
        <v>1.4450574199999999</v>
      </c>
      <c r="D1141">
        <v>2672.32825586731</v>
      </c>
    </row>
    <row r="1142" spans="1:4" x14ac:dyDescent="0.2">
      <c r="A1142" s="29">
        <v>45053</v>
      </c>
      <c r="B1142" s="328" t="s">
        <v>41</v>
      </c>
      <c r="C1142">
        <v>105.2927045</v>
      </c>
      <c r="D1142">
        <v>731.06623477690243</v>
      </c>
    </row>
    <row r="1143" spans="1:4" x14ac:dyDescent="0.2">
      <c r="A1143" s="29"/>
      <c r="B1143" s="328" t="s">
        <v>14</v>
      </c>
      <c r="C1143">
        <v>4244.4980000000014</v>
      </c>
      <c r="D1143">
        <v>1922.5818717827999</v>
      </c>
    </row>
    <row r="1144" spans="1:4" x14ac:dyDescent="0.2">
      <c r="A1144" s="29"/>
      <c r="B1144" s="328" t="s">
        <v>15</v>
      </c>
      <c r="C1144">
        <v>36230.054252109992</v>
      </c>
      <c r="D1144">
        <v>2067.2079141071272</v>
      </c>
    </row>
    <row r="1145" spans="1:4" x14ac:dyDescent="0.2">
      <c r="A1145" s="29"/>
      <c r="B1145" s="328" t="s">
        <v>34</v>
      </c>
      <c r="C1145">
        <v>2199.5241339999998</v>
      </c>
      <c r="D1145">
        <v>831.62056528633138</v>
      </c>
    </row>
    <row r="1146" spans="1:4" x14ac:dyDescent="0.2">
      <c r="A1146" s="29"/>
      <c r="B1146" s="328" t="s">
        <v>39</v>
      </c>
      <c r="C1146">
        <v>1.4450574199999999</v>
      </c>
      <c r="D1146">
        <v>2738.7163880473522</v>
      </c>
    </row>
    <row r="1147" spans="1:4" x14ac:dyDescent="0.2">
      <c r="A1147" s="29">
        <v>45052</v>
      </c>
      <c r="B1147" s="328" t="s">
        <v>41</v>
      </c>
      <c r="C1147">
        <v>105.2927045</v>
      </c>
      <c r="D1147">
        <v>730.74615127278469</v>
      </c>
    </row>
    <row r="1148" spans="1:4" x14ac:dyDescent="0.2">
      <c r="A1148" s="29"/>
      <c r="B1148" s="328" t="s">
        <v>14</v>
      </c>
      <c r="C1148">
        <v>4244.4980000000014</v>
      </c>
      <c r="D1148">
        <v>1952.74344435072</v>
      </c>
    </row>
    <row r="1149" spans="1:4" x14ac:dyDescent="0.2">
      <c r="A1149" s="29"/>
      <c r="B1149" s="328" t="s">
        <v>15</v>
      </c>
      <c r="C1149">
        <v>36230.054252109992</v>
      </c>
      <c r="D1149">
        <v>2076.507806733101</v>
      </c>
    </row>
    <row r="1150" spans="1:4" x14ac:dyDescent="0.2">
      <c r="A1150" s="29"/>
      <c r="B1150" s="328" t="s">
        <v>34</v>
      </c>
      <c r="C1150">
        <v>2199.5241339999998</v>
      </c>
      <c r="D1150">
        <v>836.39282880938845</v>
      </c>
    </row>
    <row r="1151" spans="1:4" x14ac:dyDescent="0.2">
      <c r="A1151" s="29"/>
      <c r="B1151" s="328" t="s">
        <v>39</v>
      </c>
      <c r="C1151">
        <v>1.4450574199999999</v>
      </c>
      <c r="D1151">
        <v>2746.2024371749471</v>
      </c>
    </row>
    <row r="1152" spans="1:4" x14ac:dyDescent="0.2">
      <c r="A1152" s="29">
        <v>45051</v>
      </c>
      <c r="B1152" s="328" t="s">
        <v>41</v>
      </c>
      <c r="C1152">
        <v>105.2927045</v>
      </c>
      <c r="D1152">
        <v>761.03268483446175</v>
      </c>
    </row>
    <row r="1153" spans="1:4" x14ac:dyDescent="0.2">
      <c r="A1153" s="29"/>
      <c r="B1153" s="328" t="s">
        <v>14</v>
      </c>
      <c r="C1153">
        <v>4244.4980000000014</v>
      </c>
      <c r="D1153">
        <v>1985.68762491748</v>
      </c>
    </row>
    <row r="1154" spans="1:4" x14ac:dyDescent="0.2">
      <c r="A1154" s="29"/>
      <c r="B1154" s="328" t="s">
        <v>15</v>
      </c>
      <c r="C1154">
        <v>36230.054252109992</v>
      </c>
      <c r="D1154">
        <v>2119.8853260880669</v>
      </c>
    </row>
    <row r="1155" spans="1:4" x14ac:dyDescent="0.2">
      <c r="A1155" s="29"/>
      <c r="B1155" s="328" t="s">
        <v>34</v>
      </c>
      <c r="C1155">
        <v>2199.5241339999998</v>
      </c>
      <c r="D1155">
        <v>867.788352402795</v>
      </c>
    </row>
    <row r="1156" spans="1:4" x14ac:dyDescent="0.2">
      <c r="A1156" s="29"/>
      <c r="B1156" s="328" t="s">
        <v>39</v>
      </c>
      <c r="C1156">
        <v>1.4450574199999999</v>
      </c>
      <c r="D1156">
        <v>2880.885208765244</v>
      </c>
    </row>
    <row r="1157" spans="1:4" x14ac:dyDescent="0.2">
      <c r="A1157" s="29">
        <v>45050</v>
      </c>
      <c r="B1157" s="328" t="s">
        <v>41</v>
      </c>
      <c r="C1157">
        <v>105.2927045</v>
      </c>
      <c r="D1157">
        <v>736.99753181337132</v>
      </c>
    </row>
    <row r="1158" spans="1:4" x14ac:dyDescent="0.2">
      <c r="A1158" s="29"/>
      <c r="B1158" s="328" t="s">
        <v>14</v>
      </c>
      <c r="C1158">
        <v>4244.4980000000014</v>
      </c>
      <c r="D1158">
        <v>1962.2490400667</v>
      </c>
    </row>
    <row r="1159" spans="1:4" x14ac:dyDescent="0.2">
      <c r="A1159" s="29"/>
      <c r="B1159" s="328" t="s">
        <v>15</v>
      </c>
      <c r="C1159">
        <v>36230.054252109992</v>
      </c>
      <c r="D1159">
        <v>2092.5954000232082</v>
      </c>
    </row>
    <row r="1160" spans="1:4" x14ac:dyDescent="0.2">
      <c r="A1160" s="29"/>
      <c r="B1160" s="328" t="s">
        <v>34</v>
      </c>
      <c r="C1160">
        <v>2199.5241339999998</v>
      </c>
      <c r="D1160">
        <v>852.77820584086282</v>
      </c>
    </row>
    <row r="1161" spans="1:4" x14ac:dyDescent="0.2">
      <c r="A1161" s="29"/>
      <c r="B1161" s="328" t="s">
        <v>39</v>
      </c>
      <c r="C1161">
        <v>1.4450574199999999</v>
      </c>
      <c r="D1161">
        <v>2712.9525272238711</v>
      </c>
    </row>
    <row r="1162" spans="1:4" x14ac:dyDescent="0.2">
      <c r="A1162" s="29">
        <v>45049</v>
      </c>
      <c r="B1162" s="328" t="s">
        <v>41</v>
      </c>
      <c r="C1162">
        <v>105.2927045</v>
      </c>
      <c r="D1162">
        <v>749.92984185304147</v>
      </c>
    </row>
    <row r="1163" spans="1:4" x14ac:dyDescent="0.2">
      <c r="A1163" s="29"/>
      <c r="B1163" s="328" t="s">
        <v>14</v>
      </c>
      <c r="C1163">
        <v>4244.4980000000014</v>
      </c>
      <c r="D1163">
        <v>1966.75253733466</v>
      </c>
    </row>
    <row r="1164" spans="1:4" x14ac:dyDescent="0.2">
      <c r="A1164" s="29"/>
      <c r="B1164" s="328" t="s">
        <v>15</v>
      </c>
      <c r="C1164">
        <v>36230.054252109992</v>
      </c>
      <c r="D1164">
        <v>2125.3372246519239</v>
      </c>
    </row>
    <row r="1165" spans="1:4" x14ac:dyDescent="0.2">
      <c r="A1165" s="29"/>
      <c r="B1165" s="328" t="s">
        <v>34</v>
      </c>
      <c r="C1165">
        <v>2199.5241339999998</v>
      </c>
      <c r="D1165">
        <v>866.25526208615565</v>
      </c>
    </row>
    <row r="1166" spans="1:4" x14ac:dyDescent="0.2">
      <c r="A1166" s="29"/>
      <c r="B1166" s="328" t="s">
        <v>39</v>
      </c>
      <c r="C1166">
        <v>1.4450574199999999</v>
      </c>
      <c r="D1166">
        <v>2750.9965765931611</v>
      </c>
    </row>
    <row r="1167" spans="1:4" x14ac:dyDescent="0.2">
      <c r="A1167" s="29">
        <v>45048</v>
      </c>
      <c r="B1167" s="328" t="s">
        <v>41</v>
      </c>
      <c r="C1167">
        <v>105.2927045</v>
      </c>
      <c r="D1167">
        <v>735.48044504497796</v>
      </c>
    </row>
    <row r="1168" spans="1:4" x14ac:dyDescent="0.2">
      <c r="A1168" s="29"/>
      <c r="B1168" s="328" t="s">
        <v>14</v>
      </c>
      <c r="C1168">
        <v>4244.4980000000014</v>
      </c>
      <c r="D1168">
        <v>1973.84216478904</v>
      </c>
    </row>
    <row r="1169" spans="1:4" x14ac:dyDescent="0.2">
      <c r="A1169" s="29"/>
      <c r="B1169" s="328" t="s">
        <v>15</v>
      </c>
      <c r="C1169">
        <v>36230.054252109992</v>
      </c>
      <c r="D1169">
        <v>2136.3421036310028</v>
      </c>
    </row>
    <row r="1170" spans="1:4" x14ac:dyDescent="0.2">
      <c r="A1170" s="29"/>
      <c r="B1170" s="328" t="s">
        <v>34</v>
      </c>
      <c r="C1170">
        <v>2199.5241339999998</v>
      </c>
      <c r="D1170">
        <v>861.25558976288426</v>
      </c>
    </row>
    <row r="1171" spans="1:4" x14ac:dyDescent="0.2">
      <c r="A1171" s="29"/>
      <c r="B1171" s="328" t="s">
        <v>39</v>
      </c>
      <c r="C1171">
        <v>1.4450574199999999</v>
      </c>
      <c r="D1171">
        <v>2703.4547106581999</v>
      </c>
    </row>
    <row r="1172" spans="1:4" x14ac:dyDescent="0.2">
      <c r="A1172" s="29">
        <v>45047</v>
      </c>
      <c r="B1172" s="328" t="s">
        <v>41</v>
      </c>
      <c r="C1172">
        <v>105.2927045</v>
      </c>
      <c r="D1172">
        <v>727.21090976089658</v>
      </c>
    </row>
    <row r="1173" spans="1:4" x14ac:dyDescent="0.2">
      <c r="A1173" s="29"/>
      <c r="B1173" s="328" t="s">
        <v>14</v>
      </c>
      <c r="C1173">
        <v>4244.4980000000014</v>
      </c>
      <c r="D1173">
        <v>1974.67209148298</v>
      </c>
    </row>
    <row r="1174" spans="1:4" x14ac:dyDescent="0.2">
      <c r="A1174" s="29"/>
      <c r="B1174" s="328" t="s">
        <v>15</v>
      </c>
      <c r="C1174">
        <v>36230.054252109992</v>
      </c>
      <c r="D1174">
        <v>2155.5650458160871</v>
      </c>
    </row>
    <row r="1175" spans="1:4" x14ac:dyDescent="0.2">
      <c r="A1175" s="29"/>
      <c r="B1175" s="328" t="s">
        <v>34</v>
      </c>
      <c r="C1175">
        <v>2199.5241339999998</v>
      </c>
      <c r="D1175">
        <v>851.87409144558205</v>
      </c>
    </row>
    <row r="1176" spans="1:4" x14ac:dyDescent="0.2">
      <c r="A1176" s="29"/>
      <c r="B1176" s="328" t="s">
        <v>39</v>
      </c>
      <c r="C1176">
        <v>1.4450574199999999</v>
      </c>
      <c r="D1176">
        <v>2648.3940152628529</v>
      </c>
    </row>
    <row r="1177" spans="1:4" x14ac:dyDescent="0.2">
      <c r="A1177" s="29">
        <v>45046</v>
      </c>
      <c r="B1177" s="328" t="s">
        <v>41</v>
      </c>
      <c r="C1177">
        <v>105.2927045</v>
      </c>
      <c r="D1177">
        <v>743.91832230501404</v>
      </c>
    </row>
    <row r="1178" spans="1:4" x14ac:dyDescent="0.2">
      <c r="A1178" s="29"/>
      <c r="B1178" s="328" t="s">
        <v>14</v>
      </c>
      <c r="C1178">
        <v>4244.4980000000014</v>
      </c>
      <c r="D1178">
        <v>2007.93117135636</v>
      </c>
    </row>
    <row r="1179" spans="1:4" x14ac:dyDescent="0.2">
      <c r="A1179" s="29"/>
      <c r="B1179" s="328" t="s">
        <v>15</v>
      </c>
      <c r="C1179">
        <v>36230.054252109992</v>
      </c>
      <c r="D1179">
        <v>2315.2906744946522</v>
      </c>
    </row>
    <row r="1180" spans="1:4" x14ac:dyDescent="0.2">
      <c r="A1180" s="29"/>
      <c r="B1180" s="328" t="s">
        <v>34</v>
      </c>
      <c r="C1180">
        <v>2199.5241339999998</v>
      </c>
      <c r="D1180">
        <v>875.98076597801548</v>
      </c>
    </row>
    <row r="1181" spans="1:4" x14ac:dyDescent="0.2">
      <c r="A1181" s="29"/>
      <c r="B1181" s="328" t="s">
        <v>39</v>
      </c>
      <c r="C1181">
        <v>1.4450574199999999</v>
      </c>
      <c r="D1181">
        <v>2724.4996057712278</v>
      </c>
    </row>
    <row r="1182" spans="1:4" x14ac:dyDescent="0.2">
      <c r="A1182" s="29">
        <v>45045</v>
      </c>
      <c r="B1182" s="328" t="s">
        <v>41</v>
      </c>
      <c r="C1182">
        <v>105.2927045</v>
      </c>
      <c r="D1182">
        <v>756.02129962232516</v>
      </c>
    </row>
    <row r="1183" spans="1:4" x14ac:dyDescent="0.2">
      <c r="A1183" s="29"/>
      <c r="B1183" s="328" t="s">
        <v>14</v>
      </c>
      <c r="C1183">
        <v>4244.4980000000014</v>
      </c>
      <c r="D1183">
        <v>2027.8489875611201</v>
      </c>
    </row>
    <row r="1184" spans="1:4" x14ac:dyDescent="0.2">
      <c r="A1184" s="29"/>
      <c r="B1184" s="328" t="s">
        <v>15</v>
      </c>
      <c r="C1184">
        <v>36230.054252109992</v>
      </c>
      <c r="D1184">
        <v>2206.2077779502288</v>
      </c>
    </row>
    <row r="1185" spans="1:4" x14ac:dyDescent="0.2">
      <c r="A1185" s="29"/>
      <c r="B1185" s="328" t="s">
        <v>34</v>
      </c>
      <c r="C1185">
        <v>2199.5241339999998</v>
      </c>
      <c r="D1185">
        <v>885.56649011115951</v>
      </c>
    </row>
    <row r="1186" spans="1:4" x14ac:dyDescent="0.2">
      <c r="A1186" s="29"/>
      <c r="B1186" s="328" t="s">
        <v>39</v>
      </c>
      <c r="C1186">
        <v>1.4450574199999999</v>
      </c>
      <c r="D1186">
        <v>2753.230117354748</v>
      </c>
    </row>
    <row r="1187" spans="1:4" x14ac:dyDescent="0.2">
      <c r="A1187" s="29">
        <v>45044</v>
      </c>
      <c r="B1187" s="328" t="s">
        <v>41</v>
      </c>
      <c r="C1187">
        <v>105.2927045</v>
      </c>
      <c r="D1187">
        <v>742.66947712475098</v>
      </c>
    </row>
    <row r="1188" spans="1:4" x14ac:dyDescent="0.2">
      <c r="A1188" s="29"/>
      <c r="B1188" s="328" t="s">
        <v>14</v>
      </c>
      <c r="C1188">
        <v>4244.4980000000014</v>
      </c>
      <c r="D1188">
        <v>2038.13463711954</v>
      </c>
    </row>
    <row r="1189" spans="1:4" x14ac:dyDescent="0.2">
      <c r="A1189" s="29"/>
      <c r="B1189" s="328" t="s">
        <v>15</v>
      </c>
      <c r="C1189">
        <v>36230.054252109992</v>
      </c>
      <c r="D1189">
        <v>2207.044692203453</v>
      </c>
    </row>
    <row r="1190" spans="1:4" x14ac:dyDescent="0.2">
      <c r="A1190" s="29"/>
      <c r="B1190" s="328" t="s">
        <v>34</v>
      </c>
      <c r="C1190">
        <v>2199.5241339999998</v>
      </c>
      <c r="D1190">
        <v>891.3106573633072</v>
      </c>
    </row>
    <row r="1191" spans="1:4" x14ac:dyDescent="0.2">
      <c r="A1191" s="29"/>
      <c r="B1191" s="328" t="s">
        <v>39</v>
      </c>
      <c r="C1191">
        <v>1.4450574199999999</v>
      </c>
      <c r="D1191">
        <v>2737.5573593683312</v>
      </c>
    </row>
    <row r="1192" spans="1:4" x14ac:dyDescent="0.2">
      <c r="A1192" s="29">
        <v>45043</v>
      </c>
      <c r="B1192" s="328" t="s">
        <v>41</v>
      </c>
      <c r="C1192">
        <v>105.2927045</v>
      </c>
      <c r="D1192">
        <v>755.93091952356349</v>
      </c>
    </row>
    <row r="1193" spans="1:4" x14ac:dyDescent="0.2">
      <c r="A1193" s="29"/>
      <c r="B1193" s="328" t="s">
        <v>14</v>
      </c>
      <c r="C1193">
        <v>4244.4980000000014</v>
      </c>
      <c r="D1193">
        <v>1982.70527084276</v>
      </c>
    </row>
    <row r="1194" spans="1:4" x14ac:dyDescent="0.2">
      <c r="A1194" s="29"/>
      <c r="B1194" s="328" t="s">
        <v>15</v>
      </c>
      <c r="C1194">
        <v>36230.054252109992</v>
      </c>
      <c r="D1194">
        <v>2224.2452727601849</v>
      </c>
    </row>
    <row r="1195" spans="1:4" x14ac:dyDescent="0.2">
      <c r="A1195" s="29"/>
      <c r="B1195" s="328" t="s">
        <v>34</v>
      </c>
      <c r="C1195">
        <v>2199.5241339999998</v>
      </c>
      <c r="D1195">
        <v>902.50680708164191</v>
      </c>
    </row>
    <row r="1196" spans="1:4" x14ac:dyDescent="0.2">
      <c r="A1196" s="29"/>
      <c r="B1196" s="328" t="s">
        <v>39</v>
      </c>
      <c r="C1196">
        <v>1.4450574199999999</v>
      </c>
      <c r="D1196">
        <v>2760.719744227757</v>
      </c>
    </row>
    <row r="1197" spans="1:4" x14ac:dyDescent="0.2">
      <c r="A1197" s="29">
        <v>45042</v>
      </c>
      <c r="B1197" s="328" t="s">
        <v>41</v>
      </c>
      <c r="C1197">
        <v>105.2927045</v>
      </c>
      <c r="D1197">
        <v>736.86341312516038</v>
      </c>
    </row>
    <row r="1198" spans="1:4" x14ac:dyDescent="0.2">
      <c r="A1198" s="29"/>
      <c r="B1198" s="328" t="s">
        <v>14</v>
      </c>
      <c r="C1198">
        <v>4244.4980000000014</v>
      </c>
      <c r="D1198">
        <v>1959.9672828318601</v>
      </c>
    </row>
    <row r="1199" spans="1:4" x14ac:dyDescent="0.2">
      <c r="A1199" s="29"/>
      <c r="B1199" s="328" t="s">
        <v>15</v>
      </c>
      <c r="C1199">
        <v>36230.054252109992</v>
      </c>
      <c r="D1199">
        <v>2187.7054515442192</v>
      </c>
    </row>
    <row r="1200" spans="1:4" x14ac:dyDescent="0.2">
      <c r="A1200" s="29"/>
      <c r="B1200" s="328" t="s">
        <v>34</v>
      </c>
      <c r="C1200">
        <v>2199.5241339999998</v>
      </c>
      <c r="D1200">
        <v>882.67178437936741</v>
      </c>
    </row>
    <row r="1201" spans="1:4" x14ac:dyDescent="0.2">
      <c r="A1201" s="29"/>
      <c r="B1201" s="328" t="s">
        <v>39</v>
      </c>
      <c r="C1201">
        <v>1.4450574199999999</v>
      </c>
      <c r="D1201">
        <v>2698.7738116184928</v>
      </c>
    </row>
    <row r="1202" spans="1:4" x14ac:dyDescent="0.2">
      <c r="A1202" s="29">
        <v>45041</v>
      </c>
      <c r="B1202" s="328" t="s">
        <v>41</v>
      </c>
      <c r="C1202">
        <v>105.2927045</v>
      </c>
      <c r="D1202">
        <v>766.03359236957351</v>
      </c>
    </row>
    <row r="1203" spans="1:4" x14ac:dyDescent="0.2">
      <c r="A1203" s="29"/>
      <c r="B1203" s="328" t="s">
        <v>14</v>
      </c>
      <c r="C1203">
        <v>4244.4980000000014</v>
      </c>
      <c r="D1203">
        <v>1995.3911840201799</v>
      </c>
    </row>
    <row r="1204" spans="1:4" x14ac:dyDescent="0.2">
      <c r="A1204" s="29"/>
      <c r="B1204" s="328" t="s">
        <v>15</v>
      </c>
      <c r="C1204">
        <v>36230.054252109992</v>
      </c>
      <c r="D1204">
        <v>2212.7121595901099</v>
      </c>
    </row>
    <row r="1205" spans="1:4" x14ac:dyDescent="0.2">
      <c r="A1205" s="29"/>
      <c r="B1205" s="328" t="s">
        <v>34</v>
      </c>
      <c r="C1205">
        <v>2199.5241339999998</v>
      </c>
      <c r="D1205">
        <v>868.99905846711397</v>
      </c>
    </row>
    <row r="1206" spans="1:4" x14ac:dyDescent="0.2">
      <c r="A1206" s="29"/>
      <c r="B1206" s="328" t="s">
        <v>39</v>
      </c>
      <c r="C1206">
        <v>1.4450574199999999</v>
      </c>
      <c r="D1206">
        <v>2703.0741552635118</v>
      </c>
    </row>
    <row r="1207" spans="1:4" x14ac:dyDescent="0.2">
      <c r="A1207" s="29">
        <v>45040</v>
      </c>
      <c r="B1207" s="328" t="s">
        <v>41</v>
      </c>
      <c r="C1207">
        <v>105.2927045</v>
      </c>
      <c r="D1207">
        <v>744.55620972619704</v>
      </c>
    </row>
    <row r="1208" spans="1:4" x14ac:dyDescent="0.2">
      <c r="A1208" s="29"/>
      <c r="B1208" s="328" t="s">
        <v>14</v>
      </c>
      <c r="C1208">
        <v>4244.4980000000014</v>
      </c>
      <c r="D1208">
        <v>1958.30178426164</v>
      </c>
    </row>
    <row r="1209" spans="1:4" x14ac:dyDescent="0.2">
      <c r="A1209" s="29"/>
      <c r="B1209" s="328" t="s">
        <v>15</v>
      </c>
      <c r="C1209">
        <v>36230.054252109992</v>
      </c>
      <c r="D1209">
        <v>2173.7789809902511</v>
      </c>
    </row>
    <row r="1210" spans="1:4" x14ac:dyDescent="0.2">
      <c r="A1210" s="29"/>
      <c r="B1210" s="328" t="s">
        <v>34</v>
      </c>
      <c r="C1210">
        <v>2199.5241339999998</v>
      </c>
      <c r="D1210">
        <v>844.72880532483509</v>
      </c>
    </row>
    <row r="1211" spans="1:4" x14ac:dyDescent="0.2">
      <c r="A1211" s="29"/>
      <c r="B1211" s="328" t="s">
        <v>39</v>
      </c>
      <c r="C1211">
        <v>1.4450574199999999</v>
      </c>
      <c r="D1211">
        <v>2662.7072984301331</v>
      </c>
    </row>
    <row r="1212" spans="1:4" x14ac:dyDescent="0.2">
      <c r="A1212" s="29">
        <v>45039</v>
      </c>
      <c r="B1212" s="328" t="s">
        <v>41</v>
      </c>
      <c r="C1212">
        <v>105.2927045</v>
      </c>
      <c r="D1212">
        <v>746.41839754529735</v>
      </c>
    </row>
    <row r="1213" spans="1:4" x14ac:dyDescent="0.2">
      <c r="A1213" s="29"/>
      <c r="B1213" s="328" t="s">
        <v>14</v>
      </c>
      <c r="C1213">
        <v>4244.4980000000014</v>
      </c>
      <c r="D1213">
        <v>1975.27969137168</v>
      </c>
    </row>
    <row r="1214" spans="1:4" x14ac:dyDescent="0.2">
      <c r="A1214" s="29"/>
      <c r="B1214" s="328" t="s">
        <v>15</v>
      </c>
      <c r="C1214">
        <v>36230.054252109992</v>
      </c>
      <c r="D1214">
        <v>2191.523736961849</v>
      </c>
    </row>
    <row r="1215" spans="1:4" x14ac:dyDescent="0.2">
      <c r="A1215" s="29"/>
      <c r="B1215" s="328" t="s">
        <v>34</v>
      </c>
      <c r="C1215">
        <v>2199.5241339999998</v>
      </c>
      <c r="D1215">
        <v>855.82560253803706</v>
      </c>
    </row>
    <row r="1216" spans="1:4" x14ac:dyDescent="0.2">
      <c r="A1216" s="29"/>
      <c r="B1216" s="328" t="s">
        <v>39</v>
      </c>
      <c r="C1216">
        <v>1.4450574199999999</v>
      </c>
      <c r="D1216">
        <v>2693.065570652996</v>
      </c>
    </row>
    <row r="1217" spans="1:4" x14ac:dyDescent="0.2">
      <c r="A1217" s="29">
        <v>45038</v>
      </c>
      <c r="B1217" s="328" t="s">
        <v>41</v>
      </c>
      <c r="C1217">
        <v>105.2927045</v>
      </c>
      <c r="D1217">
        <v>758.26934098048196</v>
      </c>
    </row>
    <row r="1218" spans="1:4" x14ac:dyDescent="0.2">
      <c r="A1218" s="29"/>
      <c r="B1218" s="328" t="s">
        <v>14</v>
      </c>
      <c r="C1218">
        <v>4244.4980000000014</v>
      </c>
      <c r="D1218">
        <v>2011.9629351166</v>
      </c>
    </row>
    <row r="1219" spans="1:4" x14ac:dyDescent="0.2">
      <c r="A1219" s="29"/>
      <c r="B1219" s="328" t="s">
        <v>15</v>
      </c>
      <c r="C1219">
        <v>36230.054252109992</v>
      </c>
      <c r="D1219">
        <v>2223.6572589796729</v>
      </c>
    </row>
    <row r="1220" spans="1:4" x14ac:dyDescent="0.2">
      <c r="A1220" s="29"/>
      <c r="B1220" s="328" t="s">
        <v>34</v>
      </c>
      <c r="C1220">
        <v>2199.5241339999998</v>
      </c>
      <c r="D1220">
        <v>873.04466520202141</v>
      </c>
    </row>
    <row r="1221" spans="1:4" x14ac:dyDescent="0.2">
      <c r="A1221" s="29"/>
      <c r="B1221" s="328" t="s">
        <v>39</v>
      </c>
      <c r="C1221">
        <v>1.4450574199999999</v>
      </c>
      <c r="D1221">
        <v>2713.1550274697579</v>
      </c>
    </row>
    <row r="1222" spans="1:4" x14ac:dyDescent="0.2">
      <c r="A1222" s="29">
        <v>45037</v>
      </c>
      <c r="B1222" s="328" t="s">
        <v>41</v>
      </c>
      <c r="C1222">
        <v>105.2927045</v>
      </c>
      <c r="D1222">
        <v>749.47693160219694</v>
      </c>
    </row>
    <row r="1223" spans="1:4" x14ac:dyDescent="0.2">
      <c r="A1223" s="29"/>
      <c r="B1223" s="328" t="s">
        <v>14</v>
      </c>
      <c r="C1223">
        <v>4244.4980000000014</v>
      </c>
      <c r="D1223">
        <v>1909.08339190826</v>
      </c>
    </row>
    <row r="1224" spans="1:4" x14ac:dyDescent="0.2">
      <c r="A1224" s="29"/>
      <c r="B1224" s="328" t="s">
        <v>15</v>
      </c>
      <c r="C1224">
        <v>36230.054252109992</v>
      </c>
      <c r="D1224">
        <v>2163.6204360785009</v>
      </c>
    </row>
    <row r="1225" spans="1:4" x14ac:dyDescent="0.2">
      <c r="A1225" s="29"/>
      <c r="B1225" s="328" t="s">
        <v>34</v>
      </c>
      <c r="C1225">
        <v>2199.5241339999998</v>
      </c>
      <c r="D1225">
        <v>842.3810992499275</v>
      </c>
    </row>
    <row r="1226" spans="1:4" x14ac:dyDescent="0.2">
      <c r="A1226" s="29"/>
      <c r="B1226" s="328" t="s">
        <v>39</v>
      </c>
      <c r="C1226">
        <v>1.4450574199999999</v>
      </c>
      <c r="D1226">
        <v>2673.5726076148808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D439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  <col min="4" max="4" width="17.85546875" bestFit="1" customWidth="1"/>
  </cols>
  <sheetData>
    <row r="1" spans="1:4" x14ac:dyDescent="0.2">
      <c r="A1" t="s">
        <v>16</v>
      </c>
      <c r="B1" t="s">
        <v>82</v>
      </c>
      <c r="C1" t="s">
        <v>81</v>
      </c>
      <c r="D1" t="s">
        <v>84</v>
      </c>
    </row>
    <row r="2" spans="1:4" x14ac:dyDescent="0.2">
      <c r="A2" s="29">
        <v>45463</v>
      </c>
      <c r="B2">
        <v>12662.10081079374</v>
      </c>
      <c r="C2">
        <v>12079.17</v>
      </c>
      <c r="D2">
        <v>582.93081079374133</v>
      </c>
    </row>
    <row r="3" spans="1:4" x14ac:dyDescent="0.2">
      <c r="A3" s="29">
        <v>45462</v>
      </c>
      <c r="B3">
        <v>12609.947878397839</v>
      </c>
      <c r="C3">
        <v>12079.17</v>
      </c>
      <c r="D3">
        <v>530.77787839784287</v>
      </c>
    </row>
    <row r="4" spans="1:4" x14ac:dyDescent="0.2">
      <c r="A4" s="29">
        <v>45461</v>
      </c>
      <c r="B4">
        <v>12354.801326130289</v>
      </c>
      <c r="C4">
        <v>12079.17</v>
      </c>
      <c r="D4">
        <v>275.63132613028762</v>
      </c>
    </row>
    <row r="5" spans="1:4" x14ac:dyDescent="0.2">
      <c r="A5" s="29">
        <v>45460</v>
      </c>
      <c r="B5">
        <v>12723.79043217164</v>
      </c>
      <c r="C5">
        <v>12079.17</v>
      </c>
      <c r="D5">
        <v>644.62043217163773</v>
      </c>
    </row>
    <row r="6" spans="1:4" x14ac:dyDescent="0.2">
      <c r="A6" s="29">
        <v>45459</v>
      </c>
      <c r="B6">
        <v>13038.40192833439</v>
      </c>
      <c r="C6">
        <v>12079.17</v>
      </c>
      <c r="D6">
        <v>959.23192833438964</v>
      </c>
    </row>
    <row r="7" spans="1:4" x14ac:dyDescent="0.2">
      <c r="A7" s="29">
        <v>45458</v>
      </c>
      <c r="B7">
        <v>12931.462279597061</v>
      </c>
      <c r="C7">
        <v>12079.17</v>
      </c>
      <c r="D7">
        <v>852.29227959706077</v>
      </c>
    </row>
    <row r="8" spans="1:4" x14ac:dyDescent="0.2">
      <c r="A8" s="29">
        <v>45457</v>
      </c>
      <c r="B8">
        <v>12857.054192319991</v>
      </c>
      <c r="C8">
        <v>12079.17</v>
      </c>
      <c r="D8">
        <v>777.88419231999251</v>
      </c>
    </row>
    <row r="9" spans="1:4" x14ac:dyDescent="0.2">
      <c r="A9" s="29">
        <v>45456</v>
      </c>
      <c r="B9">
        <v>13047.70019727794</v>
      </c>
      <c r="C9">
        <v>12079.17</v>
      </c>
      <c r="D9">
        <v>968.53019727794344</v>
      </c>
    </row>
    <row r="10" spans="1:4" x14ac:dyDescent="0.2">
      <c r="A10" s="29">
        <v>45455</v>
      </c>
      <c r="B10">
        <v>13508.486152648629</v>
      </c>
      <c r="C10">
        <v>12079.17</v>
      </c>
      <c r="D10">
        <v>1429.316152648631</v>
      </c>
    </row>
    <row r="11" spans="1:4" x14ac:dyDescent="0.2">
      <c r="A11" s="29">
        <v>45454</v>
      </c>
      <c r="B11">
        <v>13016.437596514539</v>
      </c>
      <c r="C11">
        <v>12079.17</v>
      </c>
      <c r="D11">
        <v>937.26759651454438</v>
      </c>
    </row>
    <row r="12" spans="1:4" x14ac:dyDescent="0.2">
      <c r="A12" s="29">
        <v>45453</v>
      </c>
      <c r="B12">
        <v>13367.13989288011</v>
      </c>
      <c r="C12">
        <v>12079.17</v>
      </c>
      <c r="D12">
        <v>1287.9698928801099</v>
      </c>
    </row>
    <row r="13" spans="1:4" x14ac:dyDescent="0.2">
      <c r="A13" s="29">
        <v>45452</v>
      </c>
      <c r="B13">
        <v>13577.73838424623</v>
      </c>
      <c r="C13">
        <v>12079.17</v>
      </c>
      <c r="D13">
        <v>1498.568384246229</v>
      </c>
    </row>
    <row r="14" spans="1:4" x14ac:dyDescent="0.2">
      <c r="A14" s="29">
        <v>45451</v>
      </c>
      <c r="B14">
        <v>13416.837102645681</v>
      </c>
      <c r="C14">
        <v>12079.17</v>
      </c>
      <c r="D14">
        <v>1337.6671026456841</v>
      </c>
    </row>
    <row r="15" spans="1:4" x14ac:dyDescent="0.2">
      <c r="A15" s="29">
        <v>45450</v>
      </c>
      <c r="B15">
        <v>13780.173275465409</v>
      </c>
      <c r="C15">
        <v>12079.17</v>
      </c>
      <c r="D15">
        <v>1701.003275465413</v>
      </c>
    </row>
    <row r="16" spans="1:4" x14ac:dyDescent="0.2">
      <c r="A16" s="29">
        <v>45449</v>
      </c>
      <c r="B16">
        <v>14670.90455504895</v>
      </c>
      <c r="C16">
        <v>12079.17</v>
      </c>
      <c r="D16">
        <v>2591.7345550489522</v>
      </c>
    </row>
    <row r="17" spans="1:4" x14ac:dyDescent="0.2">
      <c r="A17" s="29">
        <v>45448</v>
      </c>
      <c r="B17">
        <v>14976.642591014261</v>
      </c>
      <c r="C17">
        <v>12079.17</v>
      </c>
      <c r="D17">
        <v>2897.4725910142588</v>
      </c>
    </row>
    <row r="18" spans="1:4" x14ac:dyDescent="0.2">
      <c r="A18" s="29">
        <v>45447</v>
      </c>
      <c r="B18">
        <v>14811.59687903437</v>
      </c>
      <c r="C18">
        <v>12079.17</v>
      </c>
      <c r="D18">
        <v>2732.426879034369</v>
      </c>
    </row>
    <row r="19" spans="1:4" x14ac:dyDescent="0.2">
      <c r="A19" s="29">
        <v>45446</v>
      </c>
      <c r="B19">
        <v>14622.69126887596</v>
      </c>
      <c r="C19">
        <v>12079.17</v>
      </c>
      <c r="D19">
        <v>2543.5212688759598</v>
      </c>
    </row>
    <row r="20" spans="1:4" x14ac:dyDescent="0.2">
      <c r="A20" s="29">
        <v>45445</v>
      </c>
      <c r="B20">
        <v>14384.57373482752</v>
      </c>
      <c r="C20">
        <v>12079.17</v>
      </c>
      <c r="D20">
        <v>2305.403734827521</v>
      </c>
    </row>
    <row r="21" spans="1:4" x14ac:dyDescent="0.2">
      <c r="A21" s="29">
        <v>45444</v>
      </c>
      <c r="B21">
        <v>14500.151241651251</v>
      </c>
      <c r="C21">
        <v>12079.17</v>
      </c>
      <c r="D21">
        <v>2420.9812416512518</v>
      </c>
    </row>
    <row r="22" spans="1:4" x14ac:dyDescent="0.2">
      <c r="A22" s="29">
        <v>45443</v>
      </c>
      <c r="B22">
        <v>14532.13965668809</v>
      </c>
      <c r="C22">
        <v>12079.17</v>
      </c>
      <c r="D22">
        <v>2452.969656688088</v>
      </c>
    </row>
    <row r="23" spans="1:4" x14ac:dyDescent="0.2">
      <c r="A23" s="29">
        <v>45442</v>
      </c>
      <c r="B23">
        <v>14574.575027411011</v>
      </c>
      <c r="C23">
        <v>12079.17</v>
      </c>
      <c r="D23">
        <v>2495.4050274110068</v>
      </c>
    </row>
    <row r="24" spans="1:4" x14ac:dyDescent="0.2">
      <c r="A24" s="29">
        <v>45441</v>
      </c>
      <c r="B24">
        <v>14823.457656903651</v>
      </c>
      <c r="C24">
        <v>12079.17</v>
      </c>
      <c r="D24">
        <v>2744.2876569036471</v>
      </c>
    </row>
    <row r="25" spans="1:4" x14ac:dyDescent="0.2">
      <c r="A25" s="29">
        <v>45440</v>
      </c>
      <c r="B25">
        <v>14985.63244934555</v>
      </c>
      <c r="C25">
        <v>12079.17</v>
      </c>
      <c r="D25">
        <v>2906.462449345549</v>
      </c>
    </row>
    <row r="26" spans="1:4" x14ac:dyDescent="0.2">
      <c r="A26" s="29">
        <v>45439</v>
      </c>
      <c r="B26">
        <v>15258.62467680714</v>
      </c>
      <c r="C26">
        <v>12079.17</v>
      </c>
      <c r="D26">
        <v>3179.4546768071382</v>
      </c>
    </row>
    <row r="27" spans="1:4" x14ac:dyDescent="0.2">
      <c r="A27" s="29">
        <v>45438</v>
      </c>
      <c r="B27">
        <v>15187.259467923441</v>
      </c>
      <c r="C27">
        <v>12079.17</v>
      </c>
      <c r="D27">
        <v>3108.0894679234389</v>
      </c>
    </row>
    <row r="28" spans="1:4" x14ac:dyDescent="0.2">
      <c r="A28" s="29">
        <v>45437</v>
      </c>
      <c r="B28">
        <v>15490.784590982081</v>
      </c>
      <c r="C28">
        <v>12079.17</v>
      </c>
      <c r="D28">
        <v>3411.614590982083</v>
      </c>
    </row>
    <row r="29" spans="1:4" x14ac:dyDescent="0.2">
      <c r="A29" s="29">
        <v>45436</v>
      </c>
      <c r="B29">
        <v>15364.71226833111</v>
      </c>
      <c r="C29">
        <v>12079.17</v>
      </c>
      <c r="D29">
        <v>3285.5422683311099</v>
      </c>
    </row>
    <row r="30" spans="1:4" x14ac:dyDescent="0.2">
      <c r="A30" s="29">
        <v>45435</v>
      </c>
      <c r="B30">
        <v>15359.760903352641</v>
      </c>
      <c r="C30">
        <v>12079.17</v>
      </c>
      <c r="D30">
        <v>3280.5909033526418</v>
      </c>
    </row>
    <row r="31" spans="1:4" x14ac:dyDescent="0.2">
      <c r="A31" s="29">
        <v>45434</v>
      </c>
      <c r="B31">
        <v>15695.313543307489</v>
      </c>
      <c r="C31">
        <v>12079.17</v>
      </c>
      <c r="D31">
        <v>3616.143543307493</v>
      </c>
    </row>
    <row r="32" spans="1:4" x14ac:dyDescent="0.2">
      <c r="A32" s="29">
        <v>45433</v>
      </c>
      <c r="B32">
        <v>15979.55357879433</v>
      </c>
      <c r="C32">
        <v>12079.17</v>
      </c>
      <c r="D32">
        <v>3900.3835787943281</v>
      </c>
    </row>
    <row r="33" spans="1:4" x14ac:dyDescent="0.2">
      <c r="A33" s="29">
        <v>45432</v>
      </c>
      <c r="B33">
        <v>16178.62546577891</v>
      </c>
      <c r="C33">
        <v>12079.17</v>
      </c>
      <c r="D33">
        <v>4099.4554657789104</v>
      </c>
    </row>
    <row r="34" spans="1:4" x14ac:dyDescent="0.2">
      <c r="A34" s="29">
        <v>45431</v>
      </c>
      <c r="B34">
        <v>15299.519233658561</v>
      </c>
      <c r="C34">
        <v>12079.17</v>
      </c>
      <c r="D34">
        <v>3220.34923365856</v>
      </c>
    </row>
    <row r="35" spans="1:4" x14ac:dyDescent="0.2">
      <c r="A35" s="29">
        <v>45430</v>
      </c>
      <c r="B35">
        <v>15734.60794400793</v>
      </c>
      <c r="C35">
        <v>12079.17</v>
      </c>
      <c r="D35">
        <v>3655.4379440079342</v>
      </c>
    </row>
    <row r="36" spans="1:4" x14ac:dyDescent="0.2">
      <c r="A36" s="29">
        <v>45429</v>
      </c>
      <c r="B36">
        <v>15803.820908479651</v>
      </c>
      <c r="C36">
        <v>12079.17</v>
      </c>
      <c r="D36">
        <v>3724.6509084796512</v>
      </c>
    </row>
    <row r="37" spans="1:4" x14ac:dyDescent="0.2">
      <c r="A37" s="29">
        <v>45428</v>
      </c>
      <c r="B37">
        <v>15496.588981141211</v>
      </c>
      <c r="C37">
        <v>12079.17</v>
      </c>
      <c r="D37">
        <v>3417.4189811412089</v>
      </c>
    </row>
    <row r="38" spans="1:4" x14ac:dyDescent="0.2">
      <c r="A38" s="29">
        <v>45427</v>
      </c>
      <c r="B38">
        <v>15419.15834117898</v>
      </c>
      <c r="C38">
        <v>12079.17</v>
      </c>
      <c r="D38">
        <v>3339.988341178981</v>
      </c>
    </row>
    <row r="39" spans="1:4" x14ac:dyDescent="0.2">
      <c r="A39" s="29">
        <v>45426</v>
      </c>
      <c r="B39">
        <v>14706.43437321439</v>
      </c>
      <c r="C39">
        <v>12079.17</v>
      </c>
      <c r="D39">
        <v>2627.2643732143902</v>
      </c>
    </row>
    <row r="40" spans="1:4" x14ac:dyDescent="0.2">
      <c r="A40" s="29">
        <v>45425</v>
      </c>
      <c r="B40">
        <v>14955.95883130987</v>
      </c>
      <c r="C40">
        <v>12079.17</v>
      </c>
      <c r="D40">
        <v>2876.788831309867</v>
      </c>
    </row>
    <row r="41" spans="1:4" x14ac:dyDescent="0.2">
      <c r="A41" s="29">
        <v>45424</v>
      </c>
      <c r="B41">
        <v>14984.53764992829</v>
      </c>
      <c r="C41">
        <v>12079.17</v>
      </c>
      <c r="D41">
        <v>2905.3676499282901</v>
      </c>
    </row>
    <row r="42" spans="1:4" x14ac:dyDescent="0.2">
      <c r="A42" s="29">
        <v>45423</v>
      </c>
      <c r="B42">
        <v>14888.9387523654</v>
      </c>
      <c r="C42">
        <v>12079.17</v>
      </c>
      <c r="D42">
        <v>2809.7687523653972</v>
      </c>
    </row>
    <row r="43" spans="1:4" x14ac:dyDescent="0.2">
      <c r="A43" s="29">
        <v>45422</v>
      </c>
      <c r="B43">
        <v>14785.124578337451</v>
      </c>
      <c r="C43">
        <v>12079.17</v>
      </c>
      <c r="D43">
        <v>2705.954578337451</v>
      </c>
    </row>
    <row r="44" spans="1:4" x14ac:dyDescent="0.2">
      <c r="A44" s="29">
        <v>45421</v>
      </c>
      <c r="B44">
        <v>15413.780163714229</v>
      </c>
      <c r="C44">
        <v>12079.17</v>
      </c>
      <c r="D44">
        <v>3334.610163714226</v>
      </c>
    </row>
    <row r="45" spans="1:4" x14ac:dyDescent="0.2">
      <c r="A45" s="29">
        <v>45420</v>
      </c>
      <c r="B45">
        <v>15013.44579377116</v>
      </c>
      <c r="C45">
        <v>12079.17</v>
      </c>
      <c r="D45">
        <v>2934.2757937711649</v>
      </c>
    </row>
    <row r="46" spans="1:4" x14ac:dyDescent="0.2">
      <c r="A46" s="29">
        <v>45419</v>
      </c>
      <c r="B46">
        <v>15239.104013174519</v>
      </c>
      <c r="C46">
        <v>12079.17</v>
      </c>
      <c r="D46">
        <v>3159.934013174518</v>
      </c>
    </row>
    <row r="47" spans="1:4" x14ac:dyDescent="0.2">
      <c r="A47" s="29">
        <v>45418</v>
      </c>
      <c r="B47">
        <v>15921.79318523146</v>
      </c>
      <c r="C47">
        <v>12079.17</v>
      </c>
      <c r="D47">
        <v>3842.62318523146</v>
      </c>
    </row>
    <row r="48" spans="1:4" x14ac:dyDescent="0.2">
      <c r="A48" s="29">
        <v>45417</v>
      </c>
      <c r="B48">
        <v>15470.09002804541</v>
      </c>
      <c r="C48">
        <v>12079.17</v>
      </c>
      <c r="D48">
        <v>3390.9200280454079</v>
      </c>
    </row>
    <row r="49" spans="1:4" x14ac:dyDescent="0.2">
      <c r="A49" s="29">
        <v>45416</v>
      </c>
      <c r="B49">
        <v>15389.54720176209</v>
      </c>
      <c r="C49">
        <v>12079.17</v>
      </c>
      <c r="D49">
        <v>3310.377201762094</v>
      </c>
    </row>
    <row r="50" spans="1:4" x14ac:dyDescent="0.2">
      <c r="A50" s="29">
        <v>45415</v>
      </c>
      <c r="B50">
        <v>15610.77919020534</v>
      </c>
      <c r="C50">
        <v>12079.17</v>
      </c>
      <c r="D50">
        <v>3531.609190205339</v>
      </c>
    </row>
    <row r="51" spans="1:4" x14ac:dyDescent="0.2">
      <c r="A51" s="29">
        <v>45414</v>
      </c>
      <c r="B51">
        <v>14557.239591926529</v>
      </c>
      <c r="C51">
        <v>12079.17</v>
      </c>
      <c r="D51">
        <v>2478.0695919265249</v>
      </c>
    </row>
    <row r="52" spans="1:4" x14ac:dyDescent="0.2">
      <c r="A52" s="29">
        <v>45413</v>
      </c>
      <c r="B52">
        <v>14463.247832623951</v>
      </c>
      <c r="C52">
        <v>12079.17</v>
      </c>
      <c r="D52">
        <v>2384.0778326239488</v>
      </c>
    </row>
    <row r="53" spans="1:4" x14ac:dyDescent="0.2">
      <c r="A53" s="29">
        <v>45412</v>
      </c>
      <c r="B53">
        <v>13767.601553314969</v>
      </c>
      <c r="C53">
        <v>12079.17</v>
      </c>
      <c r="D53">
        <v>1688.4315533149661</v>
      </c>
    </row>
    <row r="54" spans="1:4" x14ac:dyDescent="0.2">
      <c r="A54" s="29">
        <v>45411</v>
      </c>
      <c r="B54">
        <v>14734.087471593981</v>
      </c>
      <c r="C54">
        <v>12079.17</v>
      </c>
      <c r="D54">
        <v>2654.9174715939839</v>
      </c>
    </row>
    <row r="55" spans="1:4" x14ac:dyDescent="0.2">
      <c r="A55" s="29">
        <v>45410</v>
      </c>
      <c r="B55">
        <v>14706.677032783209</v>
      </c>
      <c r="C55">
        <v>12079.17</v>
      </c>
      <c r="D55">
        <v>2627.5070327832132</v>
      </c>
    </row>
    <row r="56" spans="1:4" x14ac:dyDescent="0.2">
      <c r="A56" s="29">
        <v>45409</v>
      </c>
      <c r="B56">
        <v>15061.88203075303</v>
      </c>
      <c r="C56">
        <v>12079.17</v>
      </c>
      <c r="D56">
        <v>2982.712030753029</v>
      </c>
    </row>
    <row r="57" spans="1:4" x14ac:dyDescent="0.2">
      <c r="A57" s="29">
        <v>45408</v>
      </c>
      <c r="B57">
        <v>15496.15458852528</v>
      </c>
      <c r="C57">
        <v>12084.38</v>
      </c>
      <c r="D57">
        <v>3411.7745885252812</v>
      </c>
    </row>
    <row r="58" spans="1:4" x14ac:dyDescent="0.2">
      <c r="A58" s="29">
        <v>45407</v>
      </c>
      <c r="B58">
        <v>16160.041262124259</v>
      </c>
      <c r="C58">
        <v>12084.38</v>
      </c>
      <c r="D58">
        <v>4075.6612621242621</v>
      </c>
    </row>
    <row r="59" spans="1:4" x14ac:dyDescent="0.2">
      <c r="A59" s="29">
        <v>45406</v>
      </c>
      <c r="B59">
        <v>16576.907821389501</v>
      </c>
      <c r="C59">
        <v>12084.38</v>
      </c>
      <c r="D59">
        <v>4492.5278213894962</v>
      </c>
    </row>
    <row r="60" spans="1:4" x14ac:dyDescent="0.2">
      <c r="A60" s="29">
        <v>45405</v>
      </c>
      <c r="B60">
        <v>19450.477446544199</v>
      </c>
      <c r="C60">
        <v>12084.38</v>
      </c>
      <c r="D60">
        <v>7366.0974465441941</v>
      </c>
    </row>
    <row r="61" spans="1:4" x14ac:dyDescent="0.2">
      <c r="A61" s="29">
        <v>45404</v>
      </c>
      <c r="B61">
        <v>14197.83118124131</v>
      </c>
      <c r="C61">
        <v>12084.38</v>
      </c>
      <c r="D61">
        <v>2113.451181241313</v>
      </c>
    </row>
    <row r="62" spans="1:4" x14ac:dyDescent="0.2">
      <c r="A62" s="29">
        <v>45403</v>
      </c>
      <c r="B62">
        <v>13651.20568076482</v>
      </c>
      <c r="C62">
        <v>12084.38</v>
      </c>
      <c r="D62">
        <v>1566.8256807648229</v>
      </c>
    </row>
    <row r="63" spans="1:4" x14ac:dyDescent="0.2">
      <c r="A63" s="29">
        <v>45402</v>
      </c>
      <c r="B63">
        <v>13566.557838140739</v>
      </c>
      <c r="C63">
        <v>12084.38</v>
      </c>
      <c r="D63">
        <v>1482.177838140735</v>
      </c>
    </row>
    <row r="64" spans="1:4" x14ac:dyDescent="0.2">
      <c r="A64" s="29">
        <v>45401</v>
      </c>
      <c r="B64">
        <v>12760.85825858094</v>
      </c>
      <c r="C64">
        <v>12084.38</v>
      </c>
      <c r="D64">
        <v>676.47825858093711</v>
      </c>
    </row>
    <row r="65" spans="1:4" x14ac:dyDescent="0.2">
      <c r="A65" s="29">
        <v>45400</v>
      </c>
      <c r="B65">
        <v>12174.560308548191</v>
      </c>
      <c r="C65">
        <v>12084.38</v>
      </c>
      <c r="D65">
        <v>90.180308548193366</v>
      </c>
    </row>
    <row r="66" spans="1:4" x14ac:dyDescent="0.2">
      <c r="A66" s="29">
        <v>45399</v>
      </c>
      <c r="B66">
        <v>12441.53653356299</v>
      </c>
      <c r="C66">
        <v>12084.38</v>
      </c>
      <c r="D66">
        <v>357.15653356299299</v>
      </c>
    </row>
    <row r="67" spans="1:4" x14ac:dyDescent="0.2">
      <c r="A67" s="29">
        <v>45398</v>
      </c>
      <c r="B67">
        <v>12603.069567948791</v>
      </c>
      <c r="C67">
        <v>12084.38</v>
      </c>
      <c r="D67">
        <v>518.68956794878432</v>
      </c>
    </row>
    <row r="68" spans="1:4" x14ac:dyDescent="0.2">
      <c r="A68" s="29">
        <v>45397</v>
      </c>
      <c r="B68">
        <v>12591.433373951</v>
      </c>
      <c r="C68">
        <v>12084.38</v>
      </c>
      <c r="D68">
        <v>507.05337395099917</v>
      </c>
    </row>
    <row r="69" spans="1:4" x14ac:dyDescent="0.2">
      <c r="A69" s="29">
        <v>45396</v>
      </c>
      <c r="B69">
        <v>13016.507162003651</v>
      </c>
      <c r="C69">
        <v>12084.38</v>
      </c>
      <c r="D69">
        <v>932.12716200364775</v>
      </c>
    </row>
    <row r="70" spans="1:4" x14ac:dyDescent="0.2">
      <c r="A70" s="29">
        <v>45395</v>
      </c>
      <c r="B70">
        <v>12360.264909336411</v>
      </c>
      <c r="C70">
        <v>12084.38</v>
      </c>
      <c r="D70">
        <v>275.88490933640787</v>
      </c>
    </row>
    <row r="71" spans="1:4" x14ac:dyDescent="0.2">
      <c r="A71" s="29">
        <v>45394</v>
      </c>
      <c r="B71">
        <v>13886.68416236974</v>
      </c>
      <c r="C71">
        <v>12084.38</v>
      </c>
      <c r="D71">
        <v>1802.304162369735</v>
      </c>
    </row>
    <row r="72" spans="1:4" x14ac:dyDescent="0.2">
      <c r="A72" s="29">
        <v>45393</v>
      </c>
      <c r="B72">
        <v>15615.14354384155</v>
      </c>
      <c r="C72">
        <v>12084.38</v>
      </c>
      <c r="D72">
        <v>3530.7635438415509</v>
      </c>
    </row>
    <row r="73" spans="1:4" x14ac:dyDescent="0.2">
      <c r="A73" s="29">
        <v>45392</v>
      </c>
      <c r="B73">
        <v>15903.5310853049</v>
      </c>
      <c r="C73">
        <v>12084.38</v>
      </c>
      <c r="D73">
        <v>3819.151085304904</v>
      </c>
    </row>
    <row r="74" spans="1:4" x14ac:dyDescent="0.2">
      <c r="A74" s="29">
        <v>45391</v>
      </c>
      <c r="B74">
        <v>15967.64412229779</v>
      </c>
      <c r="C74">
        <v>12084.38</v>
      </c>
      <c r="D74">
        <v>3883.2641222977909</v>
      </c>
    </row>
    <row r="75" spans="1:4" x14ac:dyDescent="0.2">
      <c r="A75" s="29">
        <v>45390</v>
      </c>
      <c r="B75">
        <v>16477.391104747039</v>
      </c>
      <c r="C75">
        <v>12084.38</v>
      </c>
      <c r="D75">
        <v>4393.0111047470418</v>
      </c>
    </row>
    <row r="76" spans="1:4" x14ac:dyDescent="0.2">
      <c r="A76" s="29">
        <v>45389</v>
      </c>
      <c r="B76">
        <v>15922.128083149941</v>
      </c>
      <c r="C76">
        <v>12084.38</v>
      </c>
      <c r="D76">
        <v>3837.7480831499379</v>
      </c>
    </row>
    <row r="77" spans="1:4" x14ac:dyDescent="0.2">
      <c r="A77" s="29">
        <v>45388</v>
      </c>
      <c r="B77">
        <v>15923.414353000629</v>
      </c>
      <c r="C77">
        <v>12084.38</v>
      </c>
      <c r="D77">
        <v>3839.0343530006321</v>
      </c>
    </row>
    <row r="78" spans="1:4" x14ac:dyDescent="0.2">
      <c r="A78" s="29">
        <v>45387</v>
      </c>
      <c r="B78">
        <v>15766.353115084979</v>
      </c>
      <c r="C78">
        <v>12084.38</v>
      </c>
      <c r="D78">
        <v>3681.9731150849839</v>
      </c>
    </row>
    <row r="79" spans="1:4" x14ac:dyDescent="0.2">
      <c r="A79" s="29">
        <v>45386</v>
      </c>
      <c r="B79">
        <v>15865.293281397901</v>
      </c>
      <c r="C79">
        <v>12084.38</v>
      </c>
      <c r="D79">
        <v>3780.9132813978958</v>
      </c>
    </row>
    <row r="80" spans="1:4" x14ac:dyDescent="0.2">
      <c r="A80" s="29">
        <v>45385</v>
      </c>
      <c r="B80">
        <v>15454.691850456171</v>
      </c>
      <c r="C80">
        <v>12084.38</v>
      </c>
      <c r="D80">
        <v>3370.311850456168</v>
      </c>
    </row>
    <row r="81" spans="1:4" x14ac:dyDescent="0.2">
      <c r="A81" s="29">
        <v>45384</v>
      </c>
      <c r="B81">
        <v>15628.39592822707</v>
      </c>
      <c r="C81">
        <v>12084.38</v>
      </c>
      <c r="D81">
        <v>3544.015928227072</v>
      </c>
    </row>
    <row r="82" spans="1:4" x14ac:dyDescent="0.2">
      <c r="A82" s="29">
        <v>45383</v>
      </c>
      <c r="B82">
        <v>16480.621473743031</v>
      </c>
      <c r="C82">
        <v>12084.38</v>
      </c>
      <c r="D82">
        <v>4396.2414737430336</v>
      </c>
    </row>
    <row r="83" spans="1:4" x14ac:dyDescent="0.2">
      <c r="A83" s="29">
        <v>45382</v>
      </c>
      <c r="B83">
        <v>17152.75965003555</v>
      </c>
      <c r="C83">
        <v>12084.38</v>
      </c>
      <c r="D83">
        <v>5068.3796500355493</v>
      </c>
    </row>
    <row r="84" spans="1:4" x14ac:dyDescent="0.2">
      <c r="A84" s="29">
        <v>45381</v>
      </c>
      <c r="B84">
        <v>16885.294168204469</v>
      </c>
      <c r="C84">
        <v>12084.38</v>
      </c>
      <c r="D84">
        <v>4800.9141682044719</v>
      </c>
    </row>
    <row r="85" spans="1:4" x14ac:dyDescent="0.2">
      <c r="A85" s="29">
        <v>45380</v>
      </c>
      <c r="B85">
        <v>17218.471402921248</v>
      </c>
      <c r="C85">
        <v>12084.38</v>
      </c>
      <c r="D85">
        <v>5134.0914029212508</v>
      </c>
    </row>
    <row r="86" spans="1:4" x14ac:dyDescent="0.2">
      <c r="A86" s="29">
        <v>45379</v>
      </c>
      <c r="B86">
        <v>17130.414550736768</v>
      </c>
      <c r="C86">
        <v>12084.38</v>
      </c>
      <c r="D86">
        <v>5046.0345507367711</v>
      </c>
    </row>
    <row r="87" spans="1:4" x14ac:dyDescent="0.2">
      <c r="A87" s="29">
        <v>45378</v>
      </c>
      <c r="B87">
        <v>16782.47822208485</v>
      </c>
      <c r="C87">
        <v>12084.38</v>
      </c>
      <c r="D87">
        <v>4698.0982220848446</v>
      </c>
    </row>
    <row r="88" spans="1:4" x14ac:dyDescent="0.2">
      <c r="A88" s="29">
        <v>45377</v>
      </c>
      <c r="B88">
        <v>17562.387656364779</v>
      </c>
      <c r="C88">
        <v>12084.38</v>
      </c>
      <c r="D88">
        <v>5478.0076563647781</v>
      </c>
    </row>
    <row r="89" spans="1:4" x14ac:dyDescent="0.2">
      <c r="A89" s="29">
        <v>45376</v>
      </c>
      <c r="B89">
        <v>17380.77704715055</v>
      </c>
      <c r="C89">
        <v>12084.38</v>
      </c>
      <c r="D89">
        <v>5296.397047150549</v>
      </c>
    </row>
    <row r="90" spans="1:4" x14ac:dyDescent="0.2">
      <c r="A90" s="29">
        <v>45375</v>
      </c>
      <c r="B90">
        <v>16732.179677034779</v>
      </c>
      <c r="C90">
        <v>12084.38</v>
      </c>
      <c r="D90">
        <v>4647.7996770347754</v>
      </c>
    </row>
    <row r="91" spans="1:4" x14ac:dyDescent="0.2">
      <c r="A91" s="29">
        <v>45374</v>
      </c>
      <c r="B91">
        <v>16302.038591817231</v>
      </c>
      <c r="C91">
        <v>12084.38</v>
      </c>
      <c r="D91">
        <v>4217.6585918172277</v>
      </c>
    </row>
    <row r="92" spans="1:4" x14ac:dyDescent="0.2">
      <c r="A92" s="29">
        <v>45373</v>
      </c>
      <c r="B92">
        <v>16147.3063083257</v>
      </c>
      <c r="C92">
        <v>12084.38</v>
      </c>
      <c r="D92">
        <v>4062.926308325696</v>
      </c>
    </row>
    <row r="93" spans="1:4" x14ac:dyDescent="0.2">
      <c r="A93" s="29">
        <v>45372</v>
      </c>
      <c r="B93">
        <v>16836.62087441286</v>
      </c>
      <c r="C93">
        <v>12084.38</v>
      </c>
      <c r="D93">
        <v>4752.2408744128588</v>
      </c>
    </row>
    <row r="94" spans="1:4" x14ac:dyDescent="0.2">
      <c r="A94" s="29">
        <v>45371</v>
      </c>
      <c r="B94">
        <v>16588.789790804662</v>
      </c>
      <c r="C94">
        <v>12084.38</v>
      </c>
      <c r="D94">
        <v>4504.4097908046606</v>
      </c>
    </row>
    <row r="95" spans="1:4" x14ac:dyDescent="0.2">
      <c r="A95" s="29">
        <v>45370</v>
      </c>
      <c r="B95">
        <v>15444.61691712735</v>
      </c>
      <c r="C95">
        <v>12084.38</v>
      </c>
      <c r="D95">
        <v>3360.2369171273481</v>
      </c>
    </row>
    <row r="96" spans="1:4" x14ac:dyDescent="0.2">
      <c r="A96" s="29">
        <v>45369</v>
      </c>
      <c r="B96">
        <v>17145.48051589328</v>
      </c>
      <c r="C96">
        <v>12084.38</v>
      </c>
      <c r="D96">
        <v>5061.1005158932749</v>
      </c>
    </row>
    <row r="97" spans="1:4" x14ac:dyDescent="0.2">
      <c r="A97" s="29">
        <v>45368</v>
      </c>
      <c r="B97">
        <v>17089.592187954731</v>
      </c>
      <c r="C97">
        <v>12084.38</v>
      </c>
      <c r="D97">
        <v>5005.2121879547303</v>
      </c>
    </row>
    <row r="98" spans="1:4" x14ac:dyDescent="0.2">
      <c r="A98" s="29">
        <v>45367</v>
      </c>
      <c r="B98">
        <v>16395.949765043672</v>
      </c>
      <c r="C98">
        <v>12084.38</v>
      </c>
      <c r="D98">
        <v>4311.5697650436696</v>
      </c>
    </row>
    <row r="99" spans="1:4" x14ac:dyDescent="0.2">
      <c r="A99" s="29">
        <v>45366</v>
      </c>
      <c r="B99">
        <v>17597.46511288944</v>
      </c>
      <c r="C99">
        <v>12084.38</v>
      </c>
      <c r="D99">
        <v>5513.0851128894392</v>
      </c>
    </row>
    <row r="100" spans="1:4" x14ac:dyDescent="0.2">
      <c r="A100" s="29">
        <v>45365</v>
      </c>
      <c r="B100">
        <v>18567.383130602509</v>
      </c>
      <c r="C100">
        <v>12084.38</v>
      </c>
      <c r="D100">
        <v>6483.0031306025076</v>
      </c>
    </row>
    <row r="101" spans="1:4" x14ac:dyDescent="0.2">
      <c r="A101" s="29">
        <v>45364</v>
      </c>
      <c r="B101">
        <v>19257.31695295528</v>
      </c>
      <c r="C101">
        <v>12084.38</v>
      </c>
      <c r="D101">
        <v>7172.9369529552823</v>
      </c>
    </row>
    <row r="102" spans="1:4" x14ac:dyDescent="0.2">
      <c r="A102" s="29">
        <v>45363</v>
      </c>
      <c r="B102">
        <v>19291.2571991121</v>
      </c>
      <c r="C102">
        <v>12084.38</v>
      </c>
      <c r="D102">
        <v>7206.8771991120957</v>
      </c>
    </row>
    <row r="103" spans="1:4" x14ac:dyDescent="0.2">
      <c r="A103" s="29">
        <v>45362</v>
      </c>
      <c r="B103">
        <v>19612.843270664569</v>
      </c>
      <c r="C103">
        <v>12084.38</v>
      </c>
      <c r="D103">
        <v>7528.4632706645716</v>
      </c>
    </row>
    <row r="104" spans="1:4" x14ac:dyDescent="0.2">
      <c r="A104" s="29">
        <v>45361</v>
      </c>
      <c r="B104">
        <v>17730.58766639583</v>
      </c>
      <c r="C104">
        <v>12084.38</v>
      </c>
      <c r="D104">
        <v>5646.2076663958251</v>
      </c>
    </row>
    <row r="105" spans="1:4" x14ac:dyDescent="0.2">
      <c r="A105" s="29">
        <v>45360</v>
      </c>
      <c r="B105">
        <v>18285.781809238691</v>
      </c>
      <c r="C105">
        <v>12084.38</v>
      </c>
      <c r="D105">
        <v>6201.4018092386896</v>
      </c>
    </row>
    <row r="106" spans="1:4" x14ac:dyDescent="0.2">
      <c r="A106" s="29">
        <v>45359</v>
      </c>
      <c r="B106">
        <v>18275.18309604314</v>
      </c>
      <c r="C106">
        <v>12084.38</v>
      </c>
      <c r="D106">
        <v>6190.8030960431388</v>
      </c>
    </row>
    <row r="107" spans="1:4" x14ac:dyDescent="0.2">
      <c r="A107" s="29">
        <v>45358</v>
      </c>
      <c r="B107">
        <v>18630.100979451399</v>
      </c>
      <c r="C107">
        <v>12084.38</v>
      </c>
      <c r="D107">
        <v>6545.7209794513983</v>
      </c>
    </row>
    <row r="108" spans="1:4" x14ac:dyDescent="0.2">
      <c r="A108" s="29">
        <v>45357</v>
      </c>
      <c r="B108">
        <v>17789.341222581199</v>
      </c>
      <c r="C108">
        <v>12084.38</v>
      </c>
      <c r="D108">
        <v>5704.9612225811943</v>
      </c>
    </row>
    <row r="109" spans="1:4" x14ac:dyDescent="0.2">
      <c r="A109" s="29">
        <v>45356</v>
      </c>
      <c r="B109">
        <v>16444.294929952968</v>
      </c>
      <c r="C109">
        <v>12084.38</v>
      </c>
      <c r="D109">
        <v>4359.9149299529672</v>
      </c>
    </row>
    <row r="110" spans="1:4" x14ac:dyDescent="0.2">
      <c r="A110" s="29">
        <v>45355</v>
      </c>
      <c r="B110">
        <v>17591.332205708699</v>
      </c>
      <c r="C110">
        <v>12084.38</v>
      </c>
      <c r="D110">
        <v>5506.9522057086979</v>
      </c>
    </row>
    <row r="111" spans="1:4" x14ac:dyDescent="0.2">
      <c r="A111" s="29">
        <v>45354</v>
      </c>
      <c r="B111">
        <v>16893.951771701541</v>
      </c>
      <c r="C111">
        <v>12084.38</v>
      </c>
      <c r="D111">
        <v>4809.5717717015359</v>
      </c>
    </row>
    <row r="112" spans="1:4" x14ac:dyDescent="0.2">
      <c r="A112" s="29">
        <v>45353</v>
      </c>
      <c r="B112">
        <v>17306.03140143189</v>
      </c>
      <c r="C112">
        <v>12084.38</v>
      </c>
      <c r="D112">
        <v>5221.6514014318846</v>
      </c>
    </row>
    <row r="113" spans="1:4" x14ac:dyDescent="0.2">
      <c r="A113" s="29">
        <v>45352</v>
      </c>
      <c r="B113">
        <v>16879.717475913589</v>
      </c>
      <c r="C113">
        <v>12084.38</v>
      </c>
      <c r="D113">
        <v>4795.3374759135877</v>
      </c>
    </row>
    <row r="114" spans="1:4" x14ac:dyDescent="0.2">
      <c r="A114" s="29">
        <v>45351</v>
      </c>
      <c r="B114">
        <v>16515.674111174249</v>
      </c>
      <c r="C114">
        <v>12084.38</v>
      </c>
      <c r="D114">
        <v>4431.2941111742512</v>
      </c>
    </row>
    <row r="115" spans="1:4" x14ac:dyDescent="0.2">
      <c r="A115" s="29">
        <v>45350</v>
      </c>
      <c r="B115">
        <v>16295.60891480912</v>
      </c>
      <c r="C115">
        <v>12084.38</v>
      </c>
      <c r="D115">
        <v>4211.2289148091222</v>
      </c>
    </row>
    <row r="116" spans="1:4" x14ac:dyDescent="0.2">
      <c r="A116" s="29">
        <v>45349</v>
      </c>
      <c r="B116">
        <v>16027.4065023444</v>
      </c>
      <c r="C116">
        <v>12084.38</v>
      </c>
      <c r="D116">
        <v>3943.0265023443972</v>
      </c>
    </row>
    <row r="117" spans="1:4" x14ac:dyDescent="0.2">
      <c r="A117" s="29">
        <v>45348</v>
      </c>
      <c r="B117">
        <v>15876.700055517251</v>
      </c>
      <c r="C117">
        <v>12084.38</v>
      </c>
      <c r="D117">
        <v>3792.3200555172521</v>
      </c>
    </row>
    <row r="118" spans="1:4" x14ac:dyDescent="0.2">
      <c r="A118" s="29">
        <v>45347</v>
      </c>
      <c r="B118">
        <v>15583.072359455349</v>
      </c>
      <c r="C118">
        <v>12084.38</v>
      </c>
      <c r="D118">
        <v>3498.692359455345</v>
      </c>
    </row>
    <row r="119" spans="1:4" x14ac:dyDescent="0.2">
      <c r="A119" s="29">
        <v>45346</v>
      </c>
      <c r="B119">
        <v>15649.49181156128</v>
      </c>
      <c r="C119">
        <v>12084.38</v>
      </c>
      <c r="D119">
        <v>3565.1118115612808</v>
      </c>
    </row>
    <row r="120" spans="1:4" x14ac:dyDescent="0.2">
      <c r="A120" s="29">
        <v>45345</v>
      </c>
      <c r="B120">
        <v>13561.782471925861</v>
      </c>
      <c r="C120">
        <v>10113.74</v>
      </c>
      <c r="D120">
        <v>3448.0424719258658</v>
      </c>
    </row>
    <row r="121" spans="1:4" x14ac:dyDescent="0.2">
      <c r="A121" s="29">
        <v>45344</v>
      </c>
      <c r="B121">
        <v>14263.24546925888</v>
      </c>
      <c r="C121">
        <v>10113.74</v>
      </c>
      <c r="D121">
        <v>4149.5054692588819</v>
      </c>
    </row>
    <row r="122" spans="1:4" x14ac:dyDescent="0.2">
      <c r="A122" s="29">
        <v>45343</v>
      </c>
      <c r="B122">
        <v>13284.16035359389</v>
      </c>
      <c r="C122">
        <v>10113.74</v>
      </c>
      <c r="D122">
        <v>3170.42035359389</v>
      </c>
    </row>
    <row r="123" spans="1:4" x14ac:dyDescent="0.2">
      <c r="A123" s="29">
        <v>45342</v>
      </c>
      <c r="B123">
        <v>13643.81172449971</v>
      </c>
      <c r="C123">
        <v>10113.74</v>
      </c>
      <c r="D123">
        <v>3530.0717244997159</v>
      </c>
    </row>
    <row r="124" spans="1:4" x14ac:dyDescent="0.2">
      <c r="A124" s="29">
        <v>45341</v>
      </c>
      <c r="B124">
        <v>13895.873277314309</v>
      </c>
      <c r="C124">
        <v>10113.74</v>
      </c>
      <c r="D124">
        <v>3782.1332773143081</v>
      </c>
    </row>
    <row r="125" spans="1:4" x14ac:dyDescent="0.2">
      <c r="A125" s="29">
        <v>45340</v>
      </c>
      <c r="B125">
        <v>12137.43328218663</v>
      </c>
      <c r="C125">
        <v>10113.74</v>
      </c>
      <c r="D125">
        <v>2023.693282186636</v>
      </c>
    </row>
    <row r="126" spans="1:4" x14ac:dyDescent="0.2">
      <c r="A126" s="29">
        <v>45339</v>
      </c>
      <c r="B126">
        <v>11563.20843205476</v>
      </c>
      <c r="C126">
        <v>10113.74</v>
      </c>
      <c r="D126">
        <v>1449.468432054766</v>
      </c>
    </row>
    <row r="127" spans="1:4" x14ac:dyDescent="0.2">
      <c r="A127" s="29">
        <v>45338</v>
      </c>
      <c r="B127">
        <v>11863.65126588734</v>
      </c>
      <c r="C127">
        <v>10113.74</v>
      </c>
      <c r="D127">
        <v>1749.9112658873421</v>
      </c>
    </row>
    <row r="128" spans="1:4" x14ac:dyDescent="0.2">
      <c r="A128" s="29">
        <v>45337</v>
      </c>
      <c r="B128">
        <v>11613.818656762231</v>
      </c>
      <c r="C128">
        <v>10113.74</v>
      </c>
      <c r="D128">
        <v>1500.078656762231</v>
      </c>
    </row>
    <row r="129" spans="1:4" x14ac:dyDescent="0.2">
      <c r="A129" s="29">
        <v>45336</v>
      </c>
      <c r="B129">
        <v>11371.637394588261</v>
      </c>
      <c r="C129">
        <v>10113.74</v>
      </c>
      <c r="D129">
        <v>1257.8973945882569</v>
      </c>
    </row>
    <row r="130" spans="1:4" x14ac:dyDescent="0.2">
      <c r="A130" s="29">
        <v>45335</v>
      </c>
      <c r="B130">
        <v>11193.701416061551</v>
      </c>
      <c r="C130">
        <v>10113.74</v>
      </c>
      <c r="D130">
        <v>1079.9614160615531</v>
      </c>
    </row>
    <row r="131" spans="1:4" x14ac:dyDescent="0.2">
      <c r="A131" s="29">
        <v>45334</v>
      </c>
      <c r="B131">
        <v>11120.22968209853</v>
      </c>
      <c r="C131">
        <v>10113.74</v>
      </c>
      <c r="D131">
        <v>1006.48968209853</v>
      </c>
    </row>
    <row r="132" spans="1:4" x14ac:dyDescent="0.2">
      <c r="A132" s="29">
        <v>45333</v>
      </c>
      <c r="B132">
        <v>10926.58711992184</v>
      </c>
      <c r="C132">
        <v>10113.74</v>
      </c>
      <c r="D132">
        <v>812.84711992184384</v>
      </c>
    </row>
    <row r="133" spans="1:4" x14ac:dyDescent="0.2">
      <c r="A133" s="29">
        <v>45332</v>
      </c>
      <c r="B133">
        <v>10961.034809831821</v>
      </c>
      <c r="C133">
        <v>10113.74</v>
      </c>
      <c r="D133">
        <v>847.29480983182657</v>
      </c>
    </row>
    <row r="134" spans="1:4" x14ac:dyDescent="0.2">
      <c r="A134" s="29">
        <v>45331</v>
      </c>
      <c r="B134">
        <v>11025.37085685381</v>
      </c>
      <c r="C134">
        <v>10113.74</v>
      </c>
      <c r="D134">
        <v>911.63085685380804</v>
      </c>
    </row>
    <row r="135" spans="1:4" x14ac:dyDescent="0.2">
      <c r="A135" s="29">
        <v>45330</v>
      </c>
      <c r="B135">
        <v>10651.412460070391</v>
      </c>
      <c r="C135">
        <v>10113.74</v>
      </c>
      <c r="D135">
        <v>537.67246007038739</v>
      </c>
    </row>
    <row r="136" spans="1:4" x14ac:dyDescent="0.2">
      <c r="A136" s="29">
        <v>45329</v>
      </c>
      <c r="B136">
        <v>10636.0469685633</v>
      </c>
      <c r="C136">
        <v>10113.74</v>
      </c>
      <c r="D136">
        <v>522.30696856330542</v>
      </c>
    </row>
    <row r="137" spans="1:4" x14ac:dyDescent="0.2">
      <c r="A137" s="29">
        <v>45328</v>
      </c>
      <c r="B137">
        <v>10478.15153579369</v>
      </c>
      <c r="C137">
        <v>10113.74</v>
      </c>
      <c r="D137">
        <v>364.41153579369171</v>
      </c>
    </row>
    <row r="138" spans="1:4" x14ac:dyDescent="0.2">
      <c r="A138" s="29">
        <v>45327</v>
      </c>
      <c r="B138">
        <v>10034.14543548085</v>
      </c>
      <c r="C138">
        <v>10113</v>
      </c>
      <c r="D138">
        <v>-78.854564519147971</v>
      </c>
    </row>
    <row r="139" spans="1:4" x14ac:dyDescent="0.2">
      <c r="A139" s="29">
        <v>45326</v>
      </c>
      <c r="B139">
        <v>9938.0793912179543</v>
      </c>
      <c r="C139">
        <v>10113</v>
      </c>
      <c r="D139">
        <v>-174.92060878204569</v>
      </c>
    </row>
    <row r="140" spans="1:4" x14ac:dyDescent="0.2">
      <c r="A140" s="29">
        <v>45325</v>
      </c>
      <c r="B140">
        <v>10143.033866931821</v>
      </c>
      <c r="C140">
        <v>10113</v>
      </c>
      <c r="D140">
        <v>30.033866931815279</v>
      </c>
    </row>
    <row r="141" spans="1:4" x14ac:dyDescent="0.2">
      <c r="A141" s="29">
        <v>45324</v>
      </c>
      <c r="B141">
        <v>10055.326241896641</v>
      </c>
      <c r="C141">
        <v>10113</v>
      </c>
      <c r="D141">
        <v>-57.673758103359432</v>
      </c>
    </row>
    <row r="142" spans="1:4" x14ac:dyDescent="0.2">
      <c r="A142" s="29">
        <v>45323</v>
      </c>
      <c r="B142">
        <v>10105.16881367773</v>
      </c>
      <c r="C142">
        <v>10113</v>
      </c>
      <c r="D142">
        <v>-7.8311863222697866</v>
      </c>
    </row>
    <row r="143" spans="1:4" x14ac:dyDescent="0.2">
      <c r="A143" s="29">
        <v>45322</v>
      </c>
      <c r="B143">
        <v>10016.30727916656</v>
      </c>
      <c r="C143">
        <v>10113</v>
      </c>
      <c r="D143">
        <v>-96.69272083344184</v>
      </c>
    </row>
    <row r="144" spans="1:4" x14ac:dyDescent="0.2">
      <c r="A144" s="29">
        <v>45321</v>
      </c>
      <c r="B144">
        <v>10364.34015468112</v>
      </c>
      <c r="C144">
        <v>10113</v>
      </c>
      <c r="D144">
        <v>251.34015468111829</v>
      </c>
    </row>
    <row r="145" spans="1:4" x14ac:dyDescent="0.2">
      <c r="A145" s="29">
        <v>45320</v>
      </c>
      <c r="B145">
        <v>10691.1761218925</v>
      </c>
      <c r="C145">
        <v>10107.67</v>
      </c>
      <c r="D145">
        <v>583.50612189250387</v>
      </c>
    </row>
    <row r="146" spans="1:4" x14ac:dyDescent="0.2">
      <c r="A146" s="29">
        <v>45319</v>
      </c>
      <c r="B146">
        <v>10510.16920993928</v>
      </c>
      <c r="C146">
        <v>10107.67</v>
      </c>
      <c r="D146">
        <v>402.49920993928032</v>
      </c>
    </row>
    <row r="147" spans="1:4" x14ac:dyDescent="0.2">
      <c r="A147" s="29">
        <v>45318</v>
      </c>
      <c r="B147">
        <v>10649.391593845021</v>
      </c>
      <c r="C147">
        <v>10107.67</v>
      </c>
      <c r="D147">
        <v>541.7215938450172</v>
      </c>
    </row>
    <row r="148" spans="1:4" x14ac:dyDescent="0.2">
      <c r="A148" s="29">
        <v>45317</v>
      </c>
      <c r="B148">
        <v>10667.646585194179</v>
      </c>
      <c r="C148">
        <v>10107.67</v>
      </c>
      <c r="D148">
        <v>559.9765851941811</v>
      </c>
    </row>
    <row r="149" spans="1:4" x14ac:dyDescent="0.2">
      <c r="A149" s="29">
        <v>45316</v>
      </c>
      <c r="B149">
        <v>10258.940591199889</v>
      </c>
      <c r="C149">
        <v>10107.67</v>
      </c>
      <c r="D149">
        <v>151.27059119988729</v>
      </c>
    </row>
    <row r="150" spans="1:4" x14ac:dyDescent="0.2">
      <c r="A150" s="29">
        <v>45315</v>
      </c>
      <c r="B150">
        <v>10370.933511508259</v>
      </c>
      <c r="C150">
        <v>10107.67</v>
      </c>
      <c r="D150">
        <v>263.2635115082594</v>
      </c>
    </row>
    <row r="151" spans="1:4" x14ac:dyDescent="0.2">
      <c r="A151" s="29">
        <v>45314</v>
      </c>
      <c r="B151">
        <v>10234.87300467814</v>
      </c>
      <c r="C151">
        <v>10107.67</v>
      </c>
      <c r="D151">
        <v>127.2030046781383</v>
      </c>
    </row>
    <row r="152" spans="1:4" x14ac:dyDescent="0.2">
      <c r="A152" s="29">
        <v>45313</v>
      </c>
      <c r="B152">
        <v>10323.10400177199</v>
      </c>
      <c r="C152">
        <v>10107.67</v>
      </c>
      <c r="D152">
        <v>215.43400177199149</v>
      </c>
    </row>
    <row r="153" spans="1:4" x14ac:dyDescent="0.2">
      <c r="A153" s="29">
        <v>45312</v>
      </c>
      <c r="B153">
        <v>10885.323843478431</v>
      </c>
      <c r="C153">
        <v>10107.67</v>
      </c>
      <c r="D153">
        <v>777.65384347842701</v>
      </c>
    </row>
    <row r="154" spans="1:4" x14ac:dyDescent="0.2">
      <c r="A154" s="29">
        <v>45311</v>
      </c>
      <c r="B154">
        <v>10998.77938722225</v>
      </c>
      <c r="C154">
        <v>10107.67</v>
      </c>
      <c r="D154">
        <v>891.10938722225546</v>
      </c>
    </row>
    <row r="155" spans="1:4" x14ac:dyDescent="0.2">
      <c r="A155" s="29">
        <v>45310</v>
      </c>
      <c r="B155">
        <v>10868.277651179371</v>
      </c>
      <c r="C155">
        <v>10107.67</v>
      </c>
      <c r="D155">
        <v>760.60765117936899</v>
      </c>
    </row>
    <row r="156" spans="1:4" x14ac:dyDescent="0.2">
      <c r="A156" s="29">
        <v>45309</v>
      </c>
      <c r="B156">
        <v>10898.59473036851</v>
      </c>
      <c r="C156">
        <v>10107.67</v>
      </c>
      <c r="D156">
        <v>790.92473036851516</v>
      </c>
    </row>
    <row r="157" spans="1:4" x14ac:dyDescent="0.2">
      <c r="A157" s="29">
        <v>45308</v>
      </c>
      <c r="B157">
        <v>11334.293298374039</v>
      </c>
      <c r="C157">
        <v>10107.67</v>
      </c>
      <c r="D157">
        <v>1226.6232983740369</v>
      </c>
    </row>
    <row r="158" spans="1:4" x14ac:dyDescent="0.2">
      <c r="A158" s="29">
        <v>45307</v>
      </c>
      <c r="B158">
        <v>11549.591594518721</v>
      </c>
      <c r="C158">
        <v>10107.67</v>
      </c>
      <c r="D158">
        <v>1441.921594518722</v>
      </c>
    </row>
    <row r="159" spans="1:4" x14ac:dyDescent="0.2">
      <c r="A159" s="29">
        <v>45306</v>
      </c>
      <c r="B159">
        <v>11316.305705637409</v>
      </c>
      <c r="C159">
        <v>10107.67</v>
      </c>
      <c r="D159">
        <v>1208.635705637409</v>
      </c>
    </row>
    <row r="160" spans="1:4" x14ac:dyDescent="0.2">
      <c r="A160" s="29">
        <v>45305</v>
      </c>
      <c r="B160">
        <v>11258.909096567961</v>
      </c>
      <c r="C160">
        <v>10107.67</v>
      </c>
      <c r="D160">
        <v>1151.239096567959</v>
      </c>
    </row>
    <row r="161" spans="1:4" x14ac:dyDescent="0.2">
      <c r="A161" s="29">
        <v>45304</v>
      </c>
      <c r="B161">
        <v>11594.80878521291</v>
      </c>
      <c r="C161">
        <v>10107.67</v>
      </c>
      <c r="D161">
        <v>1487.1387852129119</v>
      </c>
    </row>
    <row r="162" spans="1:4" x14ac:dyDescent="0.2">
      <c r="A162" s="29">
        <v>45303</v>
      </c>
      <c r="B162">
        <v>11472.1837554957</v>
      </c>
      <c r="C162">
        <v>10107.67</v>
      </c>
      <c r="D162">
        <v>1364.5137554957</v>
      </c>
    </row>
    <row r="163" spans="1:4" x14ac:dyDescent="0.2">
      <c r="A163" s="29">
        <v>45302</v>
      </c>
      <c r="B163">
        <v>12050.385866039031</v>
      </c>
      <c r="C163">
        <v>10107.67</v>
      </c>
      <c r="D163">
        <v>1942.7158660390339</v>
      </c>
    </row>
    <row r="164" spans="1:4" x14ac:dyDescent="0.2">
      <c r="A164" s="29">
        <v>45301</v>
      </c>
      <c r="B164">
        <v>12017.543972990339</v>
      </c>
      <c r="C164">
        <v>10107.67</v>
      </c>
      <c r="D164">
        <v>1909.8739729903459</v>
      </c>
    </row>
    <row r="165" spans="1:4" x14ac:dyDescent="0.2">
      <c r="A165" s="29">
        <v>45300</v>
      </c>
      <c r="B165">
        <v>11200.19391363105</v>
      </c>
      <c r="C165">
        <v>10107.67</v>
      </c>
      <c r="D165">
        <v>1092.523913631052</v>
      </c>
    </row>
    <row r="166" spans="1:4" x14ac:dyDescent="0.2">
      <c r="A166" s="29">
        <v>45299</v>
      </c>
      <c r="B166">
        <v>11648.34864640766</v>
      </c>
      <c r="C166">
        <v>10107.67</v>
      </c>
      <c r="D166">
        <v>1540.678646407659</v>
      </c>
    </row>
    <row r="167" spans="1:4" x14ac:dyDescent="0.2">
      <c r="A167" s="29">
        <v>45298</v>
      </c>
      <c r="B167">
        <v>10904.296130439991</v>
      </c>
      <c r="C167">
        <v>10107.67</v>
      </c>
      <c r="D167">
        <v>796.62613043998863</v>
      </c>
    </row>
    <row r="168" spans="1:4" x14ac:dyDescent="0.2">
      <c r="A168" s="29">
        <v>45297</v>
      </c>
      <c r="B168">
        <v>11393.19303462634</v>
      </c>
      <c r="C168">
        <v>10107.67</v>
      </c>
      <c r="D168">
        <v>1285.5230346263399</v>
      </c>
    </row>
    <row r="169" spans="1:4" x14ac:dyDescent="0.2">
      <c r="A169" s="29">
        <v>45296</v>
      </c>
      <c r="B169">
        <v>11879.299762819441</v>
      </c>
      <c r="C169">
        <v>10107.67</v>
      </c>
      <c r="D169">
        <v>1771.629762819437</v>
      </c>
    </row>
    <row r="170" spans="1:4" x14ac:dyDescent="0.2">
      <c r="A170" s="29">
        <v>45295</v>
      </c>
      <c r="B170">
        <v>12260.64380262154</v>
      </c>
      <c r="C170">
        <v>10107.67</v>
      </c>
      <c r="D170">
        <v>2152.973802621545</v>
      </c>
    </row>
    <row r="171" spans="1:4" x14ac:dyDescent="0.2">
      <c r="A171" s="29">
        <v>45294</v>
      </c>
      <c r="B171">
        <v>12245.13383786062</v>
      </c>
      <c r="C171">
        <v>10107.67</v>
      </c>
      <c r="D171">
        <v>2137.463837860621</v>
      </c>
    </row>
    <row r="172" spans="1:4" x14ac:dyDescent="0.2">
      <c r="A172" s="29">
        <v>45293</v>
      </c>
      <c r="B172">
        <v>13347.16501940245</v>
      </c>
      <c r="C172">
        <v>10107.67</v>
      </c>
      <c r="D172">
        <v>3239.49501940245</v>
      </c>
    </row>
    <row r="173" spans="1:4" x14ac:dyDescent="0.2">
      <c r="A173" s="29">
        <v>45292</v>
      </c>
      <c r="B173">
        <v>12947.83007908254</v>
      </c>
      <c r="C173">
        <v>10107.67</v>
      </c>
      <c r="D173">
        <v>2840.1600790825401</v>
      </c>
    </row>
    <row r="174" spans="1:4" x14ac:dyDescent="0.2">
      <c r="A174" s="29">
        <v>45291</v>
      </c>
      <c r="B174">
        <v>12290.362082772919</v>
      </c>
      <c r="C174">
        <v>10107.67</v>
      </c>
      <c r="D174">
        <v>2182.6920827729259</v>
      </c>
    </row>
    <row r="175" spans="1:4" x14ac:dyDescent="0.2">
      <c r="A175" s="29">
        <v>45290</v>
      </c>
      <c r="B175">
        <v>12481.769861201659</v>
      </c>
      <c r="C175">
        <v>10107.67</v>
      </c>
      <c r="D175">
        <v>2374.0998612016629</v>
      </c>
    </row>
    <row r="176" spans="1:4" x14ac:dyDescent="0.2">
      <c r="A176" s="29">
        <v>45289</v>
      </c>
      <c r="B176">
        <v>12649.83927396639</v>
      </c>
      <c r="C176">
        <v>10107.67</v>
      </c>
      <c r="D176">
        <v>2542.169273966389</v>
      </c>
    </row>
    <row r="177" spans="1:4" x14ac:dyDescent="0.2">
      <c r="A177" s="29">
        <v>45288</v>
      </c>
      <c r="B177">
        <v>12774.881816162009</v>
      </c>
      <c r="C177">
        <v>10107.67</v>
      </c>
      <c r="D177">
        <v>2667.2118161620151</v>
      </c>
    </row>
    <row r="178" spans="1:4" x14ac:dyDescent="0.2">
      <c r="A178" s="29">
        <v>45287</v>
      </c>
      <c r="B178">
        <v>13006.60806487115</v>
      </c>
      <c r="C178">
        <v>10107.67</v>
      </c>
      <c r="D178">
        <v>2898.9380648711522</v>
      </c>
    </row>
    <row r="179" spans="1:4" x14ac:dyDescent="0.2">
      <c r="A179" s="29">
        <v>45286</v>
      </c>
      <c r="B179">
        <v>12672.522174734209</v>
      </c>
      <c r="C179">
        <v>10107.67</v>
      </c>
      <c r="D179">
        <v>2564.852174734217</v>
      </c>
    </row>
    <row r="180" spans="1:4" x14ac:dyDescent="0.2">
      <c r="A180" s="29">
        <v>45285</v>
      </c>
      <c r="B180">
        <v>13142.746239323251</v>
      </c>
      <c r="C180">
        <v>10107.67</v>
      </c>
      <c r="D180">
        <v>3035.076239323254</v>
      </c>
    </row>
    <row r="181" spans="1:4" x14ac:dyDescent="0.2">
      <c r="A181" s="29">
        <v>45284</v>
      </c>
      <c r="B181">
        <v>12657.45403680088</v>
      </c>
      <c r="C181">
        <v>10107.67</v>
      </c>
      <c r="D181">
        <v>2549.7840368008801</v>
      </c>
    </row>
    <row r="182" spans="1:4" x14ac:dyDescent="0.2">
      <c r="A182" s="29">
        <v>45283</v>
      </c>
      <c r="B182">
        <v>12815.150111431731</v>
      </c>
      <c r="C182">
        <v>10107.67</v>
      </c>
      <c r="D182">
        <v>2707.4801114317361</v>
      </c>
    </row>
    <row r="183" spans="1:4" x14ac:dyDescent="0.2">
      <c r="A183" s="29">
        <v>45282</v>
      </c>
      <c r="B183">
        <v>12825.28771257796</v>
      </c>
      <c r="C183">
        <v>10107.67</v>
      </c>
      <c r="D183">
        <v>2717.6177125779609</v>
      </c>
    </row>
    <row r="184" spans="1:4" x14ac:dyDescent="0.2">
      <c r="A184" s="29">
        <v>45281</v>
      </c>
      <c r="B184">
        <v>12822.636072947271</v>
      </c>
      <c r="C184">
        <v>10104.700000000001</v>
      </c>
      <c r="D184">
        <v>2717.9360729472742</v>
      </c>
    </row>
    <row r="185" spans="1:4" x14ac:dyDescent="0.2">
      <c r="A185" s="29">
        <v>45280</v>
      </c>
      <c r="B185">
        <v>12433.37057334973</v>
      </c>
      <c r="C185">
        <v>10104.700000000001</v>
      </c>
      <c r="D185">
        <v>2328.6705733497352</v>
      </c>
    </row>
    <row r="186" spans="1:4" x14ac:dyDescent="0.2">
      <c r="A186" s="29">
        <v>45279</v>
      </c>
      <c r="B186">
        <v>11858.97661647687</v>
      </c>
      <c r="C186">
        <v>10104.700000000001</v>
      </c>
      <c r="D186">
        <v>1754.2766164768709</v>
      </c>
    </row>
    <row r="187" spans="1:4" x14ac:dyDescent="0.2">
      <c r="A187" s="29">
        <v>45278</v>
      </c>
      <c r="B187">
        <v>11760.411637300151</v>
      </c>
      <c r="C187">
        <v>10104.700000000001</v>
      </c>
      <c r="D187">
        <v>1655.71163730015</v>
      </c>
    </row>
    <row r="188" spans="1:4" x14ac:dyDescent="0.2">
      <c r="A188" s="29">
        <v>45277</v>
      </c>
      <c r="B188">
        <v>11663.423132235421</v>
      </c>
      <c r="C188">
        <v>10104.700000000001</v>
      </c>
      <c r="D188">
        <v>1558.7231322354201</v>
      </c>
    </row>
    <row r="189" spans="1:4" x14ac:dyDescent="0.2">
      <c r="A189" s="29">
        <v>45276</v>
      </c>
      <c r="B189">
        <v>11861.11292038148</v>
      </c>
      <c r="C189">
        <v>10104.700000000001</v>
      </c>
      <c r="D189">
        <v>1756.4129203814809</v>
      </c>
    </row>
    <row r="190" spans="1:4" x14ac:dyDescent="0.2">
      <c r="A190" s="29">
        <v>45275</v>
      </c>
      <c r="B190">
        <v>11835.709963896839</v>
      </c>
      <c r="C190">
        <v>10104.700000000001</v>
      </c>
      <c r="D190">
        <v>1731.0099638968441</v>
      </c>
    </row>
    <row r="191" spans="1:4" x14ac:dyDescent="0.2">
      <c r="A191" s="29">
        <v>45274</v>
      </c>
      <c r="B191">
        <v>12282.92479743255</v>
      </c>
      <c r="C191">
        <v>10104.700000000001</v>
      </c>
      <c r="D191">
        <v>2178.2247974325492</v>
      </c>
    </row>
    <row r="192" spans="1:4" x14ac:dyDescent="0.2">
      <c r="A192" s="29">
        <v>45273</v>
      </c>
      <c r="B192">
        <v>11683.926183295889</v>
      </c>
      <c r="C192">
        <v>10104.700000000001</v>
      </c>
      <c r="D192">
        <v>1579.226183295892</v>
      </c>
    </row>
    <row r="193" spans="1:4" x14ac:dyDescent="0.2">
      <c r="A193" s="29">
        <v>45272</v>
      </c>
      <c r="B193">
        <v>11508.474862555389</v>
      </c>
      <c r="C193">
        <v>10104.700000000001</v>
      </c>
      <c r="D193">
        <v>1403.774862555392</v>
      </c>
    </row>
    <row r="194" spans="1:4" x14ac:dyDescent="0.2">
      <c r="A194" s="29">
        <v>45271</v>
      </c>
      <c r="B194">
        <v>11142.806863884371</v>
      </c>
      <c r="C194">
        <v>10104.700000000001</v>
      </c>
      <c r="D194">
        <v>1038.106863884366</v>
      </c>
    </row>
    <row r="195" spans="1:4" x14ac:dyDescent="0.2">
      <c r="A195" s="29">
        <v>45270</v>
      </c>
      <c r="B195">
        <v>11836.837317052359</v>
      </c>
      <c r="C195">
        <v>10104.700000000001</v>
      </c>
      <c r="D195">
        <v>1732.137317052357</v>
      </c>
    </row>
    <row r="196" spans="1:4" x14ac:dyDescent="0.2">
      <c r="A196" s="29">
        <v>45269</v>
      </c>
      <c r="B196">
        <v>11764.85487427043</v>
      </c>
      <c r="C196">
        <v>10104.700000000001</v>
      </c>
      <c r="D196">
        <v>1660.1548742704269</v>
      </c>
    </row>
    <row r="197" spans="1:4" x14ac:dyDescent="0.2">
      <c r="A197" s="29">
        <v>45268</v>
      </c>
      <c r="B197">
        <v>11876.13907076065</v>
      </c>
      <c r="C197">
        <v>10104.700000000001</v>
      </c>
      <c r="D197">
        <v>1771.4390707606531</v>
      </c>
    </row>
    <row r="198" spans="1:4" x14ac:dyDescent="0.2">
      <c r="A198" s="29">
        <v>45267</v>
      </c>
      <c r="B198">
        <v>11198.50020851601</v>
      </c>
      <c r="C198">
        <v>10104.700000000001</v>
      </c>
      <c r="D198">
        <v>1093.8002085160081</v>
      </c>
    </row>
    <row r="199" spans="1:4" x14ac:dyDescent="0.2">
      <c r="A199" s="29">
        <v>45266</v>
      </c>
      <c r="B199">
        <v>11140.41804568555</v>
      </c>
      <c r="C199">
        <v>10101.52</v>
      </c>
      <c r="D199">
        <v>1038.89804568555</v>
      </c>
    </row>
    <row r="200" spans="1:4" x14ac:dyDescent="0.2">
      <c r="A200" s="29">
        <v>45265</v>
      </c>
      <c r="B200">
        <v>10738.02817676457</v>
      </c>
      <c r="C200">
        <v>10101.52</v>
      </c>
      <c r="D200">
        <v>636.50817676456609</v>
      </c>
    </row>
    <row r="201" spans="1:4" x14ac:dyDescent="0.2">
      <c r="A201" s="29">
        <v>45264</v>
      </c>
      <c r="B201">
        <v>10604.88062856559</v>
      </c>
      <c r="C201">
        <v>10101.52</v>
      </c>
      <c r="D201">
        <v>503.36062856558959</v>
      </c>
    </row>
    <row r="202" spans="1:4" x14ac:dyDescent="0.2">
      <c r="A202" s="29">
        <v>45263</v>
      </c>
      <c r="B202">
        <v>10453.732481992811</v>
      </c>
      <c r="C202">
        <v>10101.52</v>
      </c>
      <c r="D202">
        <v>352.21248199281041</v>
      </c>
    </row>
    <row r="203" spans="1:4" x14ac:dyDescent="0.2">
      <c r="A203" s="29">
        <v>45262</v>
      </c>
      <c r="B203">
        <v>10446.18299241199</v>
      </c>
      <c r="C203">
        <v>10101.52</v>
      </c>
      <c r="D203">
        <v>344.66299241198982</v>
      </c>
    </row>
    <row r="204" spans="1:4" x14ac:dyDescent="0.2">
      <c r="A204" s="29">
        <v>45261</v>
      </c>
      <c r="B204">
        <v>10249.65975068158</v>
      </c>
      <c r="C204">
        <v>10101.52</v>
      </c>
      <c r="D204">
        <v>148.13975068157919</v>
      </c>
    </row>
    <row r="205" spans="1:4" x14ac:dyDescent="0.2">
      <c r="A205" s="29">
        <v>45260</v>
      </c>
      <c r="B205">
        <v>10136.19096233995</v>
      </c>
      <c r="C205">
        <v>10101.52</v>
      </c>
      <c r="D205">
        <v>34.670962339949263</v>
      </c>
    </row>
    <row r="206" spans="1:4" x14ac:dyDescent="0.2">
      <c r="A206" s="29">
        <v>45259</v>
      </c>
      <c r="B206">
        <v>10154.976982975781</v>
      </c>
      <c r="C206">
        <v>10101.52</v>
      </c>
      <c r="D206">
        <v>53.456982975778367</v>
      </c>
    </row>
    <row r="207" spans="1:4" x14ac:dyDescent="0.2">
      <c r="A207" s="29">
        <v>45258</v>
      </c>
      <c r="B207">
        <v>10252.933484462121</v>
      </c>
      <c r="C207">
        <v>10101.52</v>
      </c>
      <c r="D207">
        <v>151.41348446211489</v>
      </c>
    </row>
    <row r="208" spans="1:4" x14ac:dyDescent="0.2">
      <c r="A208" s="29">
        <v>45257</v>
      </c>
      <c r="B208">
        <v>10240.342007749499</v>
      </c>
      <c r="C208">
        <v>10101.52</v>
      </c>
      <c r="D208">
        <v>138.82200774950431</v>
      </c>
    </row>
    <row r="209" spans="1:4" x14ac:dyDescent="0.2">
      <c r="A209" s="29">
        <v>45256</v>
      </c>
      <c r="B209">
        <v>10456.61645257977</v>
      </c>
      <c r="C209">
        <v>10101.52</v>
      </c>
      <c r="D209">
        <v>355.0964525797699</v>
      </c>
    </row>
    <row r="210" spans="1:4" x14ac:dyDescent="0.2">
      <c r="A210" s="29">
        <v>45255</v>
      </c>
      <c r="B210">
        <v>10563.93995438009</v>
      </c>
      <c r="C210">
        <v>10101.52</v>
      </c>
      <c r="D210">
        <v>462.41995438008962</v>
      </c>
    </row>
    <row r="211" spans="1:4" x14ac:dyDescent="0.2">
      <c r="A211" s="29">
        <v>45254</v>
      </c>
      <c r="B211">
        <v>10453.935564153269</v>
      </c>
      <c r="C211">
        <v>10101.52</v>
      </c>
      <c r="D211">
        <v>352.41556415327432</v>
      </c>
    </row>
    <row r="212" spans="1:4" x14ac:dyDescent="0.2">
      <c r="A212" s="29">
        <v>45253</v>
      </c>
      <c r="B212">
        <v>10370.558405331451</v>
      </c>
      <c r="C212">
        <v>10101.52</v>
      </c>
      <c r="D212">
        <v>269.0384053314483</v>
      </c>
    </row>
    <row r="213" spans="1:4" x14ac:dyDescent="0.2">
      <c r="A213" s="29">
        <v>45252</v>
      </c>
      <c r="B213">
        <v>10377.209684921751</v>
      </c>
      <c r="C213">
        <v>10101.52</v>
      </c>
      <c r="D213">
        <v>275.68968492175372</v>
      </c>
    </row>
    <row r="214" spans="1:4" x14ac:dyDescent="0.2">
      <c r="A214" s="29">
        <v>45251</v>
      </c>
      <c r="B214">
        <v>9800.3433959968752</v>
      </c>
      <c r="C214">
        <v>10101.52</v>
      </c>
      <c r="D214">
        <v>-301.17660400312519</v>
      </c>
    </row>
    <row r="215" spans="1:4" x14ac:dyDescent="0.2">
      <c r="A215" s="29">
        <v>45250</v>
      </c>
      <c r="B215">
        <v>10666.69194580202</v>
      </c>
      <c r="C215">
        <v>10101.52</v>
      </c>
      <c r="D215">
        <v>565.17194580201976</v>
      </c>
    </row>
    <row r="216" spans="1:4" x14ac:dyDescent="0.2">
      <c r="A216" s="29">
        <v>45249</v>
      </c>
      <c r="B216">
        <v>10519.64265596577</v>
      </c>
      <c r="C216">
        <v>10101.52</v>
      </c>
      <c r="D216">
        <v>418.12265596576981</v>
      </c>
    </row>
    <row r="217" spans="1:4" x14ac:dyDescent="0.2">
      <c r="A217" s="29">
        <v>45248</v>
      </c>
      <c r="B217">
        <v>10299.01993628986</v>
      </c>
      <c r="C217">
        <v>10101.52</v>
      </c>
      <c r="D217">
        <v>197.49993628985609</v>
      </c>
    </row>
    <row r="218" spans="1:4" x14ac:dyDescent="0.2">
      <c r="A218" s="29">
        <v>45247</v>
      </c>
      <c r="B218">
        <v>10480.65410897804</v>
      </c>
      <c r="C218">
        <v>10100.85</v>
      </c>
      <c r="D218">
        <v>379.80410897804541</v>
      </c>
    </row>
    <row r="219" spans="1:4" x14ac:dyDescent="0.2">
      <c r="A219" s="29">
        <v>45246</v>
      </c>
      <c r="B219">
        <v>10244.094157626179</v>
      </c>
      <c r="C219">
        <v>10100.85</v>
      </c>
      <c r="D219">
        <v>143.24415762618261</v>
      </c>
    </row>
    <row r="220" spans="1:4" x14ac:dyDescent="0.2">
      <c r="A220" s="29">
        <v>45245</v>
      </c>
      <c r="B220">
        <v>10657.063583724859</v>
      </c>
      <c r="C220">
        <v>10100.85</v>
      </c>
      <c r="D220">
        <v>556.21358372486429</v>
      </c>
    </row>
    <row r="221" spans="1:4" x14ac:dyDescent="0.2">
      <c r="A221" s="29">
        <v>45244</v>
      </c>
      <c r="B221">
        <v>10214.06939839362</v>
      </c>
      <c r="C221">
        <v>10100.85</v>
      </c>
      <c r="D221">
        <v>113.2193983936195</v>
      </c>
    </row>
    <row r="222" spans="1:4" x14ac:dyDescent="0.2">
      <c r="A222" s="29">
        <v>45243</v>
      </c>
      <c r="B222">
        <v>10621.61662867511</v>
      </c>
      <c r="C222">
        <v>10097.379999999999</v>
      </c>
      <c r="D222">
        <v>524.23662867510939</v>
      </c>
    </row>
    <row r="223" spans="1:4" x14ac:dyDescent="0.2">
      <c r="A223" s="29">
        <v>45242</v>
      </c>
      <c r="B223">
        <v>10791.683633547171</v>
      </c>
      <c r="C223">
        <v>10097.379999999999</v>
      </c>
      <c r="D223">
        <v>694.3036335471661</v>
      </c>
    </row>
    <row r="224" spans="1:4" x14ac:dyDescent="0.2">
      <c r="A224" s="29">
        <v>45241</v>
      </c>
      <c r="B224">
        <v>10776.169425909209</v>
      </c>
      <c r="C224">
        <v>10097.379999999999</v>
      </c>
      <c r="D224">
        <v>678.78942590921179</v>
      </c>
    </row>
    <row r="225" spans="1:4" x14ac:dyDescent="0.2">
      <c r="A225" s="29">
        <v>45240</v>
      </c>
      <c r="B225">
        <v>10826.566100976541</v>
      </c>
      <c r="C225">
        <v>10097.379999999999</v>
      </c>
      <c r="D225">
        <v>729.18610097653618</v>
      </c>
    </row>
    <row r="226" spans="1:4" x14ac:dyDescent="0.2">
      <c r="A226" s="29">
        <v>45239</v>
      </c>
      <c r="B226">
        <v>10641.241772928541</v>
      </c>
      <c r="C226">
        <v>10097.379999999999</v>
      </c>
      <c r="D226">
        <v>543.86177292854518</v>
      </c>
    </row>
    <row r="227" spans="1:4" x14ac:dyDescent="0.2">
      <c r="A227" s="29">
        <v>45238</v>
      </c>
      <c r="B227">
        <v>10886.523136665401</v>
      </c>
      <c r="C227">
        <v>10097.379999999999</v>
      </c>
      <c r="D227">
        <v>789.14313666539601</v>
      </c>
    </row>
    <row r="228" spans="1:4" x14ac:dyDescent="0.2">
      <c r="A228" s="29">
        <v>45237</v>
      </c>
      <c r="B228">
        <v>10613.16634201649</v>
      </c>
      <c r="C228">
        <v>10097.379999999999</v>
      </c>
      <c r="D228">
        <v>515.78634201648856</v>
      </c>
    </row>
    <row r="229" spans="1:4" x14ac:dyDescent="0.2">
      <c r="A229" s="29">
        <v>45236</v>
      </c>
      <c r="B229">
        <v>10960.99645953356</v>
      </c>
      <c r="C229">
        <v>10097.379999999999</v>
      </c>
      <c r="D229">
        <v>863.61645953355583</v>
      </c>
    </row>
    <row r="230" spans="1:4" x14ac:dyDescent="0.2">
      <c r="A230" s="29">
        <v>45235</v>
      </c>
      <c r="B230">
        <v>10252.794616110439</v>
      </c>
      <c r="C230">
        <v>10097.379999999999</v>
      </c>
      <c r="D230">
        <v>155.4146161104363</v>
      </c>
    </row>
    <row r="231" spans="1:4" x14ac:dyDescent="0.2">
      <c r="A231" s="29">
        <v>45234</v>
      </c>
      <c r="B231">
        <v>9858.5995637323358</v>
      </c>
      <c r="C231">
        <v>10097.379999999999</v>
      </c>
      <c r="D231">
        <v>-238.78043626766339</v>
      </c>
    </row>
    <row r="232" spans="1:4" x14ac:dyDescent="0.2">
      <c r="A232" s="29">
        <v>45233</v>
      </c>
      <c r="B232">
        <v>9758.7423148428134</v>
      </c>
      <c r="C232">
        <v>10097.379999999999</v>
      </c>
      <c r="D232">
        <v>-338.63768515718579</v>
      </c>
    </row>
    <row r="233" spans="1:4" x14ac:dyDescent="0.2">
      <c r="A233" s="29">
        <v>45232</v>
      </c>
      <c r="B233">
        <v>9758.3019405593805</v>
      </c>
      <c r="C233">
        <v>10097.379999999999</v>
      </c>
      <c r="D233">
        <v>-339.07805944061869</v>
      </c>
    </row>
    <row r="234" spans="1:4" x14ac:dyDescent="0.2">
      <c r="A234" s="29">
        <v>45231</v>
      </c>
      <c r="B234">
        <v>9634.0383977521378</v>
      </c>
      <c r="C234">
        <v>10097.379999999999</v>
      </c>
      <c r="D234">
        <v>-463.34160224786137</v>
      </c>
    </row>
    <row r="235" spans="1:4" x14ac:dyDescent="0.2">
      <c r="A235" s="29">
        <v>45230</v>
      </c>
      <c r="B235">
        <v>9465.7439791246397</v>
      </c>
      <c r="C235">
        <v>10097.379999999999</v>
      </c>
      <c r="D235">
        <v>-631.63602087535946</v>
      </c>
    </row>
    <row r="236" spans="1:4" x14ac:dyDescent="0.2">
      <c r="A236" s="29">
        <v>45229</v>
      </c>
      <c r="B236">
        <v>9378.9117674783811</v>
      </c>
      <c r="C236">
        <v>10097.379999999999</v>
      </c>
      <c r="D236">
        <v>-718.46823252161812</v>
      </c>
    </row>
    <row r="237" spans="1:4" x14ac:dyDescent="0.2">
      <c r="A237" s="29">
        <v>45228</v>
      </c>
      <c r="B237">
        <v>9083.3971108411297</v>
      </c>
      <c r="C237">
        <v>10097.379999999999</v>
      </c>
      <c r="D237">
        <v>-1013.98288915887</v>
      </c>
    </row>
    <row r="238" spans="1:4" x14ac:dyDescent="0.2">
      <c r="A238" s="29">
        <v>45227</v>
      </c>
      <c r="B238">
        <v>8938.8474584105988</v>
      </c>
      <c r="C238">
        <v>10097.379999999999</v>
      </c>
      <c r="D238">
        <v>-1158.5325415893999</v>
      </c>
    </row>
    <row r="239" spans="1:4" x14ac:dyDescent="0.2">
      <c r="A239" s="29">
        <v>45226</v>
      </c>
      <c r="B239">
        <v>8869.7413743746183</v>
      </c>
      <c r="C239">
        <v>10097.379999999999</v>
      </c>
      <c r="D239">
        <v>-1227.6386256253811</v>
      </c>
    </row>
    <row r="240" spans="1:4" x14ac:dyDescent="0.2">
      <c r="A240" s="29">
        <v>45225</v>
      </c>
      <c r="B240">
        <v>9099.2806005458187</v>
      </c>
      <c r="C240">
        <v>10097.379999999999</v>
      </c>
      <c r="D240">
        <v>-998.09939945418046</v>
      </c>
    </row>
    <row r="241" spans="1:4" x14ac:dyDescent="0.2">
      <c r="A241" s="29">
        <v>45224</v>
      </c>
      <c r="B241">
        <v>9029.5615544221691</v>
      </c>
      <c r="C241">
        <v>10096.57</v>
      </c>
      <c r="D241">
        <v>-1067.008445577831</v>
      </c>
    </row>
    <row r="242" spans="1:4" x14ac:dyDescent="0.2">
      <c r="A242" s="29">
        <v>45223</v>
      </c>
      <c r="B242">
        <v>9007.4570817409185</v>
      </c>
      <c r="C242">
        <v>10096.57</v>
      </c>
      <c r="D242">
        <v>-1089.112918259081</v>
      </c>
    </row>
    <row r="243" spans="1:4" x14ac:dyDescent="0.2">
      <c r="A243" s="29">
        <v>45222</v>
      </c>
      <c r="B243">
        <v>8926.9152057755236</v>
      </c>
      <c r="C243">
        <v>10096.57</v>
      </c>
      <c r="D243">
        <v>-1169.6547942244761</v>
      </c>
    </row>
    <row r="244" spans="1:4" x14ac:dyDescent="0.2">
      <c r="A244" s="29">
        <v>45221</v>
      </c>
      <c r="B244">
        <v>8589.3607743606626</v>
      </c>
      <c r="C244">
        <v>10096.57</v>
      </c>
      <c r="D244">
        <v>-1507.2092256393371</v>
      </c>
    </row>
    <row r="245" spans="1:4" x14ac:dyDescent="0.2">
      <c r="A245" s="29">
        <v>45220</v>
      </c>
      <c r="B245">
        <v>8491.0099231596887</v>
      </c>
      <c r="C245">
        <v>10096.57</v>
      </c>
      <c r="D245">
        <v>-1605.560076840311</v>
      </c>
    </row>
    <row r="246" spans="1:4" x14ac:dyDescent="0.2">
      <c r="A246" s="29">
        <v>45219</v>
      </c>
      <c r="B246">
        <v>8314.1137890381833</v>
      </c>
      <c r="C246">
        <v>10082.94</v>
      </c>
      <c r="D246">
        <v>-1768.8262109618149</v>
      </c>
    </row>
    <row r="247" spans="1:4" x14ac:dyDescent="0.2">
      <c r="A247" s="29">
        <v>45218</v>
      </c>
      <c r="B247">
        <v>8212.5659704171721</v>
      </c>
      <c r="C247">
        <v>10082.94</v>
      </c>
      <c r="D247">
        <v>-1870.374029582827</v>
      </c>
    </row>
    <row r="248" spans="1:4" x14ac:dyDescent="0.2">
      <c r="A248" s="29">
        <v>45217</v>
      </c>
      <c r="B248">
        <v>8065.5234772560198</v>
      </c>
      <c r="C248">
        <v>10082.94</v>
      </c>
      <c r="D248">
        <v>-2017.4165227439789</v>
      </c>
    </row>
    <row r="249" spans="1:4" x14ac:dyDescent="0.2">
      <c r="A249" s="29">
        <v>45216</v>
      </c>
      <c r="B249">
        <v>8042.9933527495268</v>
      </c>
      <c r="C249">
        <v>10082.94</v>
      </c>
      <c r="D249">
        <v>-2039.9466472504721</v>
      </c>
    </row>
    <row r="250" spans="1:4" x14ac:dyDescent="0.2">
      <c r="A250" s="29">
        <v>45215</v>
      </c>
      <c r="B250">
        <v>8162.4918353675384</v>
      </c>
      <c r="C250">
        <v>10082.94</v>
      </c>
      <c r="D250">
        <v>-1920.44816463246</v>
      </c>
    </row>
    <row r="251" spans="1:4" x14ac:dyDescent="0.2">
      <c r="A251" s="29">
        <v>45214</v>
      </c>
      <c r="B251">
        <v>8008.8100985180681</v>
      </c>
      <c r="C251">
        <v>10082.94</v>
      </c>
      <c r="D251">
        <v>-2074.129901481931</v>
      </c>
    </row>
    <row r="252" spans="1:4" x14ac:dyDescent="0.2">
      <c r="A252" s="29">
        <v>45213</v>
      </c>
      <c r="B252">
        <v>8003.7048014559041</v>
      </c>
      <c r="C252">
        <v>10082.94</v>
      </c>
      <c r="D252">
        <v>-2079.2351985440951</v>
      </c>
    </row>
    <row r="253" spans="1:4" x14ac:dyDescent="0.2">
      <c r="A253" s="29">
        <v>45212</v>
      </c>
      <c r="B253">
        <v>7977.0830805758123</v>
      </c>
      <c r="C253">
        <v>10082.94</v>
      </c>
      <c r="D253">
        <v>-2105.8569194241859</v>
      </c>
    </row>
    <row r="254" spans="1:4" x14ac:dyDescent="0.2">
      <c r="A254" s="29">
        <v>45211</v>
      </c>
      <c r="B254">
        <v>7869.3672095141374</v>
      </c>
      <c r="C254">
        <v>10082.94</v>
      </c>
      <c r="D254">
        <v>-2213.5727904858609</v>
      </c>
    </row>
    <row r="255" spans="1:4" x14ac:dyDescent="0.2">
      <c r="A255" s="29">
        <v>45210</v>
      </c>
      <c r="B255">
        <v>8004.4115915315324</v>
      </c>
      <c r="C255">
        <v>10082.94</v>
      </c>
      <c r="D255">
        <v>-2078.5284084684658</v>
      </c>
    </row>
    <row r="256" spans="1:4" x14ac:dyDescent="0.2">
      <c r="A256" s="29">
        <v>45209</v>
      </c>
      <c r="B256">
        <v>8104.1763099658492</v>
      </c>
      <c r="C256">
        <v>10082.94</v>
      </c>
      <c r="D256">
        <v>-1978.763690034149</v>
      </c>
    </row>
    <row r="257" spans="1:4" x14ac:dyDescent="0.2">
      <c r="A257" s="29">
        <v>45208</v>
      </c>
      <c r="B257">
        <v>8118.6589940664308</v>
      </c>
      <c r="C257">
        <v>10082.94</v>
      </c>
      <c r="D257">
        <v>-1964.2810059335679</v>
      </c>
    </row>
    <row r="258" spans="1:4" x14ac:dyDescent="0.2">
      <c r="A258" s="29">
        <v>45207</v>
      </c>
      <c r="B258">
        <v>8376.1857224494979</v>
      </c>
      <c r="C258">
        <v>10082.94</v>
      </c>
      <c r="D258">
        <v>-1706.754277550501</v>
      </c>
    </row>
    <row r="259" spans="1:4" x14ac:dyDescent="0.2">
      <c r="A259" s="29">
        <v>45206</v>
      </c>
      <c r="B259">
        <v>8426.5909648566558</v>
      </c>
      <c r="C259">
        <v>10082.94</v>
      </c>
      <c r="D259">
        <v>-1656.3490351433429</v>
      </c>
    </row>
    <row r="260" spans="1:4" x14ac:dyDescent="0.2">
      <c r="A260" s="29">
        <v>45205</v>
      </c>
      <c r="B260">
        <v>8481.3141958619181</v>
      </c>
      <c r="C260">
        <v>10082.94</v>
      </c>
      <c r="D260">
        <v>-1601.6258041380811</v>
      </c>
    </row>
    <row r="261" spans="1:4" x14ac:dyDescent="0.2">
      <c r="A261" s="29">
        <v>45204</v>
      </c>
      <c r="B261">
        <v>8425.9616981367872</v>
      </c>
      <c r="C261">
        <v>10082.94</v>
      </c>
      <c r="D261">
        <v>-1656.978301863212</v>
      </c>
    </row>
    <row r="262" spans="1:4" x14ac:dyDescent="0.2">
      <c r="A262" s="29">
        <v>45203</v>
      </c>
      <c r="B262">
        <v>8568.7188784892223</v>
      </c>
      <c r="C262">
        <v>10082.94</v>
      </c>
      <c r="D262">
        <v>-1514.2211215107759</v>
      </c>
    </row>
    <row r="263" spans="1:4" x14ac:dyDescent="0.2">
      <c r="A263" s="29">
        <v>45202</v>
      </c>
      <c r="B263">
        <v>8650.2666680188177</v>
      </c>
      <c r="C263">
        <v>10082.94</v>
      </c>
      <c r="D263">
        <v>-1432.673331981181</v>
      </c>
    </row>
    <row r="264" spans="1:4" x14ac:dyDescent="0.2">
      <c r="A264" s="29">
        <v>45201</v>
      </c>
      <c r="B264">
        <v>8491.2583267891405</v>
      </c>
      <c r="C264">
        <v>10082.94</v>
      </c>
      <c r="D264">
        <v>-1591.681673210858</v>
      </c>
    </row>
    <row r="265" spans="1:4" x14ac:dyDescent="0.2">
      <c r="A265" s="29">
        <v>45200</v>
      </c>
      <c r="B265">
        <v>8648.3565462640472</v>
      </c>
      <c r="C265">
        <v>10082.94</v>
      </c>
      <c r="D265">
        <v>-1434.583453735951</v>
      </c>
    </row>
    <row r="266" spans="1:4" x14ac:dyDescent="0.2">
      <c r="A266" s="29">
        <v>45199</v>
      </c>
      <c r="B266">
        <v>8492.273675454082</v>
      </c>
      <c r="C266">
        <v>10082.94</v>
      </c>
      <c r="D266">
        <v>-1590.666324545917</v>
      </c>
    </row>
    <row r="267" spans="1:4" x14ac:dyDescent="0.2">
      <c r="A267" s="29">
        <v>45198</v>
      </c>
      <c r="B267">
        <v>8522.4216418009473</v>
      </c>
      <c r="C267">
        <v>10082.94</v>
      </c>
      <c r="D267">
        <v>-1560.5183581990509</v>
      </c>
    </row>
    <row r="268" spans="1:4" x14ac:dyDescent="0.2">
      <c r="A268" s="29">
        <v>45197</v>
      </c>
      <c r="B268">
        <v>8448.9560696732915</v>
      </c>
      <c r="C268">
        <v>10082.94</v>
      </c>
      <c r="D268">
        <v>-1633.983930326707</v>
      </c>
    </row>
    <row r="269" spans="1:4" x14ac:dyDescent="0.2">
      <c r="A269" s="29">
        <v>45196</v>
      </c>
      <c r="B269">
        <v>8324.8618331078123</v>
      </c>
      <c r="C269">
        <v>10082.94</v>
      </c>
      <c r="D269">
        <v>-1758.0781668921859</v>
      </c>
    </row>
    <row r="270" spans="1:4" x14ac:dyDescent="0.2">
      <c r="A270" s="29">
        <v>45195</v>
      </c>
      <c r="B270">
        <v>8342.0893013376717</v>
      </c>
      <c r="C270">
        <v>10082.94</v>
      </c>
      <c r="D270">
        <v>-1740.850698662327</v>
      </c>
    </row>
    <row r="271" spans="1:4" x14ac:dyDescent="0.2">
      <c r="A271" s="29">
        <v>45194</v>
      </c>
      <c r="B271">
        <v>8464.8736812821735</v>
      </c>
      <c r="C271">
        <v>10082.94</v>
      </c>
      <c r="D271">
        <v>-1618.066318717825</v>
      </c>
    </row>
    <row r="272" spans="1:4" x14ac:dyDescent="0.2">
      <c r="A272" s="29">
        <v>45193</v>
      </c>
      <c r="B272">
        <v>8382.0572599026436</v>
      </c>
      <c r="C272">
        <v>10082.94</v>
      </c>
      <c r="D272">
        <v>-1700.8827400973551</v>
      </c>
    </row>
    <row r="273" spans="1:4" x14ac:dyDescent="0.2">
      <c r="A273" s="29">
        <v>45192</v>
      </c>
      <c r="B273">
        <v>8595.6206728184043</v>
      </c>
      <c r="C273">
        <v>10082.94</v>
      </c>
      <c r="D273">
        <v>-1487.319327181594</v>
      </c>
    </row>
    <row r="274" spans="1:4" x14ac:dyDescent="0.2">
      <c r="A274" s="29">
        <v>45191</v>
      </c>
      <c r="B274">
        <v>8516.180888644285</v>
      </c>
      <c r="C274">
        <v>10082.94</v>
      </c>
      <c r="D274">
        <v>-1566.7591113557139</v>
      </c>
    </row>
    <row r="275" spans="1:4" x14ac:dyDescent="0.2">
      <c r="A275" s="29">
        <v>45190</v>
      </c>
      <c r="B275">
        <v>8468.4320929953792</v>
      </c>
      <c r="C275">
        <v>10082.94</v>
      </c>
      <c r="D275">
        <v>-1614.507907004619</v>
      </c>
    </row>
    <row r="276" spans="1:4" x14ac:dyDescent="0.2">
      <c r="A276" s="29">
        <v>45189</v>
      </c>
      <c r="B276">
        <v>8608.7763099441836</v>
      </c>
      <c r="C276">
        <v>10082.94</v>
      </c>
      <c r="D276">
        <v>-1474.1636900558151</v>
      </c>
    </row>
    <row r="277" spans="1:4" x14ac:dyDescent="0.2">
      <c r="A277" s="29">
        <v>45188</v>
      </c>
      <c r="B277">
        <v>8577.6484919235791</v>
      </c>
      <c r="C277">
        <v>10082.94</v>
      </c>
      <c r="D277">
        <v>-1505.2915080764201</v>
      </c>
    </row>
    <row r="278" spans="1:4" x14ac:dyDescent="0.2">
      <c r="A278" s="29">
        <v>45187</v>
      </c>
      <c r="B278">
        <v>8402.2141419593681</v>
      </c>
      <c r="C278">
        <v>10082.94</v>
      </c>
      <c r="D278">
        <v>-1680.725858040631</v>
      </c>
    </row>
    <row r="279" spans="1:4" x14ac:dyDescent="0.2">
      <c r="A279" s="29">
        <v>45186</v>
      </c>
      <c r="B279">
        <v>8284.6486405886753</v>
      </c>
      <c r="C279">
        <v>10082.94</v>
      </c>
      <c r="D279">
        <v>-1798.2913594113229</v>
      </c>
    </row>
    <row r="280" spans="1:4" x14ac:dyDescent="0.2">
      <c r="A280" s="29">
        <v>45185</v>
      </c>
      <c r="B280">
        <v>8506.4244249392359</v>
      </c>
      <c r="C280">
        <v>10082.94</v>
      </c>
      <c r="D280">
        <v>-1576.515575060763</v>
      </c>
    </row>
    <row r="281" spans="1:4" x14ac:dyDescent="0.2">
      <c r="A281" s="29">
        <v>45184</v>
      </c>
      <c r="B281">
        <v>8541.5816202143542</v>
      </c>
      <c r="C281">
        <v>10082.94</v>
      </c>
      <c r="D281">
        <v>-1541.358379785645</v>
      </c>
    </row>
    <row r="282" spans="1:4" x14ac:dyDescent="0.2">
      <c r="A282" s="29">
        <v>45183</v>
      </c>
      <c r="B282">
        <v>8403.1013799248885</v>
      </c>
      <c r="C282">
        <v>10082.94</v>
      </c>
      <c r="D282">
        <v>-1679.8386200751099</v>
      </c>
    </row>
    <row r="283" spans="1:4" x14ac:dyDescent="0.2">
      <c r="A283" s="29">
        <v>45182</v>
      </c>
      <c r="B283">
        <v>8212.687749576</v>
      </c>
      <c r="C283">
        <v>10082.94</v>
      </c>
      <c r="D283">
        <v>-1870.2522504239989</v>
      </c>
    </row>
    <row r="284" spans="1:4" x14ac:dyDescent="0.2">
      <c r="A284" s="29">
        <v>45181</v>
      </c>
      <c r="B284">
        <v>7972.7694829444426</v>
      </c>
      <c r="C284">
        <v>10082.94</v>
      </c>
      <c r="D284">
        <v>-2110.170517055556</v>
      </c>
    </row>
    <row r="285" spans="1:4" x14ac:dyDescent="0.2">
      <c r="A285" s="29">
        <v>45180</v>
      </c>
      <c r="B285">
        <v>7861.9185296123596</v>
      </c>
      <c r="C285">
        <v>10082.94</v>
      </c>
      <c r="D285">
        <v>-2221.0214703876391</v>
      </c>
    </row>
    <row r="286" spans="1:4" x14ac:dyDescent="0.2">
      <c r="A286" s="29">
        <v>45179</v>
      </c>
      <c r="B286">
        <v>8181.962855730686</v>
      </c>
      <c r="C286">
        <v>10082.94</v>
      </c>
      <c r="D286">
        <v>-1900.9771442693129</v>
      </c>
    </row>
    <row r="287" spans="1:4" x14ac:dyDescent="0.2">
      <c r="A287" s="29">
        <v>45178</v>
      </c>
      <c r="B287">
        <v>8327.3284263581136</v>
      </c>
      <c r="C287">
        <v>10082.94</v>
      </c>
      <c r="D287">
        <v>-1755.6115736418849</v>
      </c>
    </row>
    <row r="288" spans="1:4" x14ac:dyDescent="0.2">
      <c r="A288" s="29">
        <v>45177</v>
      </c>
      <c r="B288">
        <v>8407.548904174886</v>
      </c>
      <c r="C288">
        <v>10082.94</v>
      </c>
      <c r="D288">
        <v>-1675.3910958251131</v>
      </c>
    </row>
    <row r="289" spans="1:4" x14ac:dyDescent="0.2">
      <c r="A289" s="29">
        <v>45176</v>
      </c>
      <c r="B289">
        <v>8408.4211739302245</v>
      </c>
      <c r="C289">
        <v>10082.94</v>
      </c>
      <c r="D289">
        <v>-1674.5188260697739</v>
      </c>
    </row>
    <row r="290" spans="1:4" x14ac:dyDescent="0.2">
      <c r="A290" s="29">
        <v>45175</v>
      </c>
      <c r="B290">
        <v>8337.3450464198086</v>
      </c>
      <c r="C290">
        <v>10082.94</v>
      </c>
      <c r="D290">
        <v>-1745.5949535801899</v>
      </c>
    </row>
    <row r="291" spans="1:4" x14ac:dyDescent="0.2">
      <c r="A291" s="29">
        <v>45174</v>
      </c>
      <c r="B291">
        <v>8374.2577399467846</v>
      </c>
      <c r="C291">
        <v>10082.94</v>
      </c>
      <c r="D291">
        <v>-1708.6822600532139</v>
      </c>
    </row>
    <row r="292" spans="1:4" x14ac:dyDescent="0.2">
      <c r="A292" s="29">
        <v>45173</v>
      </c>
      <c r="B292">
        <v>8326.0139558691208</v>
      </c>
      <c r="C292">
        <v>10082.94</v>
      </c>
      <c r="D292">
        <v>-1756.9260441308779</v>
      </c>
    </row>
    <row r="293" spans="1:4" x14ac:dyDescent="0.2">
      <c r="A293" s="29">
        <v>45172</v>
      </c>
      <c r="B293">
        <v>8305.1953159387085</v>
      </c>
      <c r="C293">
        <v>10082.94</v>
      </c>
      <c r="D293">
        <v>-1777.7446840612899</v>
      </c>
    </row>
    <row r="294" spans="1:4" x14ac:dyDescent="0.2">
      <c r="A294" s="29">
        <v>45171</v>
      </c>
      <c r="B294">
        <v>8342.5997272485292</v>
      </c>
      <c r="C294">
        <v>10082.94</v>
      </c>
      <c r="D294">
        <v>-1740.340272751469</v>
      </c>
    </row>
    <row r="295" spans="1:4" x14ac:dyDescent="0.2">
      <c r="A295" s="29">
        <v>45170</v>
      </c>
      <c r="B295">
        <v>8354.3922592512154</v>
      </c>
      <c r="C295">
        <v>10082.94</v>
      </c>
      <c r="D295">
        <v>-1728.5477407487831</v>
      </c>
    </row>
    <row r="296" spans="1:4" x14ac:dyDescent="0.2">
      <c r="A296" s="29">
        <v>45169</v>
      </c>
      <c r="B296">
        <v>8662.0432460095581</v>
      </c>
      <c r="C296">
        <v>10082.94</v>
      </c>
      <c r="D296">
        <v>-1420.8967539904411</v>
      </c>
    </row>
    <row r="297" spans="1:4" x14ac:dyDescent="0.2">
      <c r="A297" s="29">
        <v>45168</v>
      </c>
      <c r="B297">
        <v>8910.7767296058228</v>
      </c>
      <c r="C297">
        <v>10082.94</v>
      </c>
      <c r="D297">
        <v>-1172.1632703941759</v>
      </c>
    </row>
    <row r="298" spans="1:4" x14ac:dyDescent="0.2">
      <c r="A298" s="29">
        <v>45167</v>
      </c>
      <c r="B298">
        <v>9231.1929611511077</v>
      </c>
      <c r="C298">
        <v>10082.94</v>
      </c>
      <c r="D298">
        <v>-851.74703884889095</v>
      </c>
    </row>
    <row r="299" spans="1:4" x14ac:dyDescent="0.2">
      <c r="A299" s="29">
        <v>45166</v>
      </c>
      <c r="B299">
        <v>9073.0713650416692</v>
      </c>
      <c r="C299">
        <v>10082.94</v>
      </c>
      <c r="D299">
        <v>-1009.868634958329</v>
      </c>
    </row>
    <row r="300" spans="1:4" x14ac:dyDescent="0.2">
      <c r="A300" s="29">
        <v>45165</v>
      </c>
      <c r="B300">
        <v>9240.4342236819648</v>
      </c>
      <c r="C300">
        <v>10082.94</v>
      </c>
      <c r="D300">
        <v>-842.5057763180339</v>
      </c>
    </row>
    <row r="301" spans="1:4" x14ac:dyDescent="0.2">
      <c r="A301" s="29">
        <v>45164</v>
      </c>
      <c r="B301">
        <v>9212.3657326176035</v>
      </c>
      <c r="C301">
        <v>10082.94</v>
      </c>
      <c r="D301">
        <v>-870.57426738239519</v>
      </c>
    </row>
    <row r="302" spans="1:4" x14ac:dyDescent="0.2">
      <c r="A302" s="29">
        <v>45163</v>
      </c>
      <c r="B302">
        <v>9326.2764293700548</v>
      </c>
      <c r="C302">
        <v>10082.94</v>
      </c>
      <c r="D302">
        <v>-756.66357062994393</v>
      </c>
    </row>
    <row r="303" spans="1:4" x14ac:dyDescent="0.2">
      <c r="A303" s="29">
        <v>45162</v>
      </c>
      <c r="B303">
        <v>9276.761917179967</v>
      </c>
      <c r="C303">
        <v>10082.94</v>
      </c>
      <c r="D303">
        <v>-806.1780828200317</v>
      </c>
    </row>
    <row r="304" spans="1:4" x14ac:dyDescent="0.2">
      <c r="A304" s="29">
        <v>45161</v>
      </c>
      <c r="B304">
        <v>9594.8482593820372</v>
      </c>
      <c r="C304">
        <v>10082.94</v>
      </c>
      <c r="D304">
        <v>-488.09174061796148</v>
      </c>
    </row>
    <row r="305" spans="1:4" x14ac:dyDescent="0.2">
      <c r="A305" s="29">
        <v>45160</v>
      </c>
      <c r="B305">
        <v>9278.3493998211088</v>
      </c>
      <c r="C305">
        <v>10082.94</v>
      </c>
      <c r="D305">
        <v>-804.59060017888987</v>
      </c>
    </row>
    <row r="306" spans="1:4" x14ac:dyDescent="0.2">
      <c r="A306" s="29">
        <v>45159</v>
      </c>
      <c r="B306">
        <v>9491.1415856114509</v>
      </c>
      <c r="C306">
        <v>10082.94</v>
      </c>
      <c r="D306">
        <v>-591.79841438854783</v>
      </c>
    </row>
    <row r="307" spans="1:4" x14ac:dyDescent="0.2">
      <c r="A307" s="29">
        <v>45158</v>
      </c>
      <c r="B307">
        <v>9633.7716393044866</v>
      </c>
      <c r="C307">
        <v>10082.94</v>
      </c>
      <c r="D307">
        <v>-449.16836069551209</v>
      </c>
    </row>
    <row r="308" spans="1:4" x14ac:dyDescent="0.2">
      <c r="A308" s="29">
        <v>45157</v>
      </c>
      <c r="B308">
        <v>9778.251438320096</v>
      </c>
      <c r="C308">
        <v>10082.94</v>
      </c>
      <c r="D308">
        <v>-304.6885616799027</v>
      </c>
    </row>
    <row r="309" spans="1:4" x14ac:dyDescent="0.2">
      <c r="A309" s="29">
        <v>45156</v>
      </c>
      <c r="B309">
        <v>9158.5272479019131</v>
      </c>
      <c r="C309">
        <v>10082.94</v>
      </c>
      <c r="D309">
        <v>-924.41275209808555</v>
      </c>
    </row>
    <row r="310" spans="1:4" x14ac:dyDescent="0.2">
      <c r="A310" s="29">
        <v>45155</v>
      </c>
      <c r="B310">
        <v>9034.1373808997378</v>
      </c>
      <c r="C310">
        <v>10082.94</v>
      </c>
      <c r="D310">
        <v>-1048.8026191002609</v>
      </c>
    </row>
    <row r="311" spans="1:4" x14ac:dyDescent="0.2">
      <c r="A311" s="29">
        <v>45154</v>
      </c>
      <c r="B311">
        <v>10211.561992499801</v>
      </c>
      <c r="C311">
        <v>10082.94</v>
      </c>
      <c r="D311">
        <v>128.62199249980401</v>
      </c>
    </row>
    <row r="312" spans="1:4" x14ac:dyDescent="0.2">
      <c r="A312" s="29">
        <v>45153</v>
      </c>
      <c r="B312">
        <v>10778.768347668451</v>
      </c>
      <c r="C312">
        <v>10082.94</v>
      </c>
      <c r="D312">
        <v>695.8283476684519</v>
      </c>
    </row>
    <row r="313" spans="1:4" x14ac:dyDescent="0.2">
      <c r="A313" s="29">
        <v>45152</v>
      </c>
      <c r="B313">
        <v>10810.24958790991</v>
      </c>
      <c r="C313">
        <v>10082.94</v>
      </c>
      <c r="D313">
        <v>727.30958790991281</v>
      </c>
    </row>
    <row r="314" spans="1:4" x14ac:dyDescent="0.2">
      <c r="A314" s="29">
        <v>45151</v>
      </c>
      <c r="B314">
        <v>10036.07217399173</v>
      </c>
      <c r="C314">
        <v>10082.94</v>
      </c>
      <c r="D314">
        <v>-46.867826008268821</v>
      </c>
    </row>
    <row r="315" spans="1:4" x14ac:dyDescent="0.2">
      <c r="A315" s="29">
        <v>45150</v>
      </c>
      <c r="B315">
        <v>9980.2845952989555</v>
      </c>
      <c r="C315">
        <v>10082.94</v>
      </c>
      <c r="D315">
        <v>-102.6554047010432</v>
      </c>
    </row>
    <row r="316" spans="1:4" x14ac:dyDescent="0.2">
      <c r="A316" s="29">
        <v>45149</v>
      </c>
      <c r="B316">
        <v>10048.34144669896</v>
      </c>
      <c r="C316">
        <v>10082.94</v>
      </c>
      <c r="D316">
        <v>-34.598553301038919</v>
      </c>
    </row>
    <row r="317" spans="1:4" x14ac:dyDescent="0.2">
      <c r="A317" s="29">
        <v>45148</v>
      </c>
      <c r="B317">
        <v>10149.43561119864</v>
      </c>
      <c r="C317">
        <v>10082.94</v>
      </c>
      <c r="D317">
        <v>66.495611198639381</v>
      </c>
    </row>
    <row r="318" spans="1:4" x14ac:dyDescent="0.2">
      <c r="A318" s="29">
        <v>45147</v>
      </c>
      <c r="B318">
        <v>10412.63593568634</v>
      </c>
      <c r="C318">
        <v>10082.94</v>
      </c>
      <c r="D318">
        <v>329.69593568634082</v>
      </c>
    </row>
    <row r="319" spans="1:4" x14ac:dyDescent="0.2">
      <c r="A319" s="29">
        <v>45146</v>
      </c>
      <c r="B319">
        <v>10510.37984993502</v>
      </c>
      <c r="C319">
        <v>9505.5399999999991</v>
      </c>
      <c r="D319">
        <v>1004.8398499350239</v>
      </c>
    </row>
    <row r="320" spans="1:4" x14ac:dyDescent="0.2">
      <c r="A320" s="29">
        <v>45145</v>
      </c>
      <c r="B320">
        <v>10081.055483912431</v>
      </c>
      <c r="C320">
        <v>9505.5399999999991</v>
      </c>
      <c r="D320">
        <v>575.51548391242795</v>
      </c>
    </row>
    <row r="321" spans="1:4" x14ac:dyDescent="0.2">
      <c r="A321" s="29">
        <v>45144</v>
      </c>
      <c r="B321">
        <v>10129.17211459518</v>
      </c>
      <c r="C321">
        <v>9505.5399999999991</v>
      </c>
      <c r="D321">
        <v>623.63211459518243</v>
      </c>
    </row>
    <row r="322" spans="1:4" x14ac:dyDescent="0.2">
      <c r="A322" s="29">
        <v>45143</v>
      </c>
      <c r="B322">
        <v>10017.074614403989</v>
      </c>
      <c r="C322">
        <v>9505.5399999999991</v>
      </c>
      <c r="D322">
        <v>511.53461440399587</v>
      </c>
    </row>
    <row r="323" spans="1:4" x14ac:dyDescent="0.2">
      <c r="A323" s="29">
        <v>45142</v>
      </c>
      <c r="B323">
        <v>10099.53796778721</v>
      </c>
      <c r="C323">
        <v>9505.5399999999991</v>
      </c>
      <c r="D323">
        <v>593.99796778721429</v>
      </c>
    </row>
    <row r="324" spans="1:4" x14ac:dyDescent="0.2">
      <c r="A324" s="29">
        <v>45141</v>
      </c>
      <c r="B324">
        <v>10360.71526881369</v>
      </c>
      <c r="C324">
        <v>9507.7099999999991</v>
      </c>
      <c r="D324">
        <v>853.00526881368751</v>
      </c>
    </row>
    <row r="325" spans="1:4" x14ac:dyDescent="0.2">
      <c r="A325" s="29">
        <v>45140</v>
      </c>
      <c r="B325">
        <v>10512.195814584709</v>
      </c>
      <c r="C325">
        <v>9505.5399999999991</v>
      </c>
      <c r="D325">
        <v>1006.6558145847069</v>
      </c>
    </row>
    <row r="326" spans="1:4" x14ac:dyDescent="0.2">
      <c r="A326" s="29">
        <v>45139</v>
      </c>
      <c r="B326">
        <v>10720.284995360311</v>
      </c>
      <c r="C326">
        <v>9505.5399999999991</v>
      </c>
      <c r="D326">
        <v>1214.7449953603141</v>
      </c>
    </row>
    <row r="327" spans="1:4" x14ac:dyDescent="0.2">
      <c r="A327" s="29">
        <v>45138</v>
      </c>
      <c r="B327">
        <v>10654.33024823601</v>
      </c>
      <c r="C327">
        <v>9505.5399999999991</v>
      </c>
      <c r="D327">
        <v>1148.79024823601</v>
      </c>
    </row>
    <row r="328" spans="1:4" x14ac:dyDescent="0.2">
      <c r="A328" s="29">
        <v>45137</v>
      </c>
      <c r="B328">
        <v>10733.58095100615</v>
      </c>
      <c r="C328">
        <v>9505.5399999999991</v>
      </c>
      <c r="D328">
        <v>1228.040951006155</v>
      </c>
    </row>
    <row r="329" spans="1:4" x14ac:dyDescent="0.2">
      <c r="A329" s="29">
        <v>45136</v>
      </c>
      <c r="B329">
        <v>10861.49669800383</v>
      </c>
      <c r="C329">
        <v>9505.5399999999991</v>
      </c>
      <c r="D329">
        <v>1355.956698003831</v>
      </c>
    </row>
    <row r="330" spans="1:4" x14ac:dyDescent="0.2">
      <c r="A330" s="29">
        <v>45135</v>
      </c>
      <c r="B330">
        <v>10805.16164848315</v>
      </c>
      <c r="C330">
        <v>9505.5399999999991</v>
      </c>
      <c r="D330">
        <v>1299.621648483153</v>
      </c>
    </row>
    <row r="331" spans="1:4" x14ac:dyDescent="0.2">
      <c r="A331" s="29">
        <v>45134</v>
      </c>
      <c r="B331">
        <v>10761.958862441979</v>
      </c>
      <c r="C331">
        <v>9505.5399999999991</v>
      </c>
      <c r="D331">
        <v>1256.4188624419839</v>
      </c>
    </row>
    <row r="332" spans="1:4" x14ac:dyDescent="0.2">
      <c r="A332" s="29">
        <v>45133</v>
      </c>
      <c r="B332">
        <v>10825.31922847221</v>
      </c>
      <c r="C332">
        <v>9505.5399999999991</v>
      </c>
      <c r="D332">
        <v>1319.779228472215</v>
      </c>
    </row>
    <row r="333" spans="1:4" x14ac:dyDescent="0.2">
      <c r="A333" s="29">
        <v>45132</v>
      </c>
      <c r="B333">
        <v>10749.31645161079</v>
      </c>
      <c r="C333">
        <v>9505.5399999999991</v>
      </c>
      <c r="D333">
        <v>1243.776451610795</v>
      </c>
    </row>
    <row r="334" spans="1:4" x14ac:dyDescent="0.2">
      <c r="A334" s="29">
        <v>45131</v>
      </c>
      <c r="B334">
        <v>9674.2427029689297</v>
      </c>
      <c r="C334">
        <v>8505.5399999999991</v>
      </c>
      <c r="D334">
        <v>1168.7027029689309</v>
      </c>
    </row>
    <row r="335" spans="1:4" x14ac:dyDescent="0.2">
      <c r="A335" s="29">
        <v>45130</v>
      </c>
      <c r="B335">
        <v>10028.545581642969</v>
      </c>
      <c r="C335">
        <v>8505.5399999999991</v>
      </c>
      <c r="D335">
        <v>1523.005581642974</v>
      </c>
    </row>
    <row r="336" spans="1:4" x14ac:dyDescent="0.2">
      <c r="A336" s="29">
        <v>45129</v>
      </c>
      <c r="B336">
        <v>9937.300940003528</v>
      </c>
      <c r="C336">
        <v>8505.5399999999991</v>
      </c>
      <c r="D336">
        <v>1431.760940003529</v>
      </c>
    </row>
    <row r="337" spans="1:4" x14ac:dyDescent="0.2">
      <c r="A337" s="29">
        <v>45128</v>
      </c>
      <c r="B337">
        <v>10360.684645860951</v>
      </c>
      <c r="C337">
        <v>8505.5399999999991</v>
      </c>
      <c r="D337">
        <v>1855.1446458609521</v>
      </c>
    </row>
    <row r="338" spans="1:4" x14ac:dyDescent="0.2">
      <c r="A338" s="29">
        <v>45127</v>
      </c>
      <c r="B338">
        <v>10571.646766448401</v>
      </c>
      <c r="C338">
        <v>8505.5399999999991</v>
      </c>
      <c r="D338">
        <v>2066.1067664483958</v>
      </c>
    </row>
    <row r="339" spans="1:4" x14ac:dyDescent="0.2">
      <c r="A339" s="29">
        <v>45126</v>
      </c>
      <c r="B339">
        <v>10738.624374690149</v>
      </c>
      <c r="C339">
        <v>8505.5399999999991</v>
      </c>
      <c r="D339">
        <v>2233.0843746901542</v>
      </c>
    </row>
    <row r="340" spans="1:4" x14ac:dyDescent="0.2">
      <c r="A340" s="29">
        <v>45125</v>
      </c>
      <c r="B340">
        <v>10324.396730505099</v>
      </c>
      <c r="C340">
        <v>8505.5399999999991</v>
      </c>
      <c r="D340">
        <v>1818.8567305050999</v>
      </c>
    </row>
    <row r="341" spans="1:4" x14ac:dyDescent="0.2">
      <c r="A341" s="29">
        <v>45124</v>
      </c>
      <c r="B341">
        <v>10089.11236686464</v>
      </c>
      <c r="C341">
        <v>8876.409999999998</v>
      </c>
      <c r="D341">
        <v>1212.702366864645</v>
      </c>
    </row>
    <row r="342" spans="1:4" x14ac:dyDescent="0.2">
      <c r="A342" s="29">
        <v>45123</v>
      </c>
      <c r="B342">
        <v>10041.6116913892</v>
      </c>
      <c r="C342">
        <v>8876.409999999998</v>
      </c>
      <c r="D342">
        <v>1165.2016913892039</v>
      </c>
    </row>
    <row r="343" spans="1:4" x14ac:dyDescent="0.2">
      <c r="A343" s="29">
        <v>45122</v>
      </c>
      <c r="B343">
        <v>10026.813439166959</v>
      </c>
      <c r="C343">
        <v>8876.409999999998</v>
      </c>
      <c r="D343">
        <v>1150.4034391669629</v>
      </c>
    </row>
    <row r="344" spans="1:4" x14ac:dyDescent="0.2">
      <c r="A344" s="29">
        <v>45121</v>
      </c>
      <c r="B344">
        <v>10038.01463198471</v>
      </c>
      <c r="C344">
        <v>8876.409999999998</v>
      </c>
      <c r="D344">
        <v>1161.6046319847101</v>
      </c>
    </row>
    <row r="345" spans="1:4" x14ac:dyDescent="0.2">
      <c r="A345" s="29">
        <v>45120</v>
      </c>
      <c r="B345">
        <v>10669.429924021781</v>
      </c>
      <c r="C345">
        <v>9003.6699999999983</v>
      </c>
      <c r="D345">
        <v>1665.759924021786</v>
      </c>
    </row>
    <row r="346" spans="1:4" x14ac:dyDescent="0.2">
      <c r="A346" s="29">
        <v>45119</v>
      </c>
      <c r="B346">
        <v>8557.0181329960033</v>
      </c>
      <c r="C346">
        <v>9003.6699999999983</v>
      </c>
      <c r="D346">
        <v>-446.65186700399499</v>
      </c>
    </row>
    <row r="347" spans="1:4" x14ac:dyDescent="0.2">
      <c r="A347" s="29">
        <v>45118</v>
      </c>
      <c r="B347">
        <v>8587.4105508715129</v>
      </c>
      <c r="C347">
        <v>9003.6699999999983</v>
      </c>
      <c r="D347">
        <v>-416.25944912848541</v>
      </c>
    </row>
    <row r="348" spans="1:4" x14ac:dyDescent="0.2">
      <c r="A348" s="29">
        <v>45117</v>
      </c>
      <c r="B348">
        <v>8552.3155039103549</v>
      </c>
      <c r="C348">
        <v>9003.6699999999983</v>
      </c>
      <c r="D348">
        <v>-451.35449608964342</v>
      </c>
    </row>
    <row r="349" spans="1:4" x14ac:dyDescent="0.2">
      <c r="A349" s="29">
        <v>45116</v>
      </c>
      <c r="B349">
        <v>8479.7718129479308</v>
      </c>
      <c r="C349">
        <v>9003.4999999999982</v>
      </c>
      <c r="D349">
        <v>-523.72818705206737</v>
      </c>
    </row>
    <row r="350" spans="1:4" x14ac:dyDescent="0.2">
      <c r="A350" s="29">
        <v>45115</v>
      </c>
      <c r="B350">
        <v>8512.2498522802452</v>
      </c>
      <c r="C350">
        <v>9003.4999999999982</v>
      </c>
      <c r="D350">
        <v>-491.25014771975287</v>
      </c>
    </row>
    <row r="351" spans="1:4" x14ac:dyDescent="0.2">
      <c r="A351" s="29">
        <v>45114</v>
      </c>
      <c r="B351">
        <v>8491.9994271439136</v>
      </c>
      <c r="C351">
        <v>9003.4999999999982</v>
      </c>
      <c r="D351">
        <v>-511.50057285608449</v>
      </c>
    </row>
    <row r="352" spans="1:4" x14ac:dyDescent="0.2">
      <c r="A352" s="29">
        <v>45113</v>
      </c>
      <c r="B352">
        <v>8396.4470933559223</v>
      </c>
      <c r="C352">
        <v>9003.4999999999982</v>
      </c>
      <c r="D352">
        <v>-607.05290664407585</v>
      </c>
    </row>
    <row r="353" spans="1:4" x14ac:dyDescent="0.2">
      <c r="A353" s="29">
        <v>45112</v>
      </c>
      <c r="B353">
        <v>8615.9700257796721</v>
      </c>
      <c r="C353">
        <v>9003.4999999999982</v>
      </c>
      <c r="D353">
        <v>-387.52997422032598</v>
      </c>
    </row>
    <row r="354" spans="1:4" x14ac:dyDescent="0.2">
      <c r="A354" s="29">
        <v>45111</v>
      </c>
      <c r="B354">
        <v>8810.8772705159445</v>
      </c>
      <c r="C354">
        <v>9003.4999999999982</v>
      </c>
      <c r="D354">
        <v>-192.62272948405371</v>
      </c>
    </row>
    <row r="355" spans="1:4" x14ac:dyDescent="0.2">
      <c r="A355" s="29">
        <v>45110</v>
      </c>
      <c r="B355">
        <v>8929.8899329355809</v>
      </c>
      <c r="C355">
        <v>9003.4999999999982</v>
      </c>
      <c r="D355">
        <v>-73.610067064417308</v>
      </c>
    </row>
    <row r="356" spans="1:4" x14ac:dyDescent="0.2">
      <c r="A356" s="29">
        <v>45109</v>
      </c>
      <c r="B356">
        <v>8845.1011240823937</v>
      </c>
      <c r="C356">
        <v>9003.4999999999982</v>
      </c>
      <c r="D356">
        <v>-158.3988759176045</v>
      </c>
    </row>
    <row r="357" spans="1:4" x14ac:dyDescent="0.2">
      <c r="A357" s="29">
        <v>45108</v>
      </c>
      <c r="B357">
        <v>8802.3688384427278</v>
      </c>
      <c r="C357">
        <v>9003.4999999999982</v>
      </c>
      <c r="D357">
        <v>-201.13116155727039</v>
      </c>
    </row>
    <row r="358" spans="1:4" x14ac:dyDescent="0.2">
      <c r="A358" s="29">
        <v>45107</v>
      </c>
      <c r="B358">
        <v>8752.4286890626918</v>
      </c>
      <c r="C358">
        <v>9003.4999999999982</v>
      </c>
      <c r="D358">
        <v>-251.07131093730641</v>
      </c>
    </row>
    <row r="359" spans="1:4" x14ac:dyDescent="0.2">
      <c r="A359" s="29">
        <v>45106</v>
      </c>
      <c r="B359">
        <v>8489.5913659972612</v>
      </c>
      <c r="C359">
        <v>9003.4999999999982</v>
      </c>
      <c r="D359">
        <v>-513.90863400273702</v>
      </c>
    </row>
    <row r="360" spans="1:4" x14ac:dyDescent="0.2">
      <c r="A360" s="29">
        <v>45105</v>
      </c>
      <c r="B360">
        <v>8355.915094720247</v>
      </c>
      <c r="C360">
        <v>9003.4999999999982</v>
      </c>
      <c r="D360">
        <v>-647.58490527975118</v>
      </c>
    </row>
    <row r="361" spans="1:4" x14ac:dyDescent="0.2">
      <c r="A361" s="29">
        <v>45104</v>
      </c>
      <c r="B361">
        <v>8754.3367183418704</v>
      </c>
      <c r="C361">
        <v>9003.4999999999982</v>
      </c>
      <c r="D361">
        <v>-249.16328165812769</v>
      </c>
    </row>
    <row r="362" spans="1:4" x14ac:dyDescent="0.2">
      <c r="A362" s="29">
        <v>45103</v>
      </c>
      <c r="B362">
        <v>8627.6731379835564</v>
      </c>
      <c r="C362">
        <v>9003.4999999999982</v>
      </c>
      <c r="D362">
        <v>-375.82686201644168</v>
      </c>
    </row>
    <row r="363" spans="1:4" x14ac:dyDescent="0.2">
      <c r="A363" s="29">
        <v>45102</v>
      </c>
      <c r="B363">
        <v>8854.5673784002884</v>
      </c>
      <c r="C363">
        <v>9003.4999999999982</v>
      </c>
      <c r="D363">
        <v>-148.93262159970979</v>
      </c>
    </row>
    <row r="364" spans="1:4" x14ac:dyDescent="0.2">
      <c r="A364" s="29">
        <v>45101</v>
      </c>
      <c r="B364">
        <v>8768.1142221048685</v>
      </c>
      <c r="C364">
        <v>9003.4999999999982</v>
      </c>
      <c r="D364">
        <v>-235.38577789512959</v>
      </c>
    </row>
    <row r="365" spans="1:4" x14ac:dyDescent="0.2">
      <c r="A365" s="29">
        <v>45100</v>
      </c>
      <c r="B365">
        <v>8877.5022805921108</v>
      </c>
      <c r="C365">
        <v>9003.4999999999982</v>
      </c>
      <c r="D365">
        <v>-125.9977194078874</v>
      </c>
    </row>
    <row r="366" spans="1:4" x14ac:dyDescent="0.2">
      <c r="A366" s="29">
        <v>45099</v>
      </c>
      <c r="B366">
        <v>8711.1484859102857</v>
      </c>
      <c r="C366">
        <v>9003.4999999999982</v>
      </c>
      <c r="D366">
        <v>-292.35151408971251</v>
      </c>
    </row>
    <row r="367" spans="1:4" x14ac:dyDescent="0.2">
      <c r="A367" s="29">
        <v>45098</v>
      </c>
      <c r="B367">
        <v>8763.3531025526427</v>
      </c>
      <c r="C367">
        <v>9003.4999999999982</v>
      </c>
      <c r="D367">
        <v>-240.14689744735551</v>
      </c>
    </row>
    <row r="368" spans="1:4" x14ac:dyDescent="0.2">
      <c r="A368" s="29">
        <v>45097</v>
      </c>
      <c r="B368">
        <v>8430.5134296292672</v>
      </c>
      <c r="C368">
        <v>9002.6299999999974</v>
      </c>
      <c r="D368">
        <v>-572.11657037073019</v>
      </c>
    </row>
    <row r="369" spans="1:4" x14ac:dyDescent="0.2">
      <c r="A369" s="29">
        <v>45096</v>
      </c>
      <c r="B369">
        <v>8262.7329907048206</v>
      </c>
      <c r="C369">
        <v>9129.0099999999984</v>
      </c>
      <c r="D369">
        <v>-866.27700929517778</v>
      </c>
    </row>
    <row r="370" spans="1:4" x14ac:dyDescent="0.2">
      <c r="A370" s="29">
        <v>45095</v>
      </c>
      <c r="B370">
        <v>8237.4546490582106</v>
      </c>
      <c r="C370">
        <v>9129.0099999999984</v>
      </c>
      <c r="D370">
        <v>-891.55535094178776</v>
      </c>
    </row>
    <row r="371" spans="1:4" x14ac:dyDescent="0.2">
      <c r="A371" s="29">
        <v>45094</v>
      </c>
      <c r="B371">
        <v>8266.501777715479</v>
      </c>
      <c r="C371">
        <v>9129.0099999999984</v>
      </c>
      <c r="D371">
        <v>-862.50822228451943</v>
      </c>
    </row>
    <row r="372" spans="1:4" x14ac:dyDescent="0.2">
      <c r="A372" s="29">
        <v>45093</v>
      </c>
      <c r="B372">
        <v>8195.8472207131163</v>
      </c>
      <c r="C372">
        <v>9129.0099999999984</v>
      </c>
      <c r="D372">
        <v>-933.16277928688203</v>
      </c>
    </row>
    <row r="373" spans="1:4" x14ac:dyDescent="0.2">
      <c r="A373" s="29">
        <v>45092</v>
      </c>
      <c r="B373">
        <v>8072.8933613182708</v>
      </c>
      <c r="C373">
        <v>9129.0099999999984</v>
      </c>
      <c r="D373">
        <v>-1056.1166386817281</v>
      </c>
    </row>
    <row r="374" spans="1:4" x14ac:dyDescent="0.2">
      <c r="A374" s="29">
        <v>45091</v>
      </c>
      <c r="B374">
        <v>8110.4190819877704</v>
      </c>
      <c r="C374">
        <v>9129.0099999999984</v>
      </c>
      <c r="D374">
        <v>-1018.590918012228</v>
      </c>
    </row>
    <row r="375" spans="1:4" x14ac:dyDescent="0.2">
      <c r="A375" s="29">
        <v>45090</v>
      </c>
      <c r="B375">
        <v>8511.0459997619218</v>
      </c>
      <c r="C375">
        <v>9129.0099999999984</v>
      </c>
      <c r="D375">
        <v>-617.96400023807655</v>
      </c>
    </row>
    <row r="376" spans="1:4" x14ac:dyDescent="0.2">
      <c r="A376" s="29">
        <v>45089</v>
      </c>
      <c r="B376">
        <v>8483.5565586892426</v>
      </c>
      <c r="C376">
        <v>9129.0099999999984</v>
      </c>
      <c r="D376">
        <v>-645.45344131075581</v>
      </c>
    </row>
    <row r="377" spans="1:4" x14ac:dyDescent="0.2">
      <c r="A377" s="29">
        <v>45088</v>
      </c>
      <c r="B377">
        <v>8442.9642357248958</v>
      </c>
      <c r="C377">
        <v>9129.0099999999984</v>
      </c>
      <c r="D377">
        <v>-686.04576427510256</v>
      </c>
    </row>
    <row r="378" spans="1:4" x14ac:dyDescent="0.2">
      <c r="A378" s="29">
        <v>45087</v>
      </c>
      <c r="B378">
        <v>8435.4862281391179</v>
      </c>
      <c r="C378">
        <v>9122.6999999999971</v>
      </c>
      <c r="D378">
        <v>-687.21377186087921</v>
      </c>
    </row>
    <row r="379" spans="1:4" x14ac:dyDescent="0.2">
      <c r="A379" s="29">
        <v>45086</v>
      </c>
      <c r="B379">
        <v>8965.6249509001918</v>
      </c>
      <c r="C379">
        <v>9122.6999999999971</v>
      </c>
      <c r="D379">
        <v>-157.07504909980531</v>
      </c>
    </row>
    <row r="380" spans="1:4" x14ac:dyDescent="0.2">
      <c r="A380" s="29">
        <v>45085</v>
      </c>
      <c r="B380">
        <v>9015.8419717770303</v>
      </c>
      <c r="C380">
        <v>9122.6999999999971</v>
      </c>
      <c r="D380">
        <v>-106.85802822296679</v>
      </c>
    </row>
    <row r="381" spans="1:4" x14ac:dyDescent="0.2">
      <c r="A381" s="29">
        <v>45084</v>
      </c>
      <c r="B381">
        <v>8955.0842326782622</v>
      </c>
      <c r="C381">
        <v>9122.6999999999971</v>
      </c>
      <c r="D381">
        <v>-167.61576732173489</v>
      </c>
    </row>
    <row r="382" spans="1:4" x14ac:dyDescent="0.2">
      <c r="A382" s="29">
        <v>45083</v>
      </c>
      <c r="B382">
        <v>9269.5046414077242</v>
      </c>
      <c r="C382">
        <v>9122.6999999999971</v>
      </c>
      <c r="D382">
        <v>146.8046414077271</v>
      </c>
    </row>
    <row r="383" spans="1:4" x14ac:dyDescent="0.2">
      <c r="A383" s="29">
        <v>45082</v>
      </c>
      <c r="B383">
        <v>8996.9876399163186</v>
      </c>
      <c r="C383">
        <v>9122.6999999999971</v>
      </c>
      <c r="D383">
        <v>-125.7123600836785</v>
      </c>
    </row>
    <row r="384" spans="1:4" x14ac:dyDescent="0.2">
      <c r="A384" s="29">
        <v>45081</v>
      </c>
      <c r="B384">
        <v>9455.1490956731541</v>
      </c>
      <c r="C384">
        <v>9122.6999999999971</v>
      </c>
      <c r="D384">
        <v>332.44909567315699</v>
      </c>
    </row>
    <row r="385" spans="1:4" x14ac:dyDescent="0.2">
      <c r="A385" s="29">
        <v>45080</v>
      </c>
      <c r="B385">
        <v>8386.2200408920235</v>
      </c>
      <c r="C385">
        <v>8123.7299999999977</v>
      </c>
      <c r="D385">
        <v>262.49004089202572</v>
      </c>
    </row>
    <row r="386" spans="1:4" x14ac:dyDescent="0.2">
      <c r="A386" s="29">
        <v>45079</v>
      </c>
      <c r="B386">
        <v>8463.7175236778494</v>
      </c>
      <c r="C386">
        <v>8123.7299999999977</v>
      </c>
      <c r="D386">
        <v>339.98752367785158</v>
      </c>
    </row>
    <row r="387" spans="1:4" x14ac:dyDescent="0.2">
      <c r="A387" s="29">
        <v>45078</v>
      </c>
      <c r="B387">
        <v>8258.5944661930262</v>
      </c>
      <c r="C387">
        <v>8123.7299999999977</v>
      </c>
      <c r="D387">
        <v>134.86446619302839</v>
      </c>
    </row>
    <row r="388" spans="1:4" x14ac:dyDescent="0.2">
      <c r="A388" s="29">
        <v>45077</v>
      </c>
      <c r="B388">
        <v>8404.5745684799585</v>
      </c>
      <c r="C388">
        <v>8123.7299999999977</v>
      </c>
      <c r="D388">
        <v>280.8445684799608</v>
      </c>
    </row>
    <row r="389" spans="1:4" x14ac:dyDescent="0.2">
      <c r="A389" s="29">
        <v>45076</v>
      </c>
      <c r="B389">
        <v>8526.9167850566446</v>
      </c>
      <c r="C389">
        <v>8123.7299999999977</v>
      </c>
      <c r="D389">
        <v>403.18678505664678</v>
      </c>
    </row>
    <row r="390" spans="1:4" x14ac:dyDescent="0.2">
      <c r="A390" s="29">
        <v>45075</v>
      </c>
      <c r="B390">
        <v>8394.0659239965662</v>
      </c>
      <c r="C390">
        <v>8123.7299999999977</v>
      </c>
      <c r="D390">
        <v>270.33592399656851</v>
      </c>
    </row>
    <row r="391" spans="1:4" x14ac:dyDescent="0.2">
      <c r="A391" s="29">
        <v>45074</v>
      </c>
      <c r="B391">
        <v>8411.227677703635</v>
      </c>
      <c r="C391">
        <v>8123.7299999999977</v>
      </c>
      <c r="D391">
        <v>287.49767770363718</v>
      </c>
    </row>
    <row r="392" spans="1:4" x14ac:dyDescent="0.2">
      <c r="A392" s="29">
        <v>45073</v>
      </c>
      <c r="B392">
        <v>8134.2170470231704</v>
      </c>
      <c r="C392">
        <v>8123.7299999999977</v>
      </c>
      <c r="D392">
        <v>10.487047023172639</v>
      </c>
    </row>
    <row r="393" spans="1:4" x14ac:dyDescent="0.2">
      <c r="A393" s="29">
        <v>45072</v>
      </c>
      <c r="B393">
        <v>8105.4435968347734</v>
      </c>
      <c r="C393">
        <v>8123.7299999999977</v>
      </c>
      <c r="D393">
        <v>-18.286403165225241</v>
      </c>
    </row>
    <row r="394" spans="1:4" x14ac:dyDescent="0.2">
      <c r="A394" s="29">
        <v>45071</v>
      </c>
      <c r="B394">
        <v>7928.2450697248951</v>
      </c>
      <c r="C394">
        <v>8123.7299999999977</v>
      </c>
      <c r="D394">
        <v>-195.4849302751027</v>
      </c>
    </row>
    <row r="395" spans="1:4" x14ac:dyDescent="0.2">
      <c r="A395" s="29">
        <v>45070</v>
      </c>
      <c r="B395">
        <v>7950.2262865611046</v>
      </c>
      <c r="C395">
        <v>8123.7299999999977</v>
      </c>
      <c r="D395">
        <v>-173.5037134388931</v>
      </c>
    </row>
    <row r="396" spans="1:4" x14ac:dyDescent="0.2">
      <c r="A396" s="29">
        <v>45069</v>
      </c>
      <c r="B396">
        <v>8163.8024561315542</v>
      </c>
      <c r="C396">
        <v>8123.7299999999977</v>
      </c>
      <c r="D396">
        <v>40.072456131556457</v>
      </c>
    </row>
    <row r="397" spans="1:4" x14ac:dyDescent="0.2">
      <c r="A397" s="29">
        <v>45068</v>
      </c>
      <c r="B397">
        <v>8088.3859374488547</v>
      </c>
      <c r="C397">
        <v>8123.7299999999977</v>
      </c>
      <c r="D397">
        <v>-35.344062551142997</v>
      </c>
    </row>
    <row r="398" spans="1:4" x14ac:dyDescent="0.2">
      <c r="A398" s="29">
        <v>45067</v>
      </c>
      <c r="B398">
        <v>8035.5546325191972</v>
      </c>
      <c r="C398">
        <v>8120.6299999999983</v>
      </c>
      <c r="D398">
        <v>-85.075367480801106</v>
      </c>
    </row>
    <row r="399" spans="1:4" x14ac:dyDescent="0.2">
      <c r="A399" s="29">
        <v>45066</v>
      </c>
      <c r="B399">
        <v>8151.0380482185901</v>
      </c>
      <c r="C399">
        <v>8120.6299999999983</v>
      </c>
      <c r="D399">
        <v>30.40804821859183</v>
      </c>
    </row>
    <row r="400" spans="1:4" x14ac:dyDescent="0.2">
      <c r="A400" s="29">
        <v>45065</v>
      </c>
      <c r="B400">
        <v>8132.5574644560911</v>
      </c>
      <c r="C400">
        <v>8120.6299999999983</v>
      </c>
      <c r="D400">
        <v>11.927464456092819</v>
      </c>
    </row>
    <row r="401" spans="1:4" x14ac:dyDescent="0.2">
      <c r="A401" s="29">
        <v>45064</v>
      </c>
      <c r="B401">
        <v>8076.4119969432377</v>
      </c>
      <c r="C401">
        <v>8120.6299999999983</v>
      </c>
      <c r="D401">
        <v>-44.218003056760608</v>
      </c>
    </row>
    <row r="402" spans="1:4" x14ac:dyDescent="0.2">
      <c r="A402" s="29">
        <v>45063</v>
      </c>
      <c r="B402">
        <v>8108.6212301790547</v>
      </c>
      <c r="C402">
        <v>8120.6299999999983</v>
      </c>
      <c r="D402">
        <v>-12.0087698209436</v>
      </c>
    </row>
    <row r="403" spans="1:4" x14ac:dyDescent="0.2">
      <c r="A403" s="29">
        <v>45062</v>
      </c>
      <c r="B403">
        <v>8018.310479003454</v>
      </c>
      <c r="C403">
        <v>8120.6299999999983</v>
      </c>
      <c r="D403">
        <v>-102.3195209965443</v>
      </c>
    </row>
    <row r="404" spans="1:4" x14ac:dyDescent="0.2">
      <c r="A404" s="29">
        <v>45061</v>
      </c>
      <c r="B404">
        <v>7961.3662887755472</v>
      </c>
      <c r="C404">
        <v>8120.6299999999983</v>
      </c>
      <c r="D404">
        <v>-159.2637112244511</v>
      </c>
    </row>
    <row r="405" spans="1:4" x14ac:dyDescent="0.2">
      <c r="A405" s="29">
        <v>45060</v>
      </c>
      <c r="B405">
        <v>7895.001104964238</v>
      </c>
      <c r="C405">
        <v>8120.6299999999983</v>
      </c>
      <c r="D405">
        <v>-225.62889503576031</v>
      </c>
    </row>
    <row r="406" spans="1:4" x14ac:dyDescent="0.2">
      <c r="A406" s="29">
        <v>45059</v>
      </c>
      <c r="B406">
        <v>7856.2770349846851</v>
      </c>
      <c r="C406">
        <v>8120.6299999999983</v>
      </c>
      <c r="D406">
        <v>-264.3529650153132</v>
      </c>
    </row>
    <row r="407" spans="1:4" x14ac:dyDescent="0.2">
      <c r="A407" s="29">
        <v>45058</v>
      </c>
      <c r="B407">
        <v>7921.514515879494</v>
      </c>
      <c r="C407">
        <v>8086.0399999999981</v>
      </c>
      <c r="D407">
        <v>-164.52548412050419</v>
      </c>
    </row>
    <row r="408" spans="1:4" x14ac:dyDescent="0.2">
      <c r="A408" s="29">
        <v>45057</v>
      </c>
      <c r="B408">
        <v>7784.8358440995671</v>
      </c>
      <c r="C408">
        <v>8086.0399999999981</v>
      </c>
      <c r="D408">
        <v>-301.20415590043098</v>
      </c>
    </row>
    <row r="409" spans="1:4" x14ac:dyDescent="0.2">
      <c r="A409" s="29">
        <v>45056</v>
      </c>
      <c r="B409">
        <v>8046.7708859730374</v>
      </c>
      <c r="C409">
        <v>8086.0399999999981</v>
      </c>
      <c r="D409">
        <v>-39.269114026960779</v>
      </c>
    </row>
    <row r="410" spans="1:4" x14ac:dyDescent="0.2">
      <c r="A410" s="29">
        <v>45055</v>
      </c>
      <c r="B410">
        <v>8008.1845671538531</v>
      </c>
      <c r="C410">
        <v>8086.0399999999981</v>
      </c>
      <c r="D410">
        <v>-77.85543284614505</v>
      </c>
    </row>
    <row r="411" spans="1:4" x14ac:dyDescent="0.2">
      <c r="A411" s="29">
        <v>45054</v>
      </c>
      <c r="B411">
        <v>7990.438341863678</v>
      </c>
      <c r="C411">
        <v>8035.0199999999986</v>
      </c>
      <c r="D411">
        <v>-44.581658136320577</v>
      </c>
    </row>
    <row r="412" spans="1:4" x14ac:dyDescent="0.2">
      <c r="A412" s="29">
        <v>45053</v>
      </c>
      <c r="B412">
        <v>8303.5187448385132</v>
      </c>
      <c r="C412">
        <v>8035.0199999999986</v>
      </c>
      <c r="D412">
        <v>268.49874483851448</v>
      </c>
    </row>
    <row r="413" spans="1:4" x14ac:dyDescent="0.2">
      <c r="A413" s="29">
        <v>45052</v>
      </c>
      <c r="B413">
        <v>8354.9891707469415</v>
      </c>
      <c r="C413">
        <v>8035.0199999999986</v>
      </c>
      <c r="D413">
        <v>319.96917074694278</v>
      </c>
    </row>
    <row r="414" spans="1:4" x14ac:dyDescent="0.2">
      <c r="A414" s="29">
        <v>45051</v>
      </c>
      <c r="B414">
        <v>8628.1410246420492</v>
      </c>
      <c r="C414">
        <v>8035.0199999999986</v>
      </c>
      <c r="D414">
        <v>593.12102464205054</v>
      </c>
    </row>
    <row r="415" spans="1:4" x14ac:dyDescent="0.2">
      <c r="A415" s="29">
        <v>45050</v>
      </c>
      <c r="B415">
        <v>8370.2120614000123</v>
      </c>
      <c r="C415">
        <v>8035.0199999999986</v>
      </c>
      <c r="D415">
        <v>335.1920614000137</v>
      </c>
    </row>
    <row r="416" spans="1:4" x14ac:dyDescent="0.2">
      <c r="A416" s="29">
        <v>45049</v>
      </c>
      <c r="B416">
        <v>8472.110547626944</v>
      </c>
      <c r="C416">
        <v>8035.0199999999986</v>
      </c>
      <c r="D416">
        <v>437.09054762694541</v>
      </c>
    </row>
    <row r="417" spans="1:4" x14ac:dyDescent="0.2">
      <c r="A417" s="29">
        <v>45048</v>
      </c>
      <c r="B417">
        <v>8423.1400169121043</v>
      </c>
      <c r="C417">
        <v>8035.0199999999986</v>
      </c>
      <c r="D417">
        <v>388.12001691210571</v>
      </c>
    </row>
    <row r="418" spans="1:4" x14ac:dyDescent="0.2">
      <c r="A418" s="29">
        <v>45047</v>
      </c>
      <c r="B418">
        <v>8370.3421099703992</v>
      </c>
      <c r="C418">
        <v>8035.0199999999986</v>
      </c>
      <c r="D418">
        <v>335.32210997040062</v>
      </c>
    </row>
    <row r="419" spans="1:4" x14ac:dyDescent="0.2">
      <c r="A419" s="29">
        <v>45046</v>
      </c>
      <c r="B419">
        <v>8680.6037904772711</v>
      </c>
      <c r="C419">
        <v>8035.0199999999986</v>
      </c>
      <c r="D419">
        <v>645.58379047727249</v>
      </c>
    </row>
    <row r="420" spans="1:4" x14ac:dyDescent="0.2">
      <c r="A420" s="29">
        <v>45045</v>
      </c>
      <c r="B420">
        <v>8641.9999969055825</v>
      </c>
      <c r="C420">
        <v>8035.0199999999986</v>
      </c>
      <c r="D420">
        <v>606.9799969055839</v>
      </c>
    </row>
    <row r="421" spans="1:4" x14ac:dyDescent="0.2">
      <c r="A421" s="29">
        <v>45044</v>
      </c>
      <c r="B421">
        <v>8629.9272840153826</v>
      </c>
      <c r="C421">
        <v>8035.0199999999986</v>
      </c>
      <c r="D421">
        <v>594.90728401538399</v>
      </c>
    </row>
    <row r="422" spans="1:4" x14ac:dyDescent="0.2">
      <c r="A422" s="29">
        <v>45043</v>
      </c>
      <c r="B422">
        <v>8639.4844177479063</v>
      </c>
      <c r="C422">
        <v>8035.0199999999986</v>
      </c>
      <c r="D422">
        <v>604.46441774790765</v>
      </c>
    </row>
    <row r="423" spans="1:4" x14ac:dyDescent="0.2">
      <c r="A423" s="29">
        <v>45042</v>
      </c>
      <c r="B423">
        <v>8479.0641642490991</v>
      </c>
      <c r="C423">
        <v>8035.0199999999986</v>
      </c>
      <c r="D423">
        <v>444.0441642491005</v>
      </c>
    </row>
    <row r="424" spans="1:4" x14ac:dyDescent="0.2">
      <c r="A424" s="29">
        <v>45041</v>
      </c>
      <c r="B424">
        <v>8559.08992168849</v>
      </c>
      <c r="C424">
        <v>8035.0199999999986</v>
      </c>
      <c r="D424">
        <v>524.06992168849138</v>
      </c>
    </row>
    <row r="425" spans="1:4" x14ac:dyDescent="0.2">
      <c r="A425" s="29">
        <v>45040</v>
      </c>
      <c r="B425">
        <v>8396.5931318790554</v>
      </c>
      <c r="C425">
        <v>8035.0199999999986</v>
      </c>
      <c r="D425">
        <v>361.57313187905669</v>
      </c>
    </row>
    <row r="426" spans="1:4" x14ac:dyDescent="0.2">
      <c r="A426" s="29">
        <v>45039</v>
      </c>
      <c r="B426">
        <v>8474.79752214986</v>
      </c>
      <c r="C426">
        <v>8035.0199999999986</v>
      </c>
      <c r="D426">
        <v>439.7775221498614</v>
      </c>
    </row>
    <row r="427" spans="1:4" x14ac:dyDescent="0.2">
      <c r="A427" s="29">
        <v>45038</v>
      </c>
      <c r="B427">
        <v>8593.0289612325341</v>
      </c>
      <c r="C427">
        <v>8035.0199999999986</v>
      </c>
      <c r="D427">
        <v>558.00896123253551</v>
      </c>
    </row>
    <row r="428" spans="1:4" x14ac:dyDescent="0.2">
      <c r="A428" s="29">
        <v>45037</v>
      </c>
      <c r="B428">
        <v>8350.6197233377661</v>
      </c>
      <c r="C428">
        <v>8035.0199999999986</v>
      </c>
      <c r="D428">
        <v>315.5997233377675</v>
      </c>
    </row>
    <row r="429" spans="1:4" x14ac:dyDescent="0.2">
      <c r="A429" s="29">
        <v>45036</v>
      </c>
      <c r="B429">
        <v>8755.4458449541416</v>
      </c>
      <c r="C429">
        <v>8035.0199999999986</v>
      </c>
      <c r="D429">
        <v>720.42584495414303</v>
      </c>
    </row>
    <row r="430" spans="1:4" x14ac:dyDescent="0.2">
      <c r="A430" s="29">
        <v>45035</v>
      </c>
      <c r="B430">
        <v>8888.3417994876418</v>
      </c>
      <c r="C430">
        <v>8035.0199999999986</v>
      </c>
      <c r="D430">
        <v>853.32179948764315</v>
      </c>
    </row>
    <row r="431" spans="1:4" x14ac:dyDescent="0.2">
      <c r="A431" s="29">
        <v>45034</v>
      </c>
      <c r="B431">
        <v>8749.915484044297</v>
      </c>
      <c r="C431">
        <v>7095.3399999999983</v>
      </c>
      <c r="D431">
        <v>1654.5754840442989</v>
      </c>
    </row>
    <row r="432" spans="1:4" x14ac:dyDescent="0.2">
      <c r="A432" s="29">
        <v>45033</v>
      </c>
      <c r="B432">
        <v>8558.9181637269176</v>
      </c>
      <c r="C432">
        <v>7095.3399999999983</v>
      </c>
      <c r="D432">
        <v>1463.578163726919</v>
      </c>
    </row>
    <row r="433" spans="1:4" x14ac:dyDescent="0.2">
      <c r="A433" s="29">
        <v>45032</v>
      </c>
      <c r="B433">
        <v>8787.8075316299273</v>
      </c>
      <c r="C433">
        <v>7095.3399999999983</v>
      </c>
      <c r="D433">
        <v>1692.467531629929</v>
      </c>
    </row>
    <row r="434" spans="1:4" x14ac:dyDescent="0.2">
      <c r="A434" s="29">
        <v>45031</v>
      </c>
      <c r="B434">
        <v>8725.8987985117801</v>
      </c>
      <c r="C434">
        <v>7095.3399999999983</v>
      </c>
      <c r="D434">
        <v>1630.558798511782</v>
      </c>
    </row>
    <row r="435" spans="1:4" x14ac:dyDescent="0.2">
      <c r="A435" s="29">
        <v>45030</v>
      </c>
      <c r="B435">
        <v>8686.4290394986965</v>
      </c>
      <c r="C435">
        <v>7095.3399999999983</v>
      </c>
      <c r="D435">
        <v>1591.089039498698</v>
      </c>
    </row>
    <row r="436" spans="1:4" x14ac:dyDescent="0.2">
      <c r="A436" s="29">
        <v>45029</v>
      </c>
      <c r="B436">
        <v>8460.6025626997161</v>
      </c>
      <c r="C436">
        <v>7095.3399999999983</v>
      </c>
      <c r="D436">
        <v>1365.262562699718</v>
      </c>
    </row>
    <row r="437" spans="1:4" x14ac:dyDescent="0.2">
      <c r="A437" s="29">
        <v>45028</v>
      </c>
      <c r="B437">
        <v>8151.5374522034581</v>
      </c>
      <c r="C437">
        <v>7095.3399999999983</v>
      </c>
      <c r="D437">
        <v>1056.19745220346</v>
      </c>
    </row>
    <row r="438" spans="1:4" x14ac:dyDescent="0.2">
      <c r="A438" s="29">
        <v>45027</v>
      </c>
      <c r="B438">
        <v>8197.7278953353343</v>
      </c>
      <c r="C438">
        <v>7095.3399999999983</v>
      </c>
      <c r="D438">
        <v>1102.387895335336</v>
      </c>
    </row>
    <row r="439" spans="1:4" x14ac:dyDescent="0.2">
      <c r="A439" s="29">
        <v>45026</v>
      </c>
      <c r="B439">
        <v>8244.1738556771852</v>
      </c>
      <c r="C439">
        <v>7095.3399999999983</v>
      </c>
      <c r="D439">
        <v>1148.8338556771871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Portfolio</vt:lpstr>
      <vt:lpstr>Transactions</vt:lpstr>
      <vt:lpstr>Transactions (After Sales)</vt:lpstr>
      <vt:lpstr>Currency Data</vt:lpstr>
      <vt:lpstr>Currency Transactions</vt:lpstr>
      <vt:lpstr>Tax Calc</vt:lpstr>
      <vt:lpstr>After Sales</vt:lpstr>
      <vt:lpstr>8949 Data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Jimmy Theriault</cp:lastModifiedBy>
  <dcterms:created xsi:type="dcterms:W3CDTF">2024-02-19T03:26:05Z</dcterms:created>
  <dcterms:modified xsi:type="dcterms:W3CDTF">2024-06-20T17:11:14Z</dcterms:modified>
</cp:coreProperties>
</file>