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theriault/Library/CloudStorage/OneDrive-Personal/GitHub/crypto-excel/workbooks/"/>
    </mc:Choice>
  </mc:AlternateContent>
  <xr:revisionPtr revIDLastSave="0" documentId="13_ncr:1_{C5D37228-3066-CA48-8E77-6C9437A287B6}" xr6:coauthVersionLast="47" xr6:coauthVersionMax="47" xr10:uidLastSave="{00000000-0000-0000-0000-000000000000}"/>
  <bookViews>
    <workbookView xWindow="16800" yWindow="500" windowWidth="16800" windowHeight="20500" activeTab="4" xr2:uid="{00000000-000D-0000-FFFF-FFFF00000000}"/>
  </bookViews>
  <sheets>
    <sheet name="Portfolio" sheetId="1" r:id="rId1"/>
    <sheet name="Transactions" sheetId="2" r:id="rId2"/>
    <sheet name="Currency Transactions" sheetId="3" r:id="rId3"/>
    <sheet name="Currency Data" sheetId="4" r:id="rId4"/>
    <sheet name="8949" sheetId="11" r:id="rId5"/>
    <sheet name="Tax Calc" sheetId="10" r:id="rId6"/>
    <sheet name="Current Prices" sheetId="8" r:id="rId7"/>
    <sheet name="Portfolios" sheetId="7" r:id="rId8"/>
    <sheet name="Value &amp; Cost Basis" sheetId="6" r:id="rId9"/>
  </sheets>
  <functionGroups builtInGroupCount="19"/>
  <externalReferences>
    <externalReference r:id="rId10"/>
  </externalReferences>
  <definedNames>
    <definedName name="_xlnm._FilterDatabase" localSheetId="2" hidden="1">'Currency Transactions'!$A$6:$M$30</definedName>
    <definedName name="_xlnm._FilterDatabase" localSheetId="1" hidden="1">Transactions!$A$1:$M$355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ExternalData_1" localSheetId="8" hidden="1">'Value &amp; Cost Basis'!$A$1:$C$368</definedName>
    <definedName name="ExternalData_2" localSheetId="7" hidden="1">Portfolios!$A$1:$D$1134</definedName>
    <definedName name="ExternalData_3" localSheetId="6" hidden="1">'Current Prices'!$A$1:$B$43</definedName>
    <definedName name="FEE_COST_BASIS">OFFSET(Transactions!$K$2, 0, 0, COUNTA(Transactions!$A:$A) - 1, 1)</definedName>
    <definedName name="FEE_CURRENCY">OFFSET(Transactions!$J$2, 0, 0, COUNTA(Transactions!$A:$A) - 1, 1)</definedName>
    <definedName name="FEE_QUANTITY">OFFSET(Transactions!$I$2, 0, 0, COUNTA(Transactions!$A:$A) - 1, 1)</definedName>
    <definedName name="FEE_REALIZED_RETURN">OFFSET(Transactions!$M$2, 0, 0, COUNTA(Transactions!$A:$A) - 1, 1)</definedName>
    <definedName name="hbar1Data">OFFSET('[1]Historical Data'!$A$379,0,0,COUNTA('[1]Historical Data'!$A$379:$A$1048576),1)</definedName>
    <definedName name="hbar1Dates">OFFSET('[1]Historical Data'!$B$379,0,0,COUNTA('[1]Historical Data'!$B$379:$B$1048576),1)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OFFSET(Transactions!$L$2, 0, 0, COUNTA(Transactions!$A:$A) - 1, 1)</definedName>
    <definedName name="RECEIVED_COST_BASIS">OFFSET(Transactions!$E$2, 0, 0, COUNTA(Transactions!$A:$A) - 1, 1)</definedName>
    <definedName name="RECEIVED_CURRENCY">OFFSET(Transactions!$D$2,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SENT_COST_BASIS">OFFSET(Transactions!$H$2, 0, 0, COUNTA(Transactions!$A:$A) - 1, 1)</definedName>
    <definedName name="SENT_CURRENCY">OFFSET(Transactions!$G$2, 0, 0, COUNTA(Transactions!$A:$A) - 1, 1)</definedName>
    <definedName name="SENT_QUANTITY">OFFSET(Transactions!$F$2, 0, 0, COUNTA(Transactions!$A:$A)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  <definedName name="xrp1Data">OFFSET('[1]Historical Data'!$C$379,0,0,COUNTA('[1]Historical Data'!$C$379:$C$1048576),1)</definedName>
    <definedName name="xrp1Dates">OFFSET('[1]Historical Data'!$D$379,0,0,COUNTA('[1]Historical Data'!$D$379:$D$1048576),1)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2" i="1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H35" i="10" a="1"/>
  <c r="H36" i="10" a="1"/>
  <c r="H36" i="10" l="1"/>
  <c r="I17" i="10" s="1"/>
  <c r="H35" i="10"/>
  <c r="P17" i="10" s="1"/>
  <c r="T9" i="10"/>
  <c r="K25" i="10" l="1"/>
  <c r="R17" i="10"/>
  <c r="T17" i="10"/>
  <c r="T19" i="10" s="1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T4" i="10" l="1"/>
  <c r="P4" i="10"/>
  <c r="T8" i="10"/>
  <c r="P8" i="10"/>
  <c r="P3" i="10"/>
  <c r="R9" i="10" s="1"/>
  <c r="O25" i="10" a="1"/>
  <c r="O26" i="10" a="1"/>
  <c r="O26" i="10" l="1"/>
  <c r="O25" i="10"/>
  <c r="P9" i="10" s="1"/>
  <c r="R8" i="10"/>
  <c r="T11" i="10"/>
  <c r="T12" i="10" l="1"/>
  <c r="T22" i="10"/>
  <c r="T23" i="10" s="1"/>
  <c r="I5" i="1" l="1"/>
  <c r="D5" i="1"/>
  <c r="A7" i="3" a="1"/>
  <c r="A7" i="3" s="1"/>
  <c r="A2" i="4" a="1"/>
  <c r="A2" i="4" s="1"/>
  <c r="J5" i="1" l="1"/>
  <c r="C2" i="4" a="1"/>
  <c r="C2" i="4" s="1"/>
  <c r="B2" i="4" a="1"/>
  <c r="B2" i="4" s="1"/>
  <c r="K2" i="4" a="1"/>
  <c r="K2" i="4" s="1"/>
  <c r="F2" i="4" a="1"/>
  <c r="F2" i="4" s="1"/>
  <c r="G2" i="4" a="1"/>
  <c r="G2" i="4" s="1"/>
  <c r="D2" i="4" a="1"/>
  <c r="D2" i="4" s="1"/>
  <c r="E2" i="4" l="1" a="1"/>
  <c r="E2" i="4" s="1"/>
  <c r="I2" i="4" s="1" a="1"/>
  <c r="I2" i="4" s="1"/>
  <c r="H2" i="4" a="1"/>
  <c r="H2" i="4" s="1"/>
  <c r="B39" i="1" l="1" a="1"/>
  <c r="B39" i="1" s="1"/>
  <c r="A39" i="1" a="1"/>
  <c r="A39" i="1" s="1"/>
  <c r="D7" i="1" a="1"/>
  <c r="D7" i="1" s="1"/>
  <c r="F39" i="1" a="1"/>
  <c r="F39" i="1" s="1"/>
  <c r="H39" i="1" a="1"/>
  <c r="H39" i="1" s="1"/>
  <c r="D39" i="1" a="1"/>
  <c r="D39" i="1" s="1"/>
  <c r="J2" i="4" a="1"/>
  <c r="J2" i="4" s="1"/>
  <c r="J39" i="1" s="1" a="1"/>
  <c r="J39" i="1" s="1"/>
  <c r="K39" i="1" l="1" a="1"/>
  <c r="K3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2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3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<sst xmlns="http://schemas.openxmlformats.org/spreadsheetml/2006/main" count="2441" uniqueCount="146">
  <si>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</si>
  <si>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</si>
  <si>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</si>
  <si>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</si>
  <si>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</si>
  <si>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</si>
  <si>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</si>
  <si>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</si>
  <si>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</si>
  <si>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</si>
  <si>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</si>
  <si>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</si>
  <si>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</si>
  <si>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</si>
  <si>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</si>
  <si>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</si>
  <si>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</si>
  <si>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</si>
  <si>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</si>
  <si>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</si>
  <si>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</si>
  <si>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</si>
  <si>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</si>
  <si>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</si>
  <si>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</si>
  <si>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</si>
  <si>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</si>
  <si>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</si>
  <si>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</si>
  <si>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</si>
  <si>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</si>
  <si>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</si>
  <si>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</si>
  <si>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</si>
  <si>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</si>
  <si>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</si>
  <si>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</si>
  <si>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</si>
  <si>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</si>
  <si>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</si>
  <si>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</si>
  <si>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</si>
  <si>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</si>
  <si>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</si>
  <si>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</si>
  <si>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</si>
  <si>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</si>
  <si>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</si>
  <si>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</si>
  <si>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</si>
  <si>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</si>
  <si>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</si>
  <si>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</si>
  <si>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</si>
  <si>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</si>
  <si>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</si>
  <si>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</si>
  <si>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</si>
  <si>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</si>
  <si>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</si>
  <si>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</si>
  <si>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</si>
  <si>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</si>
  <si>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</si>
  <si>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</si>
  <si>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</si>
  <si>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</si>
  <si>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</si>
  <si>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</si>
  <si>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</si>
  <si>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</si>
  <si>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</si>
  <si>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</si>
  <si>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</si>
  <si>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</si>
  <si>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</si>
  <si>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</si>
  <si>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</si>
  <si>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</si>
  <si>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</si>
  <si>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</si>
  <si>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</si>
  <si>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</si>
  <si>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</si>
  <si>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</si>
  <si>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</si>
  <si>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</si>
  <si>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</si>
  <si>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</si>
  <si>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</si>
  <si>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</si>
  <si>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</si>
  <si>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r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</si>
  <si>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</si>
  <si>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</si>
  <si>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</si>
  <si>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</si>
  <si>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</si>
  <si>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</si>
  <si>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</si>
  <si>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</si>
  <si>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</si>
  <si>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</si>
  <si>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</si>
  <si>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</si>
  <si>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</si>
  <si>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</si>
  <si>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</si>
  <si>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</si>
  <si>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</si>
  <si>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</si>
  <si>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</si>
  <si>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</si>
  <si>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</si>
  <si>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</si>
  <si>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</si>
  <si>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</si>
  <si>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</si>
  <si>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</si>
  <si>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</si>
  <si>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</si>
  <si>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</si>
  <si>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</si>
  <si>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</si>
  <si>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</si>
  <si>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</si>
  <si>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</si>
  <si>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</si>
  <si>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</si>
  <si>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</si>
  <si>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</si>
  <si>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</si>
  <si>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</si>
  <si>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</si>
  <si>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</si>
  <si>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</si>
  <si>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</si>
  <si>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</si>
  <si>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</si>
  <si>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</si>
  <si>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</si>
  <si>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</si>
  <si>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</si>
  <si>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Proceeds (sales price)</t>
  </si>
  <si>
    <t>Return</t>
  </si>
  <si>
    <t>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</si>
</sst>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70" formatCode="&quot;$&quot;#,##0.0000"/>
  </numFmts>
  <fonts count="22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286">
    <xf numFmtId="0" fontId="0" fillId="0" borderId="0" xfId="0"/>
    <xf numFmtId="0" fontId="0" fillId="2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14" fontId="3" fillId="3" borderId="11" xfId="0" applyNumberFormat="1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3" borderId="0" xfId="0" applyFill="1"/>
    <xf numFmtId="0" fontId="9" fillId="3" borderId="0" xfId="0" applyFont="1" applyFill="1" applyAlignment="1">
      <alignment horizontal="center"/>
    </xf>
    <xf numFmtId="14" fontId="0" fillId="3" borderId="0" xfId="0" applyNumberFormat="1" applyFill="1"/>
    <xf numFmtId="0" fontId="0" fillId="9" borderId="0" xfId="0" applyFill="1"/>
    <xf numFmtId="164" fontId="0" fillId="9" borderId="0" xfId="0" applyNumberFormat="1" applyFill="1"/>
    <xf numFmtId="0" fontId="0" fillId="9" borderId="10" xfId="0" applyFill="1" applyBorder="1"/>
    <xf numFmtId="164" fontId="0" fillId="9" borderId="10" xfId="0" applyNumberFormat="1" applyFill="1" applyBorder="1"/>
    <xf numFmtId="0" fontId="2" fillId="9" borderId="0" xfId="0" applyFont="1" applyFill="1" applyBorder="1" applyAlignment="1">
      <alignment horizontal="left"/>
    </xf>
    <xf numFmtId="0" fontId="2" fillId="9" borderId="10" xfId="0" applyFont="1" applyFill="1" applyBorder="1" applyAlignment="1">
      <alignment horizontal="left"/>
    </xf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19" xfId="0" applyFont="1" applyFill="1" applyBorder="1" applyAlignment="1">
      <alignment horizontal="left" vertical="center"/>
    </xf>
    <xf numFmtId="164" fontId="13" fillId="9" borderId="19" xfId="0" applyNumberFormat="1" applyFont="1" applyFill="1" applyBorder="1" applyAlignment="1">
      <alignment horizontal="left" vertical="center"/>
    </xf>
    <xf numFmtId="164" fontId="5" fillId="10" borderId="0" xfId="0" applyNumberFormat="1" applyFont="1" applyFill="1" applyAlignment="1">
      <alignment horizontal="center"/>
    </xf>
    <xf numFmtId="164" fontId="0" fillId="10" borderId="0" xfId="0" applyNumberFormat="1" applyFill="1"/>
    <xf numFmtId="164" fontId="13" fillId="9" borderId="19" xfId="0" applyNumberFormat="1" applyFont="1" applyFill="1" applyBorder="1" applyAlignment="1">
      <alignment horizontal="left" vertical="center"/>
    </xf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19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19" xfId="0" applyFont="1" applyFill="1" applyBorder="1" applyAlignment="1">
      <alignment horizontal="right"/>
    </xf>
    <xf numFmtId="170" fontId="5" fillId="10" borderId="0" xfId="0" applyNumberFormat="1" applyFont="1" applyFill="1" applyAlignment="1">
      <alignment horizontal="right"/>
    </xf>
    <xf numFmtId="0" fontId="5" fillId="10" borderId="0" xfId="0" applyFont="1" applyFill="1" applyAlignment="1">
      <alignment horizontal="right"/>
    </xf>
    <xf numFmtId="0" fontId="0" fillId="10" borderId="0" xfId="0" applyFill="1" applyAlignment="1"/>
    <xf numFmtId="0" fontId="5" fillId="10" borderId="0" xfId="0" applyFont="1" applyFill="1" applyAlignment="1">
      <alignment horizontal="right" vertical="center"/>
    </xf>
    <xf numFmtId="0" fontId="0" fillId="10" borderId="0" xfId="0" applyFill="1" applyAlignment="1">
      <alignment horizontal="left"/>
    </xf>
    <xf numFmtId="164" fontId="5" fillId="10" borderId="0" xfId="0" applyNumberFormat="1" applyFont="1" applyFill="1" applyAlignment="1">
      <alignment horizontal="center" vertical="center"/>
    </xf>
    <xf numFmtId="0" fontId="10" fillId="9" borderId="17" xfId="0" applyFont="1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6" xfId="0" applyFill="1" applyBorder="1"/>
    <xf numFmtId="0" fontId="0" fillId="3" borderId="0" xfId="0" applyFill="1" applyBorder="1"/>
    <xf numFmtId="0" fontId="7" fillId="3" borderId="0" xfId="0" applyFont="1" applyFill="1" applyBorder="1"/>
    <xf numFmtId="164" fontId="5" fillId="10" borderId="0" xfId="0" applyNumberFormat="1" applyFont="1" applyFill="1" applyAlignment="1">
      <alignment vertical="center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>
      <alignment horizontal="left"/>
    </xf>
    <xf numFmtId="164" fontId="5" fillId="10" borderId="0" xfId="0" applyNumberFormat="1" applyFont="1" applyFill="1" applyAlignment="1">
      <alignment horizontal="right"/>
    </xf>
    <xf numFmtId="9" fontId="14" fillId="10" borderId="0" xfId="2" applyFont="1" applyFill="1" applyAlignment="1"/>
    <xf numFmtId="164" fontId="17" fillId="11" borderId="20" xfId="0" applyNumberFormat="1" applyFont="1" applyFill="1" applyBorder="1" applyAlignment="1">
      <alignment horizontal="center"/>
    </xf>
    <xf numFmtId="164" fontId="17" fillId="11" borderId="18" xfId="0" applyNumberFormat="1" applyFont="1" applyFill="1" applyBorder="1" applyAlignment="1">
      <alignment horizontal="center"/>
    </xf>
    <xf numFmtId="0" fontId="17" fillId="11" borderId="18" xfId="0" applyFont="1" applyFill="1" applyBorder="1" applyAlignment="1">
      <alignment horizontal="left"/>
    </xf>
    <xf numFmtId="0" fontId="17" fillId="11" borderId="21" xfId="0" applyFont="1" applyFill="1" applyBorder="1" applyAlignment="1">
      <alignment horizontal="left"/>
    </xf>
    <xf numFmtId="164" fontId="17" fillId="3" borderId="22" xfId="0" applyNumberFormat="1" applyFont="1" applyFill="1" applyBorder="1"/>
    <xf numFmtId="164" fontId="17" fillId="11" borderId="23" xfId="0" applyNumberFormat="1" applyFont="1" applyFill="1" applyBorder="1" applyAlignment="1">
      <alignment horizontal="center"/>
    </xf>
    <xf numFmtId="0" fontId="17" fillId="11" borderId="23" xfId="0" applyFont="1" applyFill="1" applyBorder="1" applyAlignment="1">
      <alignment horizontal="left"/>
    </xf>
    <xf numFmtId="0" fontId="17" fillId="11" borderId="24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18" xfId="0" applyFill="1" applyBorder="1"/>
    <xf numFmtId="164" fontId="5" fillId="6" borderId="20" xfId="0" applyNumberFormat="1" applyFont="1" applyFill="1" applyBorder="1" applyAlignment="1">
      <alignment horizontal="center"/>
    </xf>
    <xf numFmtId="0" fontId="5" fillId="6" borderId="18" xfId="0" applyFont="1" applyFill="1" applyBorder="1"/>
    <xf numFmtId="0" fontId="17" fillId="6" borderId="18" xfId="0" applyFont="1" applyFill="1" applyBorder="1" applyAlignment="1">
      <alignment horizontal="left"/>
    </xf>
    <xf numFmtId="0" fontId="17" fillId="6" borderId="21" xfId="0" applyFont="1" applyFill="1" applyBorder="1" applyAlignment="1">
      <alignment horizontal="left"/>
    </xf>
    <xf numFmtId="164" fontId="5" fillId="6" borderId="25" xfId="0" applyNumberFormat="1" applyFont="1" applyFill="1" applyBorder="1" applyAlignment="1">
      <alignment horizontal="center"/>
    </xf>
    <xf numFmtId="0" fontId="5" fillId="6" borderId="23" xfId="0" applyFont="1" applyFill="1" applyBorder="1"/>
    <xf numFmtId="0" fontId="17" fillId="6" borderId="23" xfId="0" applyFont="1" applyFill="1" applyBorder="1" applyAlignment="1">
      <alignment horizontal="left"/>
    </xf>
    <xf numFmtId="0" fontId="17" fillId="6" borderId="24" xfId="0" applyFont="1" applyFill="1" applyBorder="1" applyAlignment="1">
      <alignment horizontal="left"/>
    </xf>
    <xf numFmtId="0" fontId="14" fillId="6" borderId="26" xfId="0" applyFont="1" applyFill="1" applyBorder="1"/>
    <xf numFmtId="0" fontId="14" fillId="6" borderId="0" xfId="0" applyFont="1" applyFill="1"/>
    <xf numFmtId="0" fontId="14" fillId="6" borderId="22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26" xfId="1" applyNumberFormat="1" applyFont="1" applyFill="1" applyBorder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0" fontId="16" fillId="6" borderId="22" xfId="0" applyFont="1" applyFill="1" applyBorder="1"/>
    <xf numFmtId="10" fontId="14" fillId="6" borderId="0" xfId="0" applyNumberFormat="1" applyFont="1" applyFill="1"/>
    <xf numFmtId="0" fontId="0" fillId="3" borderId="23" xfId="0" applyFill="1" applyBorder="1" applyAlignment="1">
      <alignment horizontal="left"/>
    </xf>
    <xf numFmtId="164" fontId="16" fillId="6" borderId="26" xfId="0" applyNumberFormat="1" applyFont="1" applyFill="1" applyBorder="1" applyAlignment="1">
      <alignment horizontal="center"/>
    </xf>
    <xf numFmtId="0" fontId="16" fillId="6" borderId="0" xfId="0" applyFont="1" applyFill="1" applyAlignment="1">
      <alignment horizontal="center"/>
    </xf>
    <xf numFmtId="10" fontId="16" fillId="6" borderId="0" xfId="0" applyNumberFormat="1" applyFont="1" applyFill="1" applyAlignment="1">
      <alignment horizontal="center"/>
    </xf>
    <xf numFmtId="0" fontId="18" fillId="3" borderId="0" xfId="0" applyFont="1" applyFill="1" applyAlignment="1">
      <alignment horizontal="left"/>
    </xf>
    <xf numFmtId="0" fontId="19" fillId="6" borderId="26" xfId="0" applyFont="1" applyFill="1" applyBorder="1" applyAlignment="1">
      <alignment horizontal="center"/>
    </xf>
    <xf numFmtId="0" fontId="19" fillId="6" borderId="0" xfId="0" applyFont="1" applyFill="1" applyAlignment="1">
      <alignment horizontal="center"/>
    </xf>
    <xf numFmtId="0" fontId="19" fillId="6" borderId="22" xfId="0" applyFont="1" applyFill="1" applyBorder="1" applyAlignment="1">
      <alignment horizontal="left"/>
    </xf>
    <xf numFmtId="164" fontId="17" fillId="11" borderId="25" xfId="0" applyNumberFormat="1" applyFont="1" applyFill="1" applyBorder="1" applyAlignment="1">
      <alignment horizontal="center"/>
    </xf>
    <xf numFmtId="0" fontId="0" fillId="6" borderId="27" xfId="0" applyFill="1" applyBorder="1"/>
    <xf numFmtId="0" fontId="0" fillId="6" borderId="28" xfId="0" applyFill="1" applyBorder="1"/>
    <xf numFmtId="0" fontId="17" fillId="6" borderId="28" xfId="0" applyFont="1" applyFill="1" applyBorder="1" applyAlignment="1">
      <alignment horizontal="left"/>
    </xf>
    <xf numFmtId="0" fontId="17" fillId="6" borderId="29" xfId="0" applyFont="1" applyFill="1" applyBorder="1" applyAlignment="1">
      <alignment horizontal="left"/>
    </xf>
    <xf numFmtId="164" fontId="7" fillId="3" borderId="0" xfId="0" applyNumberFormat="1" applyFont="1" applyFill="1" applyAlignment="1">
      <alignment horizontal="left"/>
    </xf>
    <xf numFmtId="0" fontId="17" fillId="3" borderId="0" xfId="0" applyFont="1" applyFill="1" applyAlignment="1">
      <alignment horizontal="left"/>
    </xf>
    <xf numFmtId="164" fontId="5" fillId="6" borderId="20" xfId="0" applyNumberFormat="1" applyFont="1" applyFill="1" applyBorder="1" applyAlignment="1">
      <alignment horizontal="center"/>
    </xf>
    <xf numFmtId="164" fontId="5" fillId="6" borderId="18" xfId="0" applyNumberFormat="1" applyFont="1" applyFill="1" applyBorder="1" applyAlignment="1">
      <alignment horizontal="center"/>
    </xf>
    <xf numFmtId="164" fontId="5" fillId="4" borderId="20" xfId="0" applyNumberFormat="1" applyFont="1" applyFill="1" applyBorder="1" applyAlignment="1">
      <alignment horizontal="center"/>
    </xf>
    <xf numFmtId="0" fontId="5" fillId="4" borderId="18" xfId="0" applyFont="1" applyFill="1" applyBorder="1"/>
    <xf numFmtId="0" fontId="17" fillId="4" borderId="18" xfId="0" applyFont="1" applyFill="1" applyBorder="1" applyAlignment="1">
      <alignment horizontal="left"/>
    </xf>
    <xf numFmtId="0" fontId="17" fillId="4" borderId="21" xfId="0" applyFont="1" applyFill="1" applyBorder="1" applyAlignment="1">
      <alignment horizontal="left"/>
    </xf>
    <xf numFmtId="164" fontId="5" fillId="6" borderId="25" xfId="0" applyNumberFormat="1" applyFont="1" applyFill="1" applyBorder="1" applyAlignment="1">
      <alignment horizontal="center"/>
    </xf>
    <xf numFmtId="164" fontId="5" fillId="6" borderId="23" xfId="0" applyNumberFormat="1" applyFont="1" applyFill="1" applyBorder="1" applyAlignment="1">
      <alignment horizontal="center"/>
    </xf>
    <xf numFmtId="164" fontId="5" fillId="4" borderId="25" xfId="0" applyNumberFormat="1" applyFont="1" applyFill="1" applyBorder="1" applyAlignment="1">
      <alignment horizontal="center"/>
    </xf>
    <xf numFmtId="0" fontId="5" fillId="4" borderId="23" xfId="0" applyFont="1" applyFill="1" applyBorder="1"/>
    <xf numFmtId="0" fontId="17" fillId="4" borderId="23" xfId="0" applyFont="1" applyFill="1" applyBorder="1" applyAlignment="1">
      <alignment horizontal="left"/>
    </xf>
    <xf numFmtId="0" fontId="17" fillId="4" borderId="24" xfId="0" applyFont="1" applyFill="1" applyBorder="1" applyAlignment="1">
      <alignment horizontal="left"/>
    </xf>
    <xf numFmtId="9" fontId="14" fillId="3" borderId="30" xfId="2" applyFont="1" applyFill="1" applyBorder="1" applyAlignment="1">
      <alignment horizontal="center"/>
    </xf>
    <xf numFmtId="9" fontId="14" fillId="3" borderId="10" xfId="2" applyFont="1" applyFill="1" applyBorder="1" applyAlignment="1">
      <alignment horizontal="center"/>
    </xf>
    <xf numFmtId="0" fontId="20" fillId="3" borderId="10" xfId="0" applyFont="1" applyFill="1" applyBorder="1" applyAlignment="1">
      <alignment horizontal="left"/>
    </xf>
    <xf numFmtId="0" fontId="20" fillId="3" borderId="31" xfId="0" applyFont="1" applyFill="1" applyBorder="1" applyAlignment="1">
      <alignment horizontal="left"/>
    </xf>
    <xf numFmtId="0" fontId="0" fillId="6" borderId="20" xfId="0" applyFill="1" applyBorder="1"/>
    <xf numFmtId="0" fontId="14" fillId="6" borderId="18" xfId="0" applyFont="1" applyFill="1" applyBorder="1"/>
    <xf numFmtId="0" fontId="14" fillId="6" borderId="21" xfId="0" applyFont="1" applyFill="1" applyBorder="1"/>
    <xf numFmtId="0" fontId="14" fillId="4" borderId="26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22" xfId="0" applyFont="1" applyFill="1" applyBorder="1"/>
    <xf numFmtId="9" fontId="14" fillId="12" borderId="32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0" fontId="20" fillId="12" borderId="0" xfId="0" applyFont="1" applyFill="1" applyAlignment="1">
      <alignment horizontal="left"/>
    </xf>
    <xf numFmtId="0" fontId="20" fillId="12" borderId="33" xfId="0" applyFont="1" applyFill="1" applyBorder="1" applyAlignment="1">
      <alignment horizontal="left"/>
    </xf>
    <xf numFmtId="164" fontId="16" fillId="6" borderId="26" xfId="1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0" fontId="16" fillId="6" borderId="22" xfId="0" applyFont="1" applyFill="1" applyBorder="1" applyAlignment="1">
      <alignment horizontal="left"/>
    </xf>
    <xf numFmtId="164" fontId="16" fillId="4" borderId="26" xfId="0" applyNumberFormat="1" applyFont="1" applyFill="1" applyBorder="1" applyAlignment="1">
      <alignment horizontal="center"/>
    </xf>
    <xf numFmtId="10" fontId="16" fillId="4" borderId="0" xfId="2" applyNumberFormat="1" applyFont="1" applyFill="1" applyBorder="1" applyAlignment="1">
      <alignment horizontal="center"/>
    </xf>
    <xf numFmtId="0" fontId="16" fillId="4" borderId="22" xfId="0" applyFont="1" applyFill="1" applyBorder="1" applyAlignment="1">
      <alignment horizontal="left"/>
    </xf>
    <xf numFmtId="9" fontId="14" fillId="3" borderId="32" xfId="2" applyFont="1" applyFill="1" applyBorder="1" applyAlignment="1">
      <alignment horizontal="center"/>
    </xf>
    <xf numFmtId="9" fontId="14" fillId="3" borderId="0" xfId="2" applyFont="1" applyFill="1" applyBorder="1" applyAlignment="1">
      <alignment horizontal="center"/>
    </xf>
    <xf numFmtId="0" fontId="20" fillId="3" borderId="0" xfId="0" applyFont="1" applyFill="1" applyAlignment="1">
      <alignment horizontal="left"/>
    </xf>
    <xf numFmtId="0" fontId="20" fillId="3" borderId="33" xfId="0" applyFont="1" applyFill="1" applyBorder="1" applyAlignment="1">
      <alignment horizontal="left"/>
    </xf>
    <xf numFmtId="164" fontId="16" fillId="6" borderId="26" xfId="0" applyNumberFormat="1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0" fontId="16" fillId="4" borderId="0" xfId="0" applyNumberFormat="1" applyFont="1" applyFill="1" applyAlignment="1">
      <alignment horizontal="center"/>
    </xf>
    <xf numFmtId="0" fontId="14" fillId="12" borderId="0" xfId="0" applyFont="1" applyFill="1" applyAlignment="1">
      <alignment horizontal="left"/>
    </xf>
    <xf numFmtId="0" fontId="14" fillId="12" borderId="33" xfId="0" applyFont="1" applyFill="1" applyBorder="1" applyAlignment="1">
      <alignment horizontal="left"/>
    </xf>
    <xf numFmtId="0" fontId="19" fillId="6" borderId="25" xfId="0" applyFont="1" applyFill="1" applyBorder="1" applyAlignment="1">
      <alignment horizontal="center"/>
    </xf>
    <xf numFmtId="0" fontId="19" fillId="6" borderId="23" xfId="0" applyFont="1" applyFill="1" applyBorder="1" applyAlignment="1">
      <alignment horizontal="center"/>
    </xf>
    <xf numFmtId="0" fontId="19" fillId="6" borderId="24" xfId="0" applyFont="1" applyFill="1" applyBorder="1" applyAlignment="1">
      <alignment horizontal="left"/>
    </xf>
    <xf numFmtId="0" fontId="19" fillId="4" borderId="26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19" fillId="4" borderId="22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0" fontId="14" fillId="3" borderId="33" xfId="0" applyFont="1" applyFill="1" applyBorder="1" applyAlignment="1">
      <alignment horizontal="left"/>
    </xf>
    <xf numFmtId="0" fontId="17" fillId="6" borderId="28" xfId="0" applyFont="1" applyFill="1" applyBorder="1" applyAlignment="1">
      <alignment vertical="center"/>
    </xf>
    <xf numFmtId="0" fontId="17" fillId="6" borderId="29" xfId="0" applyFont="1" applyFill="1" applyBorder="1" applyAlignment="1">
      <alignment vertical="center"/>
    </xf>
    <xf numFmtId="0" fontId="0" fillId="4" borderId="27" xfId="0" applyFill="1" applyBorder="1"/>
    <xf numFmtId="0" fontId="0" fillId="4" borderId="28" xfId="0" applyFill="1" applyBorder="1"/>
    <xf numFmtId="0" fontId="17" fillId="4" borderId="28" xfId="0" applyFont="1" applyFill="1" applyBorder="1" applyAlignment="1">
      <alignment horizontal="left"/>
    </xf>
    <xf numFmtId="0" fontId="17" fillId="4" borderId="29" xfId="0" applyFont="1" applyFill="1" applyBorder="1" applyAlignment="1">
      <alignment horizontal="left"/>
    </xf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164" fontId="5" fillId="4" borderId="20" xfId="0" applyNumberFormat="1" applyFont="1" applyFill="1" applyBorder="1" applyAlignment="1">
      <alignment horizontal="center"/>
    </xf>
    <xf numFmtId="164" fontId="5" fillId="4" borderId="18" xfId="0" applyNumberFormat="1" applyFont="1" applyFill="1" applyBorder="1" applyAlignment="1">
      <alignment horizontal="center"/>
    </xf>
    <xf numFmtId="0" fontId="17" fillId="4" borderId="21" xfId="0" applyFont="1" applyFill="1" applyBorder="1"/>
    <xf numFmtId="164" fontId="5" fillId="3" borderId="20" xfId="0" applyNumberFormat="1" applyFont="1" applyFill="1" applyBorder="1" applyAlignment="1">
      <alignment horizontal="center" vertical="center"/>
    </xf>
    <xf numFmtId="164" fontId="5" fillId="3" borderId="21" xfId="0" applyNumberFormat="1" applyFont="1" applyFill="1" applyBorder="1" applyAlignment="1">
      <alignment horizontal="center" vertical="center"/>
    </xf>
    <xf numFmtId="0" fontId="18" fillId="12" borderId="34" xfId="0" applyFont="1" applyFill="1" applyBorder="1" applyAlignment="1">
      <alignment horizontal="center"/>
    </xf>
    <xf numFmtId="0" fontId="18" fillId="12" borderId="35" xfId="0" applyFont="1" applyFill="1" applyBorder="1" applyAlignment="1">
      <alignment horizontal="center"/>
    </xf>
    <xf numFmtId="0" fontId="18" fillId="12" borderId="35" xfId="0" applyFont="1" applyFill="1" applyBorder="1" applyAlignment="1">
      <alignment horizontal="left"/>
    </xf>
    <xf numFmtId="0" fontId="18" fillId="12" borderId="36" xfId="0" applyFont="1" applyFill="1" applyBorder="1" applyAlignment="1">
      <alignment horizontal="left"/>
    </xf>
    <xf numFmtId="164" fontId="5" fillId="4" borderId="25" xfId="0" applyNumberFormat="1" applyFont="1" applyFill="1" applyBorder="1" applyAlignment="1">
      <alignment horizontal="center"/>
    </xf>
    <xf numFmtId="164" fontId="5" fillId="4" borderId="23" xfId="0" applyNumberFormat="1" applyFont="1" applyFill="1" applyBorder="1" applyAlignment="1">
      <alignment horizontal="center"/>
    </xf>
    <xf numFmtId="164" fontId="5" fillId="3" borderId="26" xfId="0" applyNumberFormat="1" applyFont="1" applyFill="1" applyBorder="1" applyAlignment="1">
      <alignment horizontal="center" vertical="center"/>
    </xf>
    <xf numFmtId="164" fontId="5" fillId="3" borderId="22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/>
    </xf>
    <xf numFmtId="0" fontId="0" fillId="4" borderId="20" xfId="0" applyFill="1" applyBorder="1"/>
    <xf numFmtId="0" fontId="14" fillId="4" borderId="18" xfId="0" applyFont="1" applyFill="1" applyBorder="1"/>
    <xf numFmtId="0" fontId="14" fillId="4" borderId="21" xfId="0" applyFont="1" applyFill="1" applyBorder="1"/>
    <xf numFmtId="0" fontId="17" fillId="3" borderId="25" xfId="0" applyFont="1" applyFill="1" applyBorder="1" applyAlignment="1">
      <alignment horizontal="center"/>
    </xf>
    <xf numFmtId="0" fontId="17" fillId="3" borderId="24" xfId="0" applyFont="1" applyFill="1" applyBorder="1" applyAlignment="1">
      <alignment horizontal="center"/>
    </xf>
    <xf numFmtId="164" fontId="16" fillId="4" borderId="26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0" fontId="5" fillId="3" borderId="20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19" fillId="4" borderId="25" xfId="0" applyFont="1" applyFill="1" applyBorder="1" applyAlignment="1">
      <alignment horizontal="center"/>
    </xf>
    <xf numFmtId="0" fontId="19" fillId="4" borderId="23" xfId="0" applyFont="1" applyFill="1" applyBorder="1" applyAlignment="1">
      <alignment horizontal="center"/>
    </xf>
    <xf numFmtId="0" fontId="19" fillId="4" borderId="24" xfId="0" applyFont="1" applyFill="1" applyBorder="1" applyAlignment="1">
      <alignment horizontal="left"/>
    </xf>
    <xf numFmtId="0" fontId="14" fillId="3" borderId="30" xfId="0" applyFont="1" applyFill="1" applyBorder="1" applyAlignment="1">
      <alignment horizontal="center"/>
    </xf>
    <xf numFmtId="9" fontId="14" fillId="3" borderId="10" xfId="0" applyNumberFormat="1" applyFont="1" applyFill="1" applyBorder="1" applyAlignment="1">
      <alignment horizontal="center"/>
    </xf>
    <xf numFmtId="0" fontId="14" fillId="3" borderId="10" xfId="0" applyFont="1" applyFill="1" applyBorder="1" applyAlignment="1">
      <alignment horizontal="left"/>
    </xf>
    <xf numFmtId="0" fontId="14" fillId="3" borderId="31" xfId="0" applyFont="1" applyFill="1" applyBorder="1" applyAlignment="1">
      <alignment horizontal="left"/>
    </xf>
    <xf numFmtId="0" fontId="17" fillId="4" borderId="28" xfId="0" applyFont="1" applyFill="1" applyBorder="1" applyAlignment="1">
      <alignment horizontal="left" vertical="center"/>
    </xf>
    <xf numFmtId="0" fontId="17" fillId="4" borderId="29" xfId="0" applyFont="1" applyFill="1" applyBorder="1" applyAlignment="1">
      <alignment horizontal="left" vertical="center"/>
    </xf>
    <xf numFmtId="164" fontId="5" fillId="3" borderId="20" xfId="1" applyNumberFormat="1" applyFont="1" applyFill="1" applyBorder="1" applyAlignment="1">
      <alignment horizontal="center" vertical="center"/>
    </xf>
    <xf numFmtId="164" fontId="5" fillId="3" borderId="21" xfId="1" applyNumberFormat="1" applyFont="1" applyFill="1" applyBorder="1" applyAlignment="1">
      <alignment horizontal="center" vertical="center"/>
    </xf>
    <xf numFmtId="9" fontId="14" fillId="6" borderId="32" xfId="0" applyNumberFormat="1" applyFont="1" applyFill="1" applyBorder="1" applyAlignment="1">
      <alignment horizontal="center" vertical="center"/>
    </xf>
    <xf numFmtId="9" fontId="14" fillId="6" borderId="0" xfId="0" applyNumberFormat="1" applyFont="1" applyFill="1" applyAlignment="1">
      <alignment horizontal="center" vertical="center"/>
    </xf>
    <xf numFmtId="0" fontId="14" fillId="6" borderId="0" xfId="0" applyFont="1" applyFill="1" applyAlignment="1">
      <alignment horizontal="left" vertical="center"/>
    </xf>
    <xf numFmtId="0" fontId="14" fillId="6" borderId="33" xfId="0" applyFont="1" applyFill="1" applyBorder="1" applyAlignment="1">
      <alignment horizontal="left" vertical="center"/>
    </xf>
    <xf numFmtId="0" fontId="0" fillId="3" borderId="0" xfId="0" applyFill="1" applyAlignment="1">
      <alignment vertical="center"/>
    </xf>
    <xf numFmtId="164" fontId="5" fillId="3" borderId="26" xfId="1" applyNumberFormat="1" applyFont="1" applyFill="1" applyBorder="1" applyAlignment="1">
      <alignment horizontal="center" vertical="center"/>
    </xf>
    <xf numFmtId="164" fontId="5" fillId="3" borderId="22" xfId="1" applyNumberFormat="1" applyFont="1" applyFill="1" applyBorder="1" applyAlignment="1">
      <alignment horizontal="center" vertical="center"/>
    </xf>
    <xf numFmtId="0" fontId="14" fillId="3" borderId="32" xfId="0" applyFont="1" applyFill="1" applyBorder="1" applyAlignment="1">
      <alignment horizontal="center"/>
    </xf>
    <xf numFmtId="9" fontId="14" fillId="3" borderId="0" xfId="0" applyNumberFormat="1" applyFont="1" applyFill="1" applyAlignment="1">
      <alignment horizontal="center"/>
    </xf>
    <xf numFmtId="164" fontId="10" fillId="3" borderId="27" xfId="0" applyNumberFormat="1" applyFont="1" applyFill="1" applyBorder="1" applyAlignment="1">
      <alignment horizontal="left"/>
    </xf>
    <xf numFmtId="164" fontId="10" fillId="3" borderId="28" xfId="0" applyNumberFormat="1" applyFont="1" applyFill="1" applyBorder="1" applyAlignment="1">
      <alignment horizontal="left"/>
    </xf>
    <xf numFmtId="0" fontId="21" fillId="3" borderId="28" xfId="0" applyFont="1" applyFill="1" applyBorder="1" applyAlignment="1">
      <alignment horizontal="left"/>
    </xf>
    <xf numFmtId="0" fontId="21" fillId="3" borderId="29" xfId="0" applyFont="1" applyFill="1" applyBorder="1" applyAlignment="1">
      <alignment horizontal="left"/>
    </xf>
    <xf numFmtId="0" fontId="18" fillId="3" borderId="0" xfId="0" applyFont="1" applyFill="1"/>
    <xf numFmtId="0" fontId="18" fillId="6" borderId="34" xfId="0" applyFont="1" applyFill="1" applyBorder="1" applyAlignment="1">
      <alignment horizontal="center"/>
    </xf>
    <xf numFmtId="0" fontId="18" fillId="6" borderId="35" xfId="0" applyFont="1" applyFill="1" applyBorder="1" applyAlignment="1">
      <alignment horizontal="center"/>
    </xf>
    <xf numFmtId="0" fontId="18" fillId="6" borderId="35" xfId="0" applyFont="1" applyFill="1" applyBorder="1" applyAlignment="1">
      <alignment horizontal="left"/>
    </xf>
    <xf numFmtId="0" fontId="18" fillId="6" borderId="36" xfId="0" applyFont="1" applyFill="1" applyBorder="1" applyAlignment="1">
      <alignment horizontal="left"/>
    </xf>
    <xf numFmtId="0" fontId="10" fillId="3" borderId="27" xfId="0" applyFont="1" applyFill="1" applyBorder="1" applyAlignment="1">
      <alignment horizontal="left"/>
    </xf>
    <xf numFmtId="0" fontId="10" fillId="3" borderId="28" xfId="0" applyFont="1" applyFill="1" applyBorder="1" applyAlignment="1">
      <alignment horizontal="left"/>
    </xf>
    <xf numFmtId="0" fontId="21" fillId="3" borderId="29" xfId="0" applyFont="1" applyFill="1" applyBorder="1"/>
    <xf numFmtId="0" fontId="21" fillId="3" borderId="27" xfId="0" applyFont="1" applyFill="1" applyBorder="1" applyAlignment="1">
      <alignment horizontal="center"/>
    </xf>
    <xf numFmtId="0" fontId="21" fillId="3" borderId="28" xfId="0" applyFont="1" applyFill="1" applyBorder="1" applyAlignment="1">
      <alignment horizontal="center"/>
    </xf>
    <xf numFmtId="0" fontId="21" fillId="3" borderId="29" xfId="0" applyFont="1" applyFill="1" applyBorder="1" applyAlignment="1">
      <alignment horizontal="center"/>
    </xf>
    <xf numFmtId="0" fontId="0" fillId="3" borderId="0" xfId="0" applyNumberFormat="1" applyFill="1"/>
    <xf numFmtId="0" fontId="4" fillId="0" borderId="0" xfId="0" applyFont="1"/>
    <xf numFmtId="44" fontId="4" fillId="0" borderId="0" xfId="0" applyNumberFormat="1" applyFont="1"/>
    <xf numFmtId="44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14"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numFmt numFmtId="19" formatCode="m/d/yy"/>
    </dxf>
    <dxf>
      <numFmt numFmtId="19" formatCode="m/d/yy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8.7625556257786424E-2"/>
                  <c:y val="0.26085901027425951"/>
                </c:manualLayout>
              </c:layout>
              <c:numFmt formatCode="&quot;$&quot;#,##0" sourceLinked="0"/>
              <c:spPr>
                <a:solidFill>
                  <a:sysClr val="windowText" lastClr="000000">
                    <a:lumMod val="95000"/>
                    <a:lumOff val="5000"/>
                    <a:alpha val="10174"/>
                  </a:sys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  <a:softEdge rad="0"/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7.5413328739881158E-2"/>
                      <c:h val="7.716063993153057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Basis'!$A$2:$A$368</c:f>
              <c:numCache>
                <c:formatCode>m/d/yy</c:formatCode>
                <c:ptCount val="367"/>
                <c:pt idx="0">
                  <c:v>45392</c:v>
                </c:pt>
                <c:pt idx="1">
                  <c:v>45391</c:v>
                </c:pt>
                <c:pt idx="2">
                  <c:v>45390</c:v>
                </c:pt>
                <c:pt idx="3">
                  <c:v>45389</c:v>
                </c:pt>
                <c:pt idx="4">
                  <c:v>45388</c:v>
                </c:pt>
                <c:pt idx="5">
                  <c:v>45387</c:v>
                </c:pt>
                <c:pt idx="6">
                  <c:v>45386</c:v>
                </c:pt>
                <c:pt idx="7">
                  <c:v>45385</c:v>
                </c:pt>
                <c:pt idx="8">
                  <c:v>45384</c:v>
                </c:pt>
                <c:pt idx="9">
                  <c:v>45383</c:v>
                </c:pt>
                <c:pt idx="10">
                  <c:v>45382</c:v>
                </c:pt>
                <c:pt idx="11">
                  <c:v>45381</c:v>
                </c:pt>
                <c:pt idx="12">
                  <c:v>45380</c:v>
                </c:pt>
                <c:pt idx="13">
                  <c:v>45379</c:v>
                </c:pt>
                <c:pt idx="14">
                  <c:v>45378</c:v>
                </c:pt>
                <c:pt idx="15">
                  <c:v>45377</c:v>
                </c:pt>
                <c:pt idx="16">
                  <c:v>45376</c:v>
                </c:pt>
                <c:pt idx="17">
                  <c:v>45375</c:v>
                </c:pt>
                <c:pt idx="18">
                  <c:v>45374</c:v>
                </c:pt>
                <c:pt idx="19">
                  <c:v>45373</c:v>
                </c:pt>
                <c:pt idx="20">
                  <c:v>45372</c:v>
                </c:pt>
                <c:pt idx="21">
                  <c:v>45371</c:v>
                </c:pt>
                <c:pt idx="22">
                  <c:v>45370</c:v>
                </c:pt>
                <c:pt idx="23">
                  <c:v>45369</c:v>
                </c:pt>
                <c:pt idx="24">
                  <c:v>45368</c:v>
                </c:pt>
                <c:pt idx="25">
                  <c:v>45367</c:v>
                </c:pt>
                <c:pt idx="26">
                  <c:v>45366</c:v>
                </c:pt>
                <c:pt idx="27">
                  <c:v>45365</c:v>
                </c:pt>
                <c:pt idx="28">
                  <c:v>45364</c:v>
                </c:pt>
                <c:pt idx="29">
                  <c:v>45363</c:v>
                </c:pt>
                <c:pt idx="30">
                  <c:v>45362</c:v>
                </c:pt>
                <c:pt idx="31">
                  <c:v>45361</c:v>
                </c:pt>
                <c:pt idx="32">
                  <c:v>45360</c:v>
                </c:pt>
                <c:pt idx="33">
                  <c:v>45359</c:v>
                </c:pt>
                <c:pt idx="34">
                  <c:v>45358</c:v>
                </c:pt>
                <c:pt idx="35">
                  <c:v>45357</c:v>
                </c:pt>
                <c:pt idx="36">
                  <c:v>45356</c:v>
                </c:pt>
                <c:pt idx="37">
                  <c:v>45355</c:v>
                </c:pt>
                <c:pt idx="38">
                  <c:v>45354</c:v>
                </c:pt>
                <c:pt idx="39">
                  <c:v>45353</c:v>
                </c:pt>
                <c:pt idx="40">
                  <c:v>45352</c:v>
                </c:pt>
                <c:pt idx="41">
                  <c:v>45351</c:v>
                </c:pt>
                <c:pt idx="42">
                  <c:v>45350</c:v>
                </c:pt>
                <c:pt idx="43">
                  <c:v>45349</c:v>
                </c:pt>
                <c:pt idx="44">
                  <c:v>45348</c:v>
                </c:pt>
                <c:pt idx="45">
                  <c:v>45347</c:v>
                </c:pt>
                <c:pt idx="46">
                  <c:v>45346</c:v>
                </c:pt>
                <c:pt idx="47">
                  <c:v>45345</c:v>
                </c:pt>
                <c:pt idx="48">
                  <c:v>45344</c:v>
                </c:pt>
                <c:pt idx="49">
                  <c:v>45343</c:v>
                </c:pt>
                <c:pt idx="50">
                  <c:v>45342</c:v>
                </c:pt>
                <c:pt idx="51">
                  <c:v>45341</c:v>
                </c:pt>
                <c:pt idx="52">
                  <c:v>45340</c:v>
                </c:pt>
                <c:pt idx="53">
                  <c:v>45339</c:v>
                </c:pt>
                <c:pt idx="54">
                  <c:v>45338</c:v>
                </c:pt>
                <c:pt idx="55">
                  <c:v>45337</c:v>
                </c:pt>
                <c:pt idx="56">
                  <c:v>45336</c:v>
                </c:pt>
                <c:pt idx="57">
                  <c:v>45335</c:v>
                </c:pt>
                <c:pt idx="58">
                  <c:v>45334</c:v>
                </c:pt>
                <c:pt idx="59">
                  <c:v>45333</c:v>
                </c:pt>
                <c:pt idx="60">
                  <c:v>45332</c:v>
                </c:pt>
                <c:pt idx="61">
                  <c:v>45331</c:v>
                </c:pt>
                <c:pt idx="62">
                  <c:v>45330</c:v>
                </c:pt>
                <c:pt idx="63">
                  <c:v>45329</c:v>
                </c:pt>
                <c:pt idx="64">
                  <c:v>45328</c:v>
                </c:pt>
                <c:pt idx="65">
                  <c:v>45327</c:v>
                </c:pt>
                <c:pt idx="66">
                  <c:v>45326</c:v>
                </c:pt>
                <c:pt idx="67">
                  <c:v>45325</c:v>
                </c:pt>
                <c:pt idx="68">
                  <c:v>45324</c:v>
                </c:pt>
                <c:pt idx="69">
                  <c:v>45323</c:v>
                </c:pt>
                <c:pt idx="70">
                  <c:v>45322</c:v>
                </c:pt>
                <c:pt idx="71">
                  <c:v>45321</c:v>
                </c:pt>
                <c:pt idx="72">
                  <c:v>45320</c:v>
                </c:pt>
                <c:pt idx="73">
                  <c:v>45319</c:v>
                </c:pt>
                <c:pt idx="74">
                  <c:v>45318</c:v>
                </c:pt>
                <c:pt idx="75">
                  <c:v>45317</c:v>
                </c:pt>
                <c:pt idx="76">
                  <c:v>45316</c:v>
                </c:pt>
                <c:pt idx="77">
                  <c:v>45315</c:v>
                </c:pt>
                <c:pt idx="78">
                  <c:v>45314</c:v>
                </c:pt>
                <c:pt idx="79">
                  <c:v>45313</c:v>
                </c:pt>
                <c:pt idx="80">
                  <c:v>45312</c:v>
                </c:pt>
                <c:pt idx="81">
                  <c:v>45311</c:v>
                </c:pt>
                <c:pt idx="82">
                  <c:v>45310</c:v>
                </c:pt>
                <c:pt idx="83">
                  <c:v>45309</c:v>
                </c:pt>
                <c:pt idx="84">
                  <c:v>45308</c:v>
                </c:pt>
                <c:pt idx="85">
                  <c:v>45307</c:v>
                </c:pt>
                <c:pt idx="86">
                  <c:v>45306</c:v>
                </c:pt>
                <c:pt idx="87">
                  <c:v>45305</c:v>
                </c:pt>
                <c:pt idx="88">
                  <c:v>45304</c:v>
                </c:pt>
                <c:pt idx="89">
                  <c:v>45303</c:v>
                </c:pt>
                <c:pt idx="90">
                  <c:v>45302</c:v>
                </c:pt>
                <c:pt idx="91">
                  <c:v>45301</c:v>
                </c:pt>
                <c:pt idx="92">
                  <c:v>45300</c:v>
                </c:pt>
                <c:pt idx="93">
                  <c:v>45299</c:v>
                </c:pt>
                <c:pt idx="94">
                  <c:v>45298</c:v>
                </c:pt>
                <c:pt idx="95">
                  <c:v>45297</c:v>
                </c:pt>
                <c:pt idx="96">
                  <c:v>45296</c:v>
                </c:pt>
                <c:pt idx="97">
                  <c:v>45295</c:v>
                </c:pt>
                <c:pt idx="98">
                  <c:v>45294</c:v>
                </c:pt>
                <c:pt idx="99">
                  <c:v>45293</c:v>
                </c:pt>
                <c:pt idx="100">
                  <c:v>45292</c:v>
                </c:pt>
                <c:pt idx="101">
                  <c:v>45291</c:v>
                </c:pt>
                <c:pt idx="102">
                  <c:v>45290</c:v>
                </c:pt>
                <c:pt idx="103">
                  <c:v>45289</c:v>
                </c:pt>
                <c:pt idx="104">
                  <c:v>45288</c:v>
                </c:pt>
                <c:pt idx="105">
                  <c:v>45287</c:v>
                </c:pt>
                <c:pt idx="106">
                  <c:v>45286</c:v>
                </c:pt>
                <c:pt idx="107">
                  <c:v>45285</c:v>
                </c:pt>
                <c:pt idx="108">
                  <c:v>45284</c:v>
                </c:pt>
                <c:pt idx="109">
                  <c:v>45283</c:v>
                </c:pt>
                <c:pt idx="110">
                  <c:v>45282</c:v>
                </c:pt>
                <c:pt idx="111">
                  <c:v>45281</c:v>
                </c:pt>
                <c:pt idx="112">
                  <c:v>45280</c:v>
                </c:pt>
                <c:pt idx="113">
                  <c:v>45279</c:v>
                </c:pt>
                <c:pt idx="114">
                  <c:v>45278</c:v>
                </c:pt>
                <c:pt idx="115">
                  <c:v>45277</c:v>
                </c:pt>
                <c:pt idx="116">
                  <c:v>45276</c:v>
                </c:pt>
                <c:pt idx="117">
                  <c:v>45275</c:v>
                </c:pt>
                <c:pt idx="118">
                  <c:v>45274</c:v>
                </c:pt>
                <c:pt idx="119">
                  <c:v>45273</c:v>
                </c:pt>
                <c:pt idx="120">
                  <c:v>45272</c:v>
                </c:pt>
                <c:pt idx="121">
                  <c:v>45271</c:v>
                </c:pt>
                <c:pt idx="122">
                  <c:v>45270</c:v>
                </c:pt>
                <c:pt idx="123">
                  <c:v>45269</c:v>
                </c:pt>
                <c:pt idx="124">
                  <c:v>45268</c:v>
                </c:pt>
                <c:pt idx="125">
                  <c:v>45267</c:v>
                </c:pt>
                <c:pt idx="126">
                  <c:v>45266</c:v>
                </c:pt>
                <c:pt idx="127">
                  <c:v>45265</c:v>
                </c:pt>
                <c:pt idx="128">
                  <c:v>45264</c:v>
                </c:pt>
                <c:pt idx="129">
                  <c:v>45263</c:v>
                </c:pt>
                <c:pt idx="130">
                  <c:v>45262</c:v>
                </c:pt>
                <c:pt idx="131">
                  <c:v>45261</c:v>
                </c:pt>
                <c:pt idx="132">
                  <c:v>45260</c:v>
                </c:pt>
                <c:pt idx="133">
                  <c:v>45259</c:v>
                </c:pt>
                <c:pt idx="134">
                  <c:v>45258</c:v>
                </c:pt>
                <c:pt idx="135">
                  <c:v>45257</c:v>
                </c:pt>
                <c:pt idx="136">
                  <c:v>45256</c:v>
                </c:pt>
                <c:pt idx="137">
                  <c:v>45255</c:v>
                </c:pt>
                <c:pt idx="138">
                  <c:v>45254</c:v>
                </c:pt>
                <c:pt idx="139">
                  <c:v>45253</c:v>
                </c:pt>
                <c:pt idx="140">
                  <c:v>45252</c:v>
                </c:pt>
                <c:pt idx="141">
                  <c:v>45251</c:v>
                </c:pt>
                <c:pt idx="142">
                  <c:v>45250</c:v>
                </c:pt>
                <c:pt idx="143">
                  <c:v>45249</c:v>
                </c:pt>
                <c:pt idx="144">
                  <c:v>45248</c:v>
                </c:pt>
                <c:pt idx="145">
                  <c:v>45247</c:v>
                </c:pt>
                <c:pt idx="146">
                  <c:v>45246</c:v>
                </c:pt>
                <c:pt idx="147">
                  <c:v>45245</c:v>
                </c:pt>
                <c:pt idx="148">
                  <c:v>45244</c:v>
                </c:pt>
                <c:pt idx="149">
                  <c:v>45243</c:v>
                </c:pt>
                <c:pt idx="150">
                  <c:v>45242</c:v>
                </c:pt>
                <c:pt idx="151">
                  <c:v>45241</c:v>
                </c:pt>
                <c:pt idx="152">
                  <c:v>45240</c:v>
                </c:pt>
                <c:pt idx="153">
                  <c:v>45239</c:v>
                </c:pt>
                <c:pt idx="154">
                  <c:v>45238</c:v>
                </c:pt>
                <c:pt idx="155">
                  <c:v>45237</c:v>
                </c:pt>
                <c:pt idx="156">
                  <c:v>45236</c:v>
                </c:pt>
                <c:pt idx="157">
                  <c:v>45235</c:v>
                </c:pt>
                <c:pt idx="158">
                  <c:v>45234</c:v>
                </c:pt>
                <c:pt idx="159">
                  <c:v>45233</c:v>
                </c:pt>
                <c:pt idx="160">
                  <c:v>45232</c:v>
                </c:pt>
                <c:pt idx="161">
                  <c:v>45231</c:v>
                </c:pt>
                <c:pt idx="162">
                  <c:v>45230</c:v>
                </c:pt>
                <c:pt idx="163">
                  <c:v>45229</c:v>
                </c:pt>
                <c:pt idx="164">
                  <c:v>45228</c:v>
                </c:pt>
                <c:pt idx="165">
                  <c:v>45227</c:v>
                </c:pt>
                <c:pt idx="166">
                  <c:v>45226</c:v>
                </c:pt>
                <c:pt idx="167">
                  <c:v>45225</c:v>
                </c:pt>
                <c:pt idx="168">
                  <c:v>45224</c:v>
                </c:pt>
                <c:pt idx="169">
                  <c:v>45223</c:v>
                </c:pt>
                <c:pt idx="170">
                  <c:v>45222</c:v>
                </c:pt>
                <c:pt idx="171">
                  <c:v>45221</c:v>
                </c:pt>
                <c:pt idx="172">
                  <c:v>45220</c:v>
                </c:pt>
                <c:pt idx="173">
                  <c:v>45219</c:v>
                </c:pt>
                <c:pt idx="174">
                  <c:v>45218</c:v>
                </c:pt>
                <c:pt idx="175">
                  <c:v>45217</c:v>
                </c:pt>
                <c:pt idx="176">
                  <c:v>45216</c:v>
                </c:pt>
                <c:pt idx="177">
                  <c:v>45215</c:v>
                </c:pt>
                <c:pt idx="178">
                  <c:v>45214</c:v>
                </c:pt>
                <c:pt idx="179">
                  <c:v>45213</c:v>
                </c:pt>
                <c:pt idx="180">
                  <c:v>45212</c:v>
                </c:pt>
                <c:pt idx="181">
                  <c:v>45211</c:v>
                </c:pt>
                <c:pt idx="182">
                  <c:v>45210</c:v>
                </c:pt>
                <c:pt idx="183">
                  <c:v>45209</c:v>
                </c:pt>
                <c:pt idx="184">
                  <c:v>45208</c:v>
                </c:pt>
                <c:pt idx="185">
                  <c:v>45207</c:v>
                </c:pt>
                <c:pt idx="186">
                  <c:v>45206</c:v>
                </c:pt>
                <c:pt idx="187">
                  <c:v>45205</c:v>
                </c:pt>
                <c:pt idx="188">
                  <c:v>45204</c:v>
                </c:pt>
                <c:pt idx="189">
                  <c:v>45203</c:v>
                </c:pt>
                <c:pt idx="190">
                  <c:v>45202</c:v>
                </c:pt>
                <c:pt idx="191">
                  <c:v>45201</c:v>
                </c:pt>
                <c:pt idx="192">
                  <c:v>45200</c:v>
                </c:pt>
                <c:pt idx="193">
                  <c:v>45199</c:v>
                </c:pt>
                <c:pt idx="194">
                  <c:v>45198</c:v>
                </c:pt>
                <c:pt idx="195">
                  <c:v>45197</c:v>
                </c:pt>
                <c:pt idx="196">
                  <c:v>45196</c:v>
                </c:pt>
                <c:pt idx="197">
                  <c:v>45195</c:v>
                </c:pt>
                <c:pt idx="198">
                  <c:v>45194</c:v>
                </c:pt>
                <c:pt idx="199">
                  <c:v>45193</c:v>
                </c:pt>
                <c:pt idx="200">
                  <c:v>45192</c:v>
                </c:pt>
                <c:pt idx="201">
                  <c:v>45191</c:v>
                </c:pt>
                <c:pt idx="202">
                  <c:v>45190</c:v>
                </c:pt>
                <c:pt idx="203">
                  <c:v>45189</c:v>
                </c:pt>
                <c:pt idx="204">
                  <c:v>45188</c:v>
                </c:pt>
                <c:pt idx="205">
                  <c:v>45187</c:v>
                </c:pt>
                <c:pt idx="206">
                  <c:v>45186</c:v>
                </c:pt>
                <c:pt idx="207">
                  <c:v>45185</c:v>
                </c:pt>
                <c:pt idx="208">
                  <c:v>45184</c:v>
                </c:pt>
                <c:pt idx="209">
                  <c:v>45183</c:v>
                </c:pt>
                <c:pt idx="210">
                  <c:v>45182</c:v>
                </c:pt>
                <c:pt idx="211">
                  <c:v>45181</c:v>
                </c:pt>
                <c:pt idx="212">
                  <c:v>45180</c:v>
                </c:pt>
                <c:pt idx="213">
                  <c:v>45179</c:v>
                </c:pt>
                <c:pt idx="214">
                  <c:v>45178</c:v>
                </c:pt>
                <c:pt idx="215">
                  <c:v>45177</c:v>
                </c:pt>
                <c:pt idx="216">
                  <c:v>45176</c:v>
                </c:pt>
                <c:pt idx="217">
                  <c:v>45175</c:v>
                </c:pt>
                <c:pt idx="218">
                  <c:v>45174</c:v>
                </c:pt>
                <c:pt idx="219">
                  <c:v>45173</c:v>
                </c:pt>
                <c:pt idx="220">
                  <c:v>45172</c:v>
                </c:pt>
                <c:pt idx="221">
                  <c:v>45171</c:v>
                </c:pt>
                <c:pt idx="222">
                  <c:v>45170</c:v>
                </c:pt>
                <c:pt idx="223">
                  <c:v>45169</c:v>
                </c:pt>
                <c:pt idx="224">
                  <c:v>45168</c:v>
                </c:pt>
                <c:pt idx="225">
                  <c:v>45167</c:v>
                </c:pt>
                <c:pt idx="226">
                  <c:v>45166</c:v>
                </c:pt>
                <c:pt idx="227">
                  <c:v>45165</c:v>
                </c:pt>
                <c:pt idx="228">
                  <c:v>45164</c:v>
                </c:pt>
                <c:pt idx="229">
                  <c:v>45163</c:v>
                </c:pt>
                <c:pt idx="230">
                  <c:v>45162</c:v>
                </c:pt>
                <c:pt idx="231">
                  <c:v>45161</c:v>
                </c:pt>
                <c:pt idx="232">
                  <c:v>45160</c:v>
                </c:pt>
                <c:pt idx="233">
                  <c:v>45159</c:v>
                </c:pt>
                <c:pt idx="234">
                  <c:v>45158</c:v>
                </c:pt>
                <c:pt idx="235">
                  <c:v>45157</c:v>
                </c:pt>
                <c:pt idx="236">
                  <c:v>45156</c:v>
                </c:pt>
                <c:pt idx="237">
                  <c:v>45155</c:v>
                </c:pt>
                <c:pt idx="238">
                  <c:v>45154</c:v>
                </c:pt>
                <c:pt idx="239">
                  <c:v>45153</c:v>
                </c:pt>
                <c:pt idx="240">
                  <c:v>45152</c:v>
                </c:pt>
                <c:pt idx="241">
                  <c:v>45151</c:v>
                </c:pt>
                <c:pt idx="242">
                  <c:v>45150</c:v>
                </c:pt>
                <c:pt idx="243">
                  <c:v>45149</c:v>
                </c:pt>
                <c:pt idx="244">
                  <c:v>45148</c:v>
                </c:pt>
                <c:pt idx="245">
                  <c:v>45147</c:v>
                </c:pt>
                <c:pt idx="246">
                  <c:v>45146</c:v>
                </c:pt>
                <c:pt idx="247">
                  <c:v>45145</c:v>
                </c:pt>
                <c:pt idx="248">
                  <c:v>45144</c:v>
                </c:pt>
                <c:pt idx="249">
                  <c:v>45143</c:v>
                </c:pt>
                <c:pt idx="250">
                  <c:v>45142</c:v>
                </c:pt>
                <c:pt idx="251">
                  <c:v>45141</c:v>
                </c:pt>
                <c:pt idx="252">
                  <c:v>45140</c:v>
                </c:pt>
                <c:pt idx="253">
                  <c:v>45139</c:v>
                </c:pt>
                <c:pt idx="254">
                  <c:v>45138</c:v>
                </c:pt>
                <c:pt idx="255">
                  <c:v>45137</c:v>
                </c:pt>
                <c:pt idx="256">
                  <c:v>45136</c:v>
                </c:pt>
                <c:pt idx="257">
                  <c:v>45135</c:v>
                </c:pt>
                <c:pt idx="258">
                  <c:v>45134</c:v>
                </c:pt>
                <c:pt idx="259">
                  <c:v>45133</c:v>
                </c:pt>
                <c:pt idx="260">
                  <c:v>45132</c:v>
                </c:pt>
                <c:pt idx="261">
                  <c:v>45131</c:v>
                </c:pt>
                <c:pt idx="262">
                  <c:v>45130</c:v>
                </c:pt>
                <c:pt idx="263">
                  <c:v>45129</c:v>
                </c:pt>
                <c:pt idx="264">
                  <c:v>45128</c:v>
                </c:pt>
                <c:pt idx="265">
                  <c:v>45127</c:v>
                </c:pt>
                <c:pt idx="266">
                  <c:v>45126</c:v>
                </c:pt>
                <c:pt idx="267">
                  <c:v>45125</c:v>
                </c:pt>
                <c:pt idx="268">
                  <c:v>45124</c:v>
                </c:pt>
                <c:pt idx="269">
                  <c:v>45123</c:v>
                </c:pt>
                <c:pt idx="270">
                  <c:v>45122</c:v>
                </c:pt>
                <c:pt idx="271">
                  <c:v>45121</c:v>
                </c:pt>
                <c:pt idx="272">
                  <c:v>45120</c:v>
                </c:pt>
                <c:pt idx="273">
                  <c:v>45119</c:v>
                </c:pt>
                <c:pt idx="274">
                  <c:v>45118</c:v>
                </c:pt>
                <c:pt idx="275">
                  <c:v>45117</c:v>
                </c:pt>
                <c:pt idx="276">
                  <c:v>45116</c:v>
                </c:pt>
                <c:pt idx="277">
                  <c:v>45115</c:v>
                </c:pt>
                <c:pt idx="278">
                  <c:v>45114</c:v>
                </c:pt>
                <c:pt idx="279">
                  <c:v>45113</c:v>
                </c:pt>
                <c:pt idx="280">
                  <c:v>45112</c:v>
                </c:pt>
                <c:pt idx="281">
                  <c:v>45111</c:v>
                </c:pt>
                <c:pt idx="282">
                  <c:v>45110</c:v>
                </c:pt>
                <c:pt idx="283">
                  <c:v>45109</c:v>
                </c:pt>
                <c:pt idx="284">
                  <c:v>45108</c:v>
                </c:pt>
                <c:pt idx="285">
                  <c:v>45107</c:v>
                </c:pt>
                <c:pt idx="286">
                  <c:v>45106</c:v>
                </c:pt>
                <c:pt idx="287">
                  <c:v>45105</c:v>
                </c:pt>
                <c:pt idx="288">
                  <c:v>45104</c:v>
                </c:pt>
                <c:pt idx="289">
                  <c:v>45103</c:v>
                </c:pt>
                <c:pt idx="290">
                  <c:v>45102</c:v>
                </c:pt>
                <c:pt idx="291">
                  <c:v>45101</c:v>
                </c:pt>
                <c:pt idx="292">
                  <c:v>45100</c:v>
                </c:pt>
                <c:pt idx="293">
                  <c:v>45099</c:v>
                </c:pt>
                <c:pt idx="294">
                  <c:v>45098</c:v>
                </c:pt>
                <c:pt idx="295">
                  <c:v>45097</c:v>
                </c:pt>
                <c:pt idx="296">
                  <c:v>45096</c:v>
                </c:pt>
                <c:pt idx="297">
                  <c:v>45095</c:v>
                </c:pt>
                <c:pt idx="298">
                  <c:v>45094</c:v>
                </c:pt>
                <c:pt idx="299">
                  <c:v>45093</c:v>
                </c:pt>
                <c:pt idx="300">
                  <c:v>45092</c:v>
                </c:pt>
                <c:pt idx="301">
                  <c:v>45091</c:v>
                </c:pt>
                <c:pt idx="302">
                  <c:v>45090</c:v>
                </c:pt>
                <c:pt idx="303">
                  <c:v>45089</c:v>
                </c:pt>
                <c:pt idx="304">
                  <c:v>45088</c:v>
                </c:pt>
                <c:pt idx="305">
                  <c:v>45087</c:v>
                </c:pt>
                <c:pt idx="306">
                  <c:v>45086</c:v>
                </c:pt>
                <c:pt idx="307">
                  <c:v>45085</c:v>
                </c:pt>
                <c:pt idx="308">
                  <c:v>45084</c:v>
                </c:pt>
                <c:pt idx="309">
                  <c:v>45083</c:v>
                </c:pt>
                <c:pt idx="310">
                  <c:v>45082</c:v>
                </c:pt>
                <c:pt idx="311">
                  <c:v>45081</c:v>
                </c:pt>
                <c:pt idx="312">
                  <c:v>45080</c:v>
                </c:pt>
                <c:pt idx="313">
                  <c:v>45079</c:v>
                </c:pt>
                <c:pt idx="314">
                  <c:v>45078</c:v>
                </c:pt>
                <c:pt idx="315">
                  <c:v>45077</c:v>
                </c:pt>
                <c:pt idx="316">
                  <c:v>45076</c:v>
                </c:pt>
                <c:pt idx="317">
                  <c:v>45075</c:v>
                </c:pt>
                <c:pt idx="318">
                  <c:v>45074</c:v>
                </c:pt>
                <c:pt idx="319">
                  <c:v>45073</c:v>
                </c:pt>
                <c:pt idx="320">
                  <c:v>45072</c:v>
                </c:pt>
                <c:pt idx="321">
                  <c:v>45071</c:v>
                </c:pt>
                <c:pt idx="322">
                  <c:v>45070</c:v>
                </c:pt>
                <c:pt idx="323">
                  <c:v>45069</c:v>
                </c:pt>
                <c:pt idx="324">
                  <c:v>45068</c:v>
                </c:pt>
                <c:pt idx="325">
                  <c:v>45067</c:v>
                </c:pt>
                <c:pt idx="326">
                  <c:v>45066</c:v>
                </c:pt>
                <c:pt idx="327">
                  <c:v>45065</c:v>
                </c:pt>
                <c:pt idx="328">
                  <c:v>45064</c:v>
                </c:pt>
                <c:pt idx="329">
                  <c:v>45063</c:v>
                </c:pt>
                <c:pt idx="330">
                  <c:v>45062</c:v>
                </c:pt>
                <c:pt idx="331">
                  <c:v>45061</c:v>
                </c:pt>
                <c:pt idx="332">
                  <c:v>45060</c:v>
                </c:pt>
                <c:pt idx="333">
                  <c:v>45059</c:v>
                </c:pt>
                <c:pt idx="334">
                  <c:v>45058</c:v>
                </c:pt>
                <c:pt idx="335">
                  <c:v>45057</c:v>
                </c:pt>
                <c:pt idx="336">
                  <c:v>45056</c:v>
                </c:pt>
                <c:pt idx="337">
                  <c:v>45055</c:v>
                </c:pt>
                <c:pt idx="338">
                  <c:v>45054</c:v>
                </c:pt>
                <c:pt idx="339">
                  <c:v>45053</c:v>
                </c:pt>
                <c:pt idx="340">
                  <c:v>45052</c:v>
                </c:pt>
                <c:pt idx="341">
                  <c:v>45051</c:v>
                </c:pt>
                <c:pt idx="342">
                  <c:v>45050</c:v>
                </c:pt>
                <c:pt idx="343">
                  <c:v>45049</c:v>
                </c:pt>
                <c:pt idx="344">
                  <c:v>45048</c:v>
                </c:pt>
                <c:pt idx="345">
                  <c:v>45047</c:v>
                </c:pt>
                <c:pt idx="346">
                  <c:v>45046</c:v>
                </c:pt>
                <c:pt idx="347">
                  <c:v>45045</c:v>
                </c:pt>
                <c:pt idx="348">
                  <c:v>45044</c:v>
                </c:pt>
                <c:pt idx="349">
                  <c:v>45043</c:v>
                </c:pt>
                <c:pt idx="350">
                  <c:v>45042</c:v>
                </c:pt>
                <c:pt idx="351">
                  <c:v>45041</c:v>
                </c:pt>
                <c:pt idx="352">
                  <c:v>45040</c:v>
                </c:pt>
                <c:pt idx="353">
                  <c:v>45039</c:v>
                </c:pt>
                <c:pt idx="354">
                  <c:v>45038</c:v>
                </c:pt>
                <c:pt idx="355">
                  <c:v>45037</c:v>
                </c:pt>
                <c:pt idx="356">
                  <c:v>45036</c:v>
                </c:pt>
                <c:pt idx="357">
                  <c:v>45035</c:v>
                </c:pt>
                <c:pt idx="358">
                  <c:v>45034</c:v>
                </c:pt>
                <c:pt idx="359">
                  <c:v>45033</c:v>
                </c:pt>
                <c:pt idx="360">
                  <c:v>45032</c:v>
                </c:pt>
                <c:pt idx="361">
                  <c:v>45031</c:v>
                </c:pt>
                <c:pt idx="362">
                  <c:v>45030</c:v>
                </c:pt>
                <c:pt idx="363">
                  <c:v>45029</c:v>
                </c:pt>
                <c:pt idx="364">
                  <c:v>45028</c:v>
                </c:pt>
                <c:pt idx="365">
                  <c:v>45027</c:v>
                </c:pt>
                <c:pt idx="366">
                  <c:v>45026</c:v>
                </c:pt>
              </c:numCache>
            </c:numRef>
          </c:cat>
          <c:val>
            <c:numRef>
              <c:f>'Value &amp; Cost Basis'!$B$2:$B$368</c:f>
              <c:numCache>
                <c:formatCode>General</c:formatCode>
                <c:ptCount val="367"/>
                <c:pt idx="0">
                  <c:v>15846.72661073366</c:v>
                </c:pt>
                <c:pt idx="1">
                  <c:v>15967.64412229779</c:v>
                </c:pt>
                <c:pt idx="2">
                  <c:v>16477.391104747039</c:v>
                </c:pt>
                <c:pt idx="3">
                  <c:v>15922.128083149941</c:v>
                </c:pt>
                <c:pt idx="4">
                  <c:v>15923.414353000629</c:v>
                </c:pt>
                <c:pt idx="5">
                  <c:v>15766.353115084979</c:v>
                </c:pt>
                <c:pt idx="6">
                  <c:v>15865.293281397901</c:v>
                </c:pt>
                <c:pt idx="7">
                  <c:v>15454.691850456171</c:v>
                </c:pt>
                <c:pt idx="8">
                  <c:v>15628.39592822707</c:v>
                </c:pt>
                <c:pt idx="9">
                  <c:v>16480.621473743031</c:v>
                </c:pt>
                <c:pt idx="10">
                  <c:v>17152.75965003555</c:v>
                </c:pt>
                <c:pt idx="11">
                  <c:v>16885.294168204469</c:v>
                </c:pt>
                <c:pt idx="12">
                  <c:v>17218.471402921248</c:v>
                </c:pt>
                <c:pt idx="13">
                  <c:v>17130.414550736768</c:v>
                </c:pt>
                <c:pt idx="14">
                  <c:v>16782.47822208485</c:v>
                </c:pt>
                <c:pt idx="15">
                  <c:v>17562.387656364779</c:v>
                </c:pt>
                <c:pt idx="16">
                  <c:v>17380.77704715055</c:v>
                </c:pt>
                <c:pt idx="17">
                  <c:v>16732.179677034779</c:v>
                </c:pt>
                <c:pt idx="18">
                  <c:v>16302.038591817231</c:v>
                </c:pt>
                <c:pt idx="19">
                  <c:v>16147.3063083257</c:v>
                </c:pt>
                <c:pt idx="20">
                  <c:v>16836.62087441286</c:v>
                </c:pt>
                <c:pt idx="21">
                  <c:v>16588.789790804662</c:v>
                </c:pt>
                <c:pt idx="22">
                  <c:v>15444.61691712735</c:v>
                </c:pt>
                <c:pt idx="23">
                  <c:v>17145.48051589328</c:v>
                </c:pt>
                <c:pt idx="24">
                  <c:v>17089.592187954731</c:v>
                </c:pt>
                <c:pt idx="25">
                  <c:v>16395.949765043672</c:v>
                </c:pt>
                <c:pt idx="26">
                  <c:v>17597.46511288944</c:v>
                </c:pt>
                <c:pt idx="27">
                  <c:v>18567.383130602509</c:v>
                </c:pt>
                <c:pt idx="28">
                  <c:v>19257.31695295528</c:v>
                </c:pt>
                <c:pt idx="29">
                  <c:v>19291.2571991121</c:v>
                </c:pt>
                <c:pt idx="30">
                  <c:v>19612.843270664569</c:v>
                </c:pt>
                <c:pt idx="31">
                  <c:v>17730.58766639583</c:v>
                </c:pt>
                <c:pt idx="32">
                  <c:v>18285.781809238691</c:v>
                </c:pt>
                <c:pt idx="33">
                  <c:v>18275.18309604314</c:v>
                </c:pt>
                <c:pt idx="34">
                  <c:v>18630.100979451399</c:v>
                </c:pt>
                <c:pt idx="35">
                  <c:v>17789.341222581199</c:v>
                </c:pt>
                <c:pt idx="36">
                  <c:v>16444.294929952968</c:v>
                </c:pt>
                <c:pt idx="37">
                  <c:v>17591.332205708699</c:v>
                </c:pt>
                <c:pt idx="38">
                  <c:v>16893.951771701541</c:v>
                </c:pt>
                <c:pt idx="39">
                  <c:v>17306.03140143189</c:v>
                </c:pt>
                <c:pt idx="40">
                  <c:v>16879.717475913589</c:v>
                </c:pt>
                <c:pt idx="41">
                  <c:v>16515.674111174249</c:v>
                </c:pt>
                <c:pt idx="42">
                  <c:v>16295.60891480912</c:v>
                </c:pt>
                <c:pt idx="43">
                  <c:v>16027.4065023444</c:v>
                </c:pt>
                <c:pt idx="44">
                  <c:v>15876.700055517251</c:v>
                </c:pt>
                <c:pt idx="45">
                  <c:v>15583.072359455349</c:v>
                </c:pt>
                <c:pt idx="46">
                  <c:v>15649.49181156128</c:v>
                </c:pt>
                <c:pt idx="47">
                  <c:v>13561.782471925861</c:v>
                </c:pt>
                <c:pt idx="48">
                  <c:v>14263.24546925888</c:v>
                </c:pt>
                <c:pt idx="49">
                  <c:v>13284.16035359389</c:v>
                </c:pt>
                <c:pt idx="50">
                  <c:v>13643.81172449971</c:v>
                </c:pt>
                <c:pt idx="51">
                  <c:v>13895.873277314309</c:v>
                </c:pt>
                <c:pt idx="52">
                  <c:v>12137.43328218663</c:v>
                </c:pt>
                <c:pt idx="53">
                  <c:v>11563.20843205476</c:v>
                </c:pt>
                <c:pt idx="54">
                  <c:v>11863.65126588734</c:v>
                </c:pt>
                <c:pt idx="55">
                  <c:v>11613.818656762231</c:v>
                </c:pt>
                <c:pt idx="56">
                  <c:v>11371.637394588261</c:v>
                </c:pt>
                <c:pt idx="57">
                  <c:v>11193.701416061551</c:v>
                </c:pt>
                <c:pt idx="58">
                  <c:v>11120.22968209853</c:v>
                </c:pt>
                <c:pt idx="59">
                  <c:v>10926.58711992184</c:v>
                </c:pt>
                <c:pt idx="60">
                  <c:v>10961.034809831821</c:v>
                </c:pt>
                <c:pt idx="61">
                  <c:v>11025.37085685381</c:v>
                </c:pt>
                <c:pt idx="62">
                  <c:v>10651.412460070391</c:v>
                </c:pt>
                <c:pt idx="63">
                  <c:v>10636.0469685633</c:v>
                </c:pt>
                <c:pt idx="64">
                  <c:v>10478.15153579369</c:v>
                </c:pt>
                <c:pt idx="65">
                  <c:v>10034.14543548085</c:v>
                </c:pt>
                <c:pt idx="66">
                  <c:v>9938.0793912179543</c:v>
                </c:pt>
                <c:pt idx="67">
                  <c:v>10143.033866931821</c:v>
                </c:pt>
                <c:pt idx="68">
                  <c:v>10055.326241896641</c:v>
                </c:pt>
                <c:pt idx="69">
                  <c:v>10105.16881367773</c:v>
                </c:pt>
                <c:pt idx="70">
                  <c:v>10016.30727916656</c:v>
                </c:pt>
                <c:pt idx="71">
                  <c:v>10364.34015468112</c:v>
                </c:pt>
                <c:pt idx="72">
                  <c:v>10691.1761218925</c:v>
                </c:pt>
                <c:pt idx="73">
                  <c:v>10510.16920993928</c:v>
                </c:pt>
                <c:pt idx="74">
                  <c:v>10649.391593845021</c:v>
                </c:pt>
                <c:pt idx="75">
                  <c:v>10667.646585194179</c:v>
                </c:pt>
                <c:pt idx="76">
                  <c:v>10258.940591199889</c:v>
                </c:pt>
                <c:pt idx="77">
                  <c:v>10370.933511508259</c:v>
                </c:pt>
                <c:pt idx="78">
                  <c:v>10234.87300467814</c:v>
                </c:pt>
                <c:pt idx="79">
                  <c:v>10323.10400177199</c:v>
                </c:pt>
                <c:pt idx="80">
                  <c:v>10885.323843478431</c:v>
                </c:pt>
                <c:pt idx="81">
                  <c:v>10998.77938722225</c:v>
                </c:pt>
                <c:pt idx="82">
                  <c:v>10868.277651179371</c:v>
                </c:pt>
                <c:pt idx="83">
                  <c:v>10898.59473036851</c:v>
                </c:pt>
                <c:pt idx="84">
                  <c:v>11334.293298374039</c:v>
                </c:pt>
                <c:pt idx="85">
                  <c:v>11549.591594518721</c:v>
                </c:pt>
                <c:pt idx="86">
                  <c:v>11316.305705637409</c:v>
                </c:pt>
                <c:pt idx="87">
                  <c:v>11258.909096567961</c:v>
                </c:pt>
                <c:pt idx="88">
                  <c:v>11594.80878521291</c:v>
                </c:pt>
                <c:pt idx="89">
                  <c:v>11472.1837554957</c:v>
                </c:pt>
                <c:pt idx="90">
                  <c:v>12050.385866039031</c:v>
                </c:pt>
                <c:pt idx="91">
                  <c:v>12017.543972990339</c:v>
                </c:pt>
                <c:pt idx="92">
                  <c:v>11200.19391363105</c:v>
                </c:pt>
                <c:pt idx="93">
                  <c:v>11648.34864640766</c:v>
                </c:pt>
                <c:pt idx="94">
                  <c:v>10904.296130439991</c:v>
                </c:pt>
                <c:pt idx="95">
                  <c:v>11393.19303462634</c:v>
                </c:pt>
                <c:pt idx="96">
                  <c:v>11879.299762819441</c:v>
                </c:pt>
                <c:pt idx="97">
                  <c:v>12260.64380262154</c:v>
                </c:pt>
                <c:pt idx="98">
                  <c:v>12245.13383786062</c:v>
                </c:pt>
                <c:pt idx="99">
                  <c:v>13347.16501940245</c:v>
                </c:pt>
                <c:pt idx="100">
                  <c:v>12947.83007908254</c:v>
                </c:pt>
                <c:pt idx="101">
                  <c:v>12290.362082772919</c:v>
                </c:pt>
                <c:pt idx="102">
                  <c:v>12481.769861201659</c:v>
                </c:pt>
                <c:pt idx="103">
                  <c:v>12649.83927396639</c:v>
                </c:pt>
                <c:pt idx="104">
                  <c:v>12774.881816162009</c:v>
                </c:pt>
                <c:pt idx="105">
                  <c:v>13006.60806487115</c:v>
                </c:pt>
                <c:pt idx="106">
                  <c:v>12672.522174734209</c:v>
                </c:pt>
                <c:pt idx="107">
                  <c:v>13142.746239323251</c:v>
                </c:pt>
                <c:pt idx="108">
                  <c:v>12657.45403680088</c:v>
                </c:pt>
                <c:pt idx="109">
                  <c:v>12815.150111431731</c:v>
                </c:pt>
                <c:pt idx="110">
                  <c:v>12825.28771257796</c:v>
                </c:pt>
                <c:pt idx="111">
                  <c:v>12822.636072947271</c:v>
                </c:pt>
                <c:pt idx="112">
                  <c:v>12433.37057334973</c:v>
                </c:pt>
                <c:pt idx="113">
                  <c:v>11858.97661647687</c:v>
                </c:pt>
                <c:pt idx="114">
                  <c:v>11760.411637300151</c:v>
                </c:pt>
                <c:pt idx="115">
                  <c:v>11663.423132235421</c:v>
                </c:pt>
                <c:pt idx="116">
                  <c:v>11861.11292038148</c:v>
                </c:pt>
                <c:pt idx="117">
                  <c:v>11835.709963896839</c:v>
                </c:pt>
                <c:pt idx="118">
                  <c:v>12282.92479743255</c:v>
                </c:pt>
                <c:pt idx="119">
                  <c:v>11683.926183295889</c:v>
                </c:pt>
                <c:pt idx="120">
                  <c:v>11508.474862555389</c:v>
                </c:pt>
                <c:pt idx="121">
                  <c:v>11142.806863884371</c:v>
                </c:pt>
                <c:pt idx="122">
                  <c:v>11836.837317052359</c:v>
                </c:pt>
                <c:pt idx="123">
                  <c:v>11764.85487427043</c:v>
                </c:pt>
                <c:pt idx="124">
                  <c:v>11876.13907076065</c:v>
                </c:pt>
                <c:pt idx="125">
                  <c:v>11198.50020851601</c:v>
                </c:pt>
                <c:pt idx="126">
                  <c:v>11140.41804568555</c:v>
                </c:pt>
                <c:pt idx="127">
                  <c:v>10738.02817676457</c:v>
                </c:pt>
                <c:pt idx="128">
                  <c:v>10604.88062856559</c:v>
                </c:pt>
                <c:pt idx="129">
                  <c:v>10453.732481992811</c:v>
                </c:pt>
                <c:pt idx="130">
                  <c:v>10446.18299241199</c:v>
                </c:pt>
                <c:pt idx="131">
                  <c:v>10249.65975068158</c:v>
                </c:pt>
                <c:pt idx="132">
                  <c:v>10136.19096233995</c:v>
                </c:pt>
                <c:pt idx="133">
                  <c:v>10154.976982975781</c:v>
                </c:pt>
                <c:pt idx="134">
                  <c:v>10252.933484462121</c:v>
                </c:pt>
                <c:pt idx="135">
                  <c:v>10240.342007749499</c:v>
                </c:pt>
                <c:pt idx="136">
                  <c:v>10456.61645257977</c:v>
                </c:pt>
                <c:pt idx="137">
                  <c:v>10563.93995438009</c:v>
                </c:pt>
                <c:pt idx="138">
                  <c:v>10453.935564153269</c:v>
                </c:pt>
                <c:pt idx="139">
                  <c:v>10370.558405331451</c:v>
                </c:pt>
                <c:pt idx="140">
                  <c:v>10377.209684921751</c:v>
                </c:pt>
                <c:pt idx="141">
                  <c:v>9800.3433959968752</c:v>
                </c:pt>
                <c:pt idx="142">
                  <c:v>10666.69194580202</c:v>
                </c:pt>
                <c:pt idx="143">
                  <c:v>10519.64265596577</c:v>
                </c:pt>
                <c:pt idx="144">
                  <c:v>10299.01993628986</c:v>
                </c:pt>
                <c:pt idx="145">
                  <c:v>10480.65410897804</c:v>
                </c:pt>
                <c:pt idx="146">
                  <c:v>10244.094157626179</c:v>
                </c:pt>
                <c:pt idx="147">
                  <c:v>10657.063583724859</c:v>
                </c:pt>
                <c:pt idx="148">
                  <c:v>10214.06939839362</c:v>
                </c:pt>
                <c:pt idx="149">
                  <c:v>10621.61662867511</c:v>
                </c:pt>
                <c:pt idx="150">
                  <c:v>10791.683633547171</c:v>
                </c:pt>
                <c:pt idx="151">
                  <c:v>10776.169425909209</c:v>
                </c:pt>
                <c:pt idx="152">
                  <c:v>10826.566100976541</c:v>
                </c:pt>
                <c:pt idx="153">
                  <c:v>10641.241772928541</c:v>
                </c:pt>
                <c:pt idx="154">
                  <c:v>10886.523136665401</c:v>
                </c:pt>
                <c:pt idx="155">
                  <c:v>10613.16634201649</c:v>
                </c:pt>
                <c:pt idx="156">
                  <c:v>10960.99645953356</c:v>
                </c:pt>
                <c:pt idx="157">
                  <c:v>10252.794616110439</c:v>
                </c:pt>
                <c:pt idx="158">
                  <c:v>9858.5995637323358</c:v>
                </c:pt>
                <c:pt idx="159">
                  <c:v>9758.7423148428134</c:v>
                </c:pt>
                <c:pt idx="160">
                  <c:v>9758.3019405593805</c:v>
                </c:pt>
                <c:pt idx="161">
                  <c:v>9634.0383977521378</c:v>
                </c:pt>
                <c:pt idx="162">
                  <c:v>9465.7439791246397</c:v>
                </c:pt>
                <c:pt idx="163">
                  <c:v>9378.9117674783811</c:v>
                </c:pt>
                <c:pt idx="164">
                  <c:v>9083.3971108411297</c:v>
                </c:pt>
                <c:pt idx="165">
                  <c:v>8938.8474584105988</c:v>
                </c:pt>
                <c:pt idx="166">
                  <c:v>8869.7413743746183</c:v>
                </c:pt>
                <c:pt idx="167">
                  <c:v>9099.2806005458187</c:v>
                </c:pt>
                <c:pt idx="168">
                  <c:v>9029.5615544221691</c:v>
                </c:pt>
                <c:pt idx="169">
                  <c:v>9007.4570817409185</c:v>
                </c:pt>
                <c:pt idx="170">
                  <c:v>8926.9152057755236</c:v>
                </c:pt>
                <c:pt idx="171">
                  <c:v>8589.3607743606626</c:v>
                </c:pt>
                <c:pt idx="172">
                  <c:v>8491.0099231596887</c:v>
                </c:pt>
                <c:pt idx="173">
                  <c:v>8314.1137890381833</c:v>
                </c:pt>
                <c:pt idx="174">
                  <c:v>8212.5659704171721</c:v>
                </c:pt>
                <c:pt idx="175">
                  <c:v>8065.5234772560198</c:v>
                </c:pt>
                <c:pt idx="176">
                  <c:v>8042.9933527495268</c:v>
                </c:pt>
                <c:pt idx="177">
                  <c:v>8162.4918353675384</c:v>
                </c:pt>
                <c:pt idx="178">
                  <c:v>8008.8100985180681</c:v>
                </c:pt>
                <c:pt idx="179">
                  <c:v>8003.7048014559041</c:v>
                </c:pt>
                <c:pt idx="180">
                  <c:v>7977.0830805758123</c:v>
                </c:pt>
                <c:pt idx="181">
                  <c:v>7869.3672095141374</c:v>
                </c:pt>
                <c:pt idx="182">
                  <c:v>8004.4115915315324</c:v>
                </c:pt>
                <c:pt idx="183">
                  <c:v>8104.1763099658492</c:v>
                </c:pt>
                <c:pt idx="184">
                  <c:v>8118.6589940664308</c:v>
                </c:pt>
                <c:pt idx="185">
                  <c:v>8376.1857224494979</c:v>
                </c:pt>
                <c:pt idx="186">
                  <c:v>8426.5909648566558</c:v>
                </c:pt>
                <c:pt idx="187">
                  <c:v>8481.3141958619181</c:v>
                </c:pt>
                <c:pt idx="188">
                  <c:v>8425.9616981367872</c:v>
                </c:pt>
                <c:pt idx="189">
                  <c:v>8568.7188784892223</c:v>
                </c:pt>
                <c:pt idx="190">
                  <c:v>8650.2666680188177</c:v>
                </c:pt>
                <c:pt idx="191">
                  <c:v>8491.2583267891405</c:v>
                </c:pt>
                <c:pt idx="192">
                  <c:v>8648.3565462640472</c:v>
                </c:pt>
                <c:pt idx="193">
                  <c:v>8492.273675454082</c:v>
                </c:pt>
                <c:pt idx="194">
                  <c:v>8522.4216418009473</c:v>
                </c:pt>
                <c:pt idx="195">
                  <c:v>8448.9560696732915</c:v>
                </c:pt>
                <c:pt idx="196">
                  <c:v>8324.8618331078123</c:v>
                </c:pt>
                <c:pt idx="197">
                  <c:v>8342.0893013376717</c:v>
                </c:pt>
                <c:pt idx="198">
                  <c:v>8464.8736812821735</c:v>
                </c:pt>
                <c:pt idx="199">
                  <c:v>8382.0572599026436</c:v>
                </c:pt>
                <c:pt idx="200">
                  <c:v>8595.6206728184043</c:v>
                </c:pt>
                <c:pt idx="201">
                  <c:v>8516.180888644285</c:v>
                </c:pt>
                <c:pt idx="202">
                  <c:v>8468.4320929953792</c:v>
                </c:pt>
                <c:pt idx="203">
                  <c:v>8608.7763099441836</c:v>
                </c:pt>
                <c:pt idx="204">
                  <c:v>8577.6484919235791</c:v>
                </c:pt>
                <c:pt idx="205">
                  <c:v>8402.2141419593681</c:v>
                </c:pt>
                <c:pt idx="206">
                  <c:v>8284.6486405886753</c:v>
                </c:pt>
                <c:pt idx="207">
                  <c:v>8506.4244249392359</c:v>
                </c:pt>
                <c:pt idx="208">
                  <c:v>8541.5816202143542</c:v>
                </c:pt>
                <c:pt idx="209">
                  <c:v>8403.1013799248885</c:v>
                </c:pt>
                <c:pt idx="210">
                  <c:v>8212.687749576</c:v>
                </c:pt>
                <c:pt idx="211">
                  <c:v>7972.7694829444426</c:v>
                </c:pt>
                <c:pt idx="212">
                  <c:v>7861.9185296123596</c:v>
                </c:pt>
                <c:pt idx="213">
                  <c:v>8181.962855730686</c:v>
                </c:pt>
                <c:pt idx="214">
                  <c:v>8327.3284263581136</c:v>
                </c:pt>
                <c:pt idx="215">
                  <c:v>8407.548904174886</c:v>
                </c:pt>
                <c:pt idx="216">
                  <c:v>8408.4211739302245</c:v>
                </c:pt>
                <c:pt idx="217">
                  <c:v>8337.3450464198086</c:v>
                </c:pt>
                <c:pt idx="218">
                  <c:v>8374.2577399467846</c:v>
                </c:pt>
                <c:pt idx="219">
                  <c:v>8326.0139558691208</c:v>
                </c:pt>
                <c:pt idx="220">
                  <c:v>8305.1953159387085</c:v>
                </c:pt>
                <c:pt idx="221">
                  <c:v>8342.5997272485292</c:v>
                </c:pt>
                <c:pt idx="222">
                  <c:v>8354.3922592512154</c:v>
                </c:pt>
                <c:pt idx="223">
                  <c:v>8662.0432460095581</c:v>
                </c:pt>
                <c:pt idx="224">
                  <c:v>8910.7767296058228</c:v>
                </c:pt>
                <c:pt idx="225">
                  <c:v>9231.1929611511077</c:v>
                </c:pt>
                <c:pt idx="226">
                  <c:v>9073.0713650416692</c:v>
                </c:pt>
                <c:pt idx="227">
                  <c:v>9240.4342236819648</c:v>
                </c:pt>
                <c:pt idx="228">
                  <c:v>9212.3657326176035</c:v>
                </c:pt>
                <c:pt idx="229">
                  <c:v>9326.2764293700548</c:v>
                </c:pt>
                <c:pt idx="230">
                  <c:v>9276.761917179967</c:v>
                </c:pt>
                <c:pt idx="231">
                  <c:v>9594.8482593820372</c:v>
                </c:pt>
                <c:pt idx="232">
                  <c:v>9278.3493998211088</c:v>
                </c:pt>
                <c:pt idx="233">
                  <c:v>9491.1415856114509</c:v>
                </c:pt>
                <c:pt idx="234">
                  <c:v>9633.7716393044866</c:v>
                </c:pt>
                <c:pt idx="235">
                  <c:v>9778.251438320096</c:v>
                </c:pt>
                <c:pt idx="236">
                  <c:v>9158.5272479019131</c:v>
                </c:pt>
                <c:pt idx="237">
                  <c:v>9034.1373808997378</c:v>
                </c:pt>
                <c:pt idx="238">
                  <c:v>10211.561992499801</c:v>
                </c:pt>
                <c:pt idx="239">
                  <c:v>10778.768347668451</c:v>
                </c:pt>
                <c:pt idx="240">
                  <c:v>10810.24958790991</c:v>
                </c:pt>
                <c:pt idx="241">
                  <c:v>10036.07217399173</c:v>
                </c:pt>
                <c:pt idx="242">
                  <c:v>9980.2845952989555</c:v>
                </c:pt>
                <c:pt idx="243">
                  <c:v>10048.34144669896</c:v>
                </c:pt>
                <c:pt idx="244">
                  <c:v>10149.43561119864</c:v>
                </c:pt>
                <c:pt idx="245">
                  <c:v>10412.63593568634</c:v>
                </c:pt>
                <c:pt idx="246">
                  <c:v>10510.37984993502</c:v>
                </c:pt>
                <c:pt idx="247">
                  <c:v>10081.055483912431</c:v>
                </c:pt>
                <c:pt idx="248">
                  <c:v>10129.17211459518</c:v>
                </c:pt>
                <c:pt idx="249">
                  <c:v>10017.074614403989</c:v>
                </c:pt>
                <c:pt idx="250">
                  <c:v>10099.53796778721</c:v>
                </c:pt>
                <c:pt idx="251">
                  <c:v>10360.71526881369</c:v>
                </c:pt>
                <c:pt idx="252">
                  <c:v>10512.195814584709</c:v>
                </c:pt>
                <c:pt idx="253">
                  <c:v>10720.284995360311</c:v>
                </c:pt>
                <c:pt idx="254">
                  <c:v>10654.33024823601</c:v>
                </c:pt>
                <c:pt idx="255">
                  <c:v>10733.58095100615</c:v>
                </c:pt>
                <c:pt idx="256">
                  <c:v>10861.49669800383</c:v>
                </c:pt>
                <c:pt idx="257">
                  <c:v>10805.16164848315</c:v>
                </c:pt>
                <c:pt idx="258">
                  <c:v>10761.958862441979</c:v>
                </c:pt>
                <c:pt idx="259">
                  <c:v>10825.31922847221</c:v>
                </c:pt>
                <c:pt idx="260">
                  <c:v>10749.31645161079</c:v>
                </c:pt>
                <c:pt idx="261">
                  <c:v>9674.2427029689297</c:v>
                </c:pt>
                <c:pt idx="262">
                  <c:v>10028.545581642969</c:v>
                </c:pt>
                <c:pt idx="263">
                  <c:v>9937.300940003528</c:v>
                </c:pt>
                <c:pt idx="264">
                  <c:v>10360.684645860951</c:v>
                </c:pt>
                <c:pt idx="265">
                  <c:v>10571.646766448401</c:v>
                </c:pt>
                <c:pt idx="266">
                  <c:v>10738.624374690149</c:v>
                </c:pt>
                <c:pt idx="267">
                  <c:v>10324.396730505099</c:v>
                </c:pt>
                <c:pt idx="268">
                  <c:v>10089.11236686464</c:v>
                </c:pt>
                <c:pt idx="269">
                  <c:v>10041.6116913892</c:v>
                </c:pt>
                <c:pt idx="270">
                  <c:v>10026.813439166959</c:v>
                </c:pt>
                <c:pt idx="271">
                  <c:v>10038.01463198471</c:v>
                </c:pt>
                <c:pt idx="272">
                  <c:v>10669.429924021781</c:v>
                </c:pt>
                <c:pt idx="273">
                  <c:v>8557.0181329960033</c:v>
                </c:pt>
                <c:pt idx="274">
                  <c:v>8587.4105508715129</c:v>
                </c:pt>
                <c:pt idx="275">
                  <c:v>8552.3155039103549</c:v>
                </c:pt>
                <c:pt idx="276">
                  <c:v>8479.7718129479308</c:v>
                </c:pt>
                <c:pt idx="277">
                  <c:v>8512.2498522802452</c:v>
                </c:pt>
                <c:pt idx="278">
                  <c:v>8491.9994271439136</c:v>
                </c:pt>
                <c:pt idx="279">
                  <c:v>8396.4470933559223</c:v>
                </c:pt>
                <c:pt idx="280">
                  <c:v>8615.9700257796721</c:v>
                </c:pt>
                <c:pt idx="281">
                  <c:v>8810.8772705159445</c:v>
                </c:pt>
                <c:pt idx="282">
                  <c:v>8929.8899329355809</c:v>
                </c:pt>
                <c:pt idx="283">
                  <c:v>8845.1011240823937</c:v>
                </c:pt>
                <c:pt idx="284">
                  <c:v>8802.3688384427278</c:v>
                </c:pt>
                <c:pt idx="285">
                  <c:v>8752.4286890626918</c:v>
                </c:pt>
                <c:pt idx="286">
                  <c:v>8489.5913659972612</c:v>
                </c:pt>
                <c:pt idx="287">
                  <c:v>8355.915094720247</c:v>
                </c:pt>
                <c:pt idx="288">
                  <c:v>8754.3367183418704</c:v>
                </c:pt>
                <c:pt idx="289">
                  <c:v>8627.6731379835564</c:v>
                </c:pt>
                <c:pt idx="290">
                  <c:v>8854.5673784002884</c:v>
                </c:pt>
                <c:pt idx="291">
                  <c:v>8768.1142221048685</c:v>
                </c:pt>
                <c:pt idx="292">
                  <c:v>8877.5022805921108</c:v>
                </c:pt>
                <c:pt idx="293">
                  <c:v>8711.1484859102857</c:v>
                </c:pt>
                <c:pt idx="294">
                  <c:v>8763.3531025526427</c:v>
                </c:pt>
                <c:pt idx="295">
                  <c:v>8430.5134296292672</c:v>
                </c:pt>
                <c:pt idx="296">
                  <c:v>8262.7329907048206</c:v>
                </c:pt>
                <c:pt idx="297">
                  <c:v>8237.4546490582106</c:v>
                </c:pt>
                <c:pt idx="298">
                  <c:v>8266.501777715479</c:v>
                </c:pt>
                <c:pt idx="299">
                  <c:v>8195.8472207131163</c:v>
                </c:pt>
                <c:pt idx="300">
                  <c:v>8072.8933613182708</c:v>
                </c:pt>
                <c:pt idx="301">
                  <c:v>8110.4190819877704</c:v>
                </c:pt>
                <c:pt idx="302">
                  <c:v>8511.0459997619218</c:v>
                </c:pt>
                <c:pt idx="303">
                  <c:v>8483.5565586892426</c:v>
                </c:pt>
                <c:pt idx="304">
                  <c:v>8442.9642357248958</c:v>
                </c:pt>
                <c:pt idx="305">
                  <c:v>8435.4862281391179</c:v>
                </c:pt>
                <c:pt idx="306">
                  <c:v>8965.6249509001918</c:v>
                </c:pt>
                <c:pt idx="307">
                  <c:v>9015.8419717770303</c:v>
                </c:pt>
                <c:pt idx="308">
                  <c:v>8955.0842326782622</c:v>
                </c:pt>
                <c:pt idx="309">
                  <c:v>9269.5046414077242</c:v>
                </c:pt>
                <c:pt idx="310">
                  <c:v>8996.9876399163186</c:v>
                </c:pt>
                <c:pt idx="311">
                  <c:v>9455.1490956731541</c:v>
                </c:pt>
                <c:pt idx="312">
                  <c:v>8386.2200408920235</c:v>
                </c:pt>
                <c:pt idx="313">
                  <c:v>8463.7175236778494</c:v>
                </c:pt>
                <c:pt idx="314">
                  <c:v>8258.5944661930262</c:v>
                </c:pt>
                <c:pt idx="315">
                  <c:v>8404.5745684799585</c:v>
                </c:pt>
                <c:pt idx="316">
                  <c:v>8526.9167850566446</c:v>
                </c:pt>
                <c:pt idx="317">
                  <c:v>8394.0659239965662</c:v>
                </c:pt>
                <c:pt idx="318">
                  <c:v>8411.227677703635</c:v>
                </c:pt>
                <c:pt idx="319">
                  <c:v>8134.2170470231704</c:v>
                </c:pt>
                <c:pt idx="320">
                  <c:v>8105.4435968347734</c:v>
                </c:pt>
                <c:pt idx="321">
                  <c:v>7928.2450697248951</c:v>
                </c:pt>
                <c:pt idx="322">
                  <c:v>7950.2262865611046</c:v>
                </c:pt>
                <c:pt idx="323">
                  <c:v>8163.8024561315542</c:v>
                </c:pt>
                <c:pt idx="324">
                  <c:v>8088.3859374488547</c:v>
                </c:pt>
                <c:pt idx="325">
                  <c:v>8035.5546325191972</c:v>
                </c:pt>
                <c:pt idx="326">
                  <c:v>8151.0380482185901</c:v>
                </c:pt>
                <c:pt idx="327">
                  <c:v>8132.5574644560911</c:v>
                </c:pt>
                <c:pt idx="328">
                  <c:v>8076.4119969432377</c:v>
                </c:pt>
                <c:pt idx="329">
                  <c:v>8108.6212301790547</c:v>
                </c:pt>
                <c:pt idx="330">
                  <c:v>8018.310479003454</c:v>
                </c:pt>
                <c:pt idx="331">
                  <c:v>7961.3662887755472</c:v>
                </c:pt>
                <c:pt idx="332">
                  <c:v>7895.001104964238</c:v>
                </c:pt>
                <c:pt idx="333">
                  <c:v>7856.2770349846851</c:v>
                </c:pt>
                <c:pt idx="334">
                  <c:v>7921.514515879494</c:v>
                </c:pt>
                <c:pt idx="335">
                  <c:v>7784.8358440995671</c:v>
                </c:pt>
                <c:pt idx="336">
                  <c:v>8046.7708859730374</c:v>
                </c:pt>
                <c:pt idx="337">
                  <c:v>8008.1845671538531</c:v>
                </c:pt>
                <c:pt idx="338">
                  <c:v>7990.438341863678</c:v>
                </c:pt>
                <c:pt idx="339">
                  <c:v>8303.5187448385132</c:v>
                </c:pt>
                <c:pt idx="340">
                  <c:v>8354.9891707469415</c:v>
                </c:pt>
                <c:pt idx="341">
                  <c:v>8628.1410246420492</c:v>
                </c:pt>
                <c:pt idx="342">
                  <c:v>8370.2120614000123</c:v>
                </c:pt>
                <c:pt idx="343">
                  <c:v>8472.110547626944</c:v>
                </c:pt>
                <c:pt idx="344">
                  <c:v>8423.1400169121043</c:v>
                </c:pt>
                <c:pt idx="345">
                  <c:v>8370.3421099703992</c:v>
                </c:pt>
                <c:pt idx="346">
                  <c:v>8680.6037904772711</c:v>
                </c:pt>
                <c:pt idx="347">
                  <c:v>8641.9999969055825</c:v>
                </c:pt>
                <c:pt idx="348">
                  <c:v>8629.9272840153826</c:v>
                </c:pt>
                <c:pt idx="349">
                  <c:v>8639.4844177479063</c:v>
                </c:pt>
                <c:pt idx="350">
                  <c:v>8479.0641642490991</c:v>
                </c:pt>
                <c:pt idx="351">
                  <c:v>8559.08992168849</c:v>
                </c:pt>
                <c:pt idx="352">
                  <c:v>8396.5931318790554</c:v>
                </c:pt>
                <c:pt idx="353">
                  <c:v>8474.79752214986</c:v>
                </c:pt>
                <c:pt idx="354">
                  <c:v>8593.0289612325341</c:v>
                </c:pt>
                <c:pt idx="355">
                  <c:v>8350.6197233377661</c:v>
                </c:pt>
                <c:pt idx="356">
                  <c:v>8755.4458449541416</c:v>
                </c:pt>
                <c:pt idx="357">
                  <c:v>8888.3417994876418</c:v>
                </c:pt>
                <c:pt idx="358">
                  <c:v>8749.915484044297</c:v>
                </c:pt>
                <c:pt idx="359">
                  <c:v>8558.9181637269176</c:v>
                </c:pt>
                <c:pt idx="360">
                  <c:v>8787.8075316299273</c:v>
                </c:pt>
                <c:pt idx="361">
                  <c:v>8725.8987985117801</c:v>
                </c:pt>
                <c:pt idx="362">
                  <c:v>8686.4290394986965</c:v>
                </c:pt>
                <c:pt idx="363">
                  <c:v>8460.6025626997161</c:v>
                </c:pt>
                <c:pt idx="364">
                  <c:v>8151.5374522034581</c:v>
                </c:pt>
                <c:pt idx="365">
                  <c:v>8197.7278953353343</c:v>
                </c:pt>
                <c:pt idx="366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Basis'!$A$2:$A$368</c:f>
              <c:numCache>
                <c:formatCode>m/d/yy</c:formatCode>
                <c:ptCount val="367"/>
                <c:pt idx="0">
                  <c:v>45392</c:v>
                </c:pt>
                <c:pt idx="1">
                  <c:v>45391</c:v>
                </c:pt>
                <c:pt idx="2">
                  <c:v>45390</c:v>
                </c:pt>
                <c:pt idx="3">
                  <c:v>45389</c:v>
                </c:pt>
                <c:pt idx="4">
                  <c:v>45388</c:v>
                </c:pt>
                <c:pt idx="5">
                  <c:v>45387</c:v>
                </c:pt>
                <c:pt idx="6">
                  <c:v>45386</c:v>
                </c:pt>
                <c:pt idx="7">
                  <c:v>45385</c:v>
                </c:pt>
                <c:pt idx="8">
                  <c:v>45384</c:v>
                </c:pt>
                <c:pt idx="9">
                  <c:v>45383</c:v>
                </c:pt>
                <c:pt idx="10">
                  <c:v>45382</c:v>
                </c:pt>
                <c:pt idx="11">
                  <c:v>45381</c:v>
                </c:pt>
                <c:pt idx="12">
                  <c:v>45380</c:v>
                </c:pt>
                <c:pt idx="13">
                  <c:v>45379</c:v>
                </c:pt>
                <c:pt idx="14">
                  <c:v>45378</c:v>
                </c:pt>
                <c:pt idx="15">
                  <c:v>45377</c:v>
                </c:pt>
                <c:pt idx="16">
                  <c:v>45376</c:v>
                </c:pt>
                <c:pt idx="17">
                  <c:v>45375</c:v>
                </c:pt>
                <c:pt idx="18">
                  <c:v>45374</c:v>
                </c:pt>
                <c:pt idx="19">
                  <c:v>45373</c:v>
                </c:pt>
                <c:pt idx="20">
                  <c:v>45372</c:v>
                </c:pt>
                <c:pt idx="21">
                  <c:v>45371</c:v>
                </c:pt>
                <c:pt idx="22">
                  <c:v>45370</c:v>
                </c:pt>
                <c:pt idx="23">
                  <c:v>45369</c:v>
                </c:pt>
                <c:pt idx="24">
                  <c:v>45368</c:v>
                </c:pt>
                <c:pt idx="25">
                  <c:v>45367</c:v>
                </c:pt>
                <c:pt idx="26">
                  <c:v>45366</c:v>
                </c:pt>
                <c:pt idx="27">
                  <c:v>45365</c:v>
                </c:pt>
                <c:pt idx="28">
                  <c:v>45364</c:v>
                </c:pt>
                <c:pt idx="29">
                  <c:v>45363</c:v>
                </c:pt>
                <c:pt idx="30">
                  <c:v>45362</c:v>
                </c:pt>
                <c:pt idx="31">
                  <c:v>45361</c:v>
                </c:pt>
                <c:pt idx="32">
                  <c:v>45360</c:v>
                </c:pt>
                <c:pt idx="33">
                  <c:v>45359</c:v>
                </c:pt>
                <c:pt idx="34">
                  <c:v>45358</c:v>
                </c:pt>
                <c:pt idx="35">
                  <c:v>45357</c:v>
                </c:pt>
                <c:pt idx="36">
                  <c:v>45356</c:v>
                </c:pt>
                <c:pt idx="37">
                  <c:v>45355</c:v>
                </c:pt>
                <c:pt idx="38">
                  <c:v>45354</c:v>
                </c:pt>
                <c:pt idx="39">
                  <c:v>45353</c:v>
                </c:pt>
                <c:pt idx="40">
                  <c:v>45352</c:v>
                </c:pt>
                <c:pt idx="41">
                  <c:v>45351</c:v>
                </c:pt>
                <c:pt idx="42">
                  <c:v>45350</c:v>
                </c:pt>
                <c:pt idx="43">
                  <c:v>45349</c:v>
                </c:pt>
                <c:pt idx="44">
                  <c:v>45348</c:v>
                </c:pt>
                <c:pt idx="45">
                  <c:v>45347</c:v>
                </c:pt>
                <c:pt idx="46">
                  <c:v>45346</c:v>
                </c:pt>
                <c:pt idx="47">
                  <c:v>45345</c:v>
                </c:pt>
                <c:pt idx="48">
                  <c:v>45344</c:v>
                </c:pt>
                <c:pt idx="49">
                  <c:v>45343</c:v>
                </c:pt>
                <c:pt idx="50">
                  <c:v>45342</c:v>
                </c:pt>
                <c:pt idx="51">
                  <c:v>45341</c:v>
                </c:pt>
                <c:pt idx="52">
                  <c:v>45340</c:v>
                </c:pt>
                <c:pt idx="53">
                  <c:v>45339</c:v>
                </c:pt>
                <c:pt idx="54">
                  <c:v>45338</c:v>
                </c:pt>
                <c:pt idx="55">
                  <c:v>45337</c:v>
                </c:pt>
                <c:pt idx="56">
                  <c:v>45336</c:v>
                </c:pt>
                <c:pt idx="57">
                  <c:v>45335</c:v>
                </c:pt>
                <c:pt idx="58">
                  <c:v>45334</c:v>
                </c:pt>
                <c:pt idx="59">
                  <c:v>45333</c:v>
                </c:pt>
                <c:pt idx="60">
                  <c:v>45332</c:v>
                </c:pt>
                <c:pt idx="61">
                  <c:v>45331</c:v>
                </c:pt>
                <c:pt idx="62">
                  <c:v>45330</c:v>
                </c:pt>
                <c:pt idx="63">
                  <c:v>45329</c:v>
                </c:pt>
                <c:pt idx="64">
                  <c:v>45328</c:v>
                </c:pt>
                <c:pt idx="65">
                  <c:v>45327</c:v>
                </c:pt>
                <c:pt idx="66">
                  <c:v>45326</c:v>
                </c:pt>
                <c:pt idx="67">
                  <c:v>45325</c:v>
                </c:pt>
                <c:pt idx="68">
                  <c:v>45324</c:v>
                </c:pt>
                <c:pt idx="69">
                  <c:v>45323</c:v>
                </c:pt>
                <c:pt idx="70">
                  <c:v>45322</c:v>
                </c:pt>
                <c:pt idx="71">
                  <c:v>45321</c:v>
                </c:pt>
                <c:pt idx="72">
                  <c:v>45320</c:v>
                </c:pt>
                <c:pt idx="73">
                  <c:v>45319</c:v>
                </c:pt>
                <c:pt idx="74">
                  <c:v>45318</c:v>
                </c:pt>
                <c:pt idx="75">
                  <c:v>45317</c:v>
                </c:pt>
                <c:pt idx="76">
                  <c:v>45316</c:v>
                </c:pt>
                <c:pt idx="77">
                  <c:v>45315</c:v>
                </c:pt>
                <c:pt idx="78">
                  <c:v>45314</c:v>
                </c:pt>
                <c:pt idx="79">
                  <c:v>45313</c:v>
                </c:pt>
                <c:pt idx="80">
                  <c:v>45312</c:v>
                </c:pt>
                <c:pt idx="81">
                  <c:v>45311</c:v>
                </c:pt>
                <c:pt idx="82">
                  <c:v>45310</c:v>
                </c:pt>
                <c:pt idx="83">
                  <c:v>45309</c:v>
                </c:pt>
                <c:pt idx="84">
                  <c:v>45308</c:v>
                </c:pt>
                <c:pt idx="85">
                  <c:v>45307</c:v>
                </c:pt>
                <c:pt idx="86">
                  <c:v>45306</c:v>
                </c:pt>
                <c:pt idx="87">
                  <c:v>45305</c:v>
                </c:pt>
                <c:pt idx="88">
                  <c:v>45304</c:v>
                </c:pt>
                <c:pt idx="89">
                  <c:v>45303</c:v>
                </c:pt>
                <c:pt idx="90">
                  <c:v>45302</c:v>
                </c:pt>
                <c:pt idx="91">
                  <c:v>45301</c:v>
                </c:pt>
                <c:pt idx="92">
                  <c:v>45300</c:v>
                </c:pt>
                <c:pt idx="93">
                  <c:v>45299</c:v>
                </c:pt>
                <c:pt idx="94">
                  <c:v>45298</c:v>
                </c:pt>
                <c:pt idx="95">
                  <c:v>45297</c:v>
                </c:pt>
                <c:pt idx="96">
                  <c:v>45296</c:v>
                </c:pt>
                <c:pt idx="97">
                  <c:v>45295</c:v>
                </c:pt>
                <c:pt idx="98">
                  <c:v>45294</c:v>
                </c:pt>
                <c:pt idx="99">
                  <c:v>45293</c:v>
                </c:pt>
                <c:pt idx="100">
                  <c:v>45292</c:v>
                </c:pt>
                <c:pt idx="101">
                  <c:v>45291</c:v>
                </c:pt>
                <c:pt idx="102">
                  <c:v>45290</c:v>
                </c:pt>
                <c:pt idx="103">
                  <c:v>45289</c:v>
                </c:pt>
                <c:pt idx="104">
                  <c:v>45288</c:v>
                </c:pt>
                <c:pt idx="105">
                  <c:v>45287</c:v>
                </c:pt>
                <c:pt idx="106">
                  <c:v>45286</c:v>
                </c:pt>
                <c:pt idx="107">
                  <c:v>45285</c:v>
                </c:pt>
                <c:pt idx="108">
                  <c:v>45284</c:v>
                </c:pt>
                <c:pt idx="109">
                  <c:v>45283</c:v>
                </c:pt>
                <c:pt idx="110">
                  <c:v>45282</c:v>
                </c:pt>
                <c:pt idx="111">
                  <c:v>45281</c:v>
                </c:pt>
                <c:pt idx="112">
                  <c:v>45280</c:v>
                </c:pt>
                <c:pt idx="113">
                  <c:v>45279</c:v>
                </c:pt>
                <c:pt idx="114">
                  <c:v>45278</c:v>
                </c:pt>
                <c:pt idx="115">
                  <c:v>45277</c:v>
                </c:pt>
                <c:pt idx="116">
                  <c:v>45276</c:v>
                </c:pt>
                <c:pt idx="117">
                  <c:v>45275</c:v>
                </c:pt>
                <c:pt idx="118">
                  <c:v>45274</c:v>
                </c:pt>
                <c:pt idx="119">
                  <c:v>45273</c:v>
                </c:pt>
                <c:pt idx="120">
                  <c:v>45272</c:v>
                </c:pt>
                <c:pt idx="121">
                  <c:v>45271</c:v>
                </c:pt>
                <c:pt idx="122">
                  <c:v>45270</c:v>
                </c:pt>
                <c:pt idx="123">
                  <c:v>45269</c:v>
                </c:pt>
                <c:pt idx="124">
                  <c:v>45268</c:v>
                </c:pt>
                <c:pt idx="125">
                  <c:v>45267</c:v>
                </c:pt>
                <c:pt idx="126">
                  <c:v>45266</c:v>
                </c:pt>
                <c:pt idx="127">
                  <c:v>45265</c:v>
                </c:pt>
                <c:pt idx="128">
                  <c:v>45264</c:v>
                </c:pt>
                <c:pt idx="129">
                  <c:v>45263</c:v>
                </c:pt>
                <c:pt idx="130">
                  <c:v>45262</c:v>
                </c:pt>
                <c:pt idx="131">
                  <c:v>45261</c:v>
                </c:pt>
                <c:pt idx="132">
                  <c:v>45260</c:v>
                </c:pt>
                <c:pt idx="133">
                  <c:v>45259</c:v>
                </c:pt>
                <c:pt idx="134">
                  <c:v>45258</c:v>
                </c:pt>
                <c:pt idx="135">
                  <c:v>45257</c:v>
                </c:pt>
                <c:pt idx="136">
                  <c:v>45256</c:v>
                </c:pt>
                <c:pt idx="137">
                  <c:v>45255</c:v>
                </c:pt>
                <c:pt idx="138">
                  <c:v>45254</c:v>
                </c:pt>
                <c:pt idx="139">
                  <c:v>45253</c:v>
                </c:pt>
                <c:pt idx="140">
                  <c:v>45252</c:v>
                </c:pt>
                <c:pt idx="141">
                  <c:v>45251</c:v>
                </c:pt>
                <c:pt idx="142">
                  <c:v>45250</c:v>
                </c:pt>
                <c:pt idx="143">
                  <c:v>45249</c:v>
                </c:pt>
                <c:pt idx="144">
                  <c:v>45248</c:v>
                </c:pt>
                <c:pt idx="145">
                  <c:v>45247</c:v>
                </c:pt>
                <c:pt idx="146">
                  <c:v>45246</c:v>
                </c:pt>
                <c:pt idx="147">
                  <c:v>45245</c:v>
                </c:pt>
                <c:pt idx="148">
                  <c:v>45244</c:v>
                </c:pt>
                <c:pt idx="149">
                  <c:v>45243</c:v>
                </c:pt>
                <c:pt idx="150">
                  <c:v>45242</c:v>
                </c:pt>
                <c:pt idx="151">
                  <c:v>45241</c:v>
                </c:pt>
                <c:pt idx="152">
                  <c:v>45240</c:v>
                </c:pt>
                <c:pt idx="153">
                  <c:v>45239</c:v>
                </c:pt>
                <c:pt idx="154">
                  <c:v>45238</c:v>
                </c:pt>
                <c:pt idx="155">
                  <c:v>45237</c:v>
                </c:pt>
                <c:pt idx="156">
                  <c:v>45236</c:v>
                </c:pt>
                <c:pt idx="157">
                  <c:v>45235</c:v>
                </c:pt>
                <c:pt idx="158">
                  <c:v>45234</c:v>
                </c:pt>
                <c:pt idx="159">
                  <c:v>45233</c:v>
                </c:pt>
                <c:pt idx="160">
                  <c:v>45232</c:v>
                </c:pt>
                <c:pt idx="161">
                  <c:v>45231</c:v>
                </c:pt>
                <c:pt idx="162">
                  <c:v>45230</c:v>
                </c:pt>
                <c:pt idx="163">
                  <c:v>45229</c:v>
                </c:pt>
                <c:pt idx="164">
                  <c:v>45228</c:v>
                </c:pt>
                <c:pt idx="165">
                  <c:v>45227</c:v>
                </c:pt>
                <c:pt idx="166">
                  <c:v>45226</c:v>
                </c:pt>
                <c:pt idx="167">
                  <c:v>45225</c:v>
                </c:pt>
                <c:pt idx="168">
                  <c:v>45224</c:v>
                </c:pt>
                <c:pt idx="169">
                  <c:v>45223</c:v>
                </c:pt>
                <c:pt idx="170">
                  <c:v>45222</c:v>
                </c:pt>
                <c:pt idx="171">
                  <c:v>45221</c:v>
                </c:pt>
                <c:pt idx="172">
                  <c:v>45220</c:v>
                </c:pt>
                <c:pt idx="173">
                  <c:v>45219</c:v>
                </c:pt>
                <c:pt idx="174">
                  <c:v>45218</c:v>
                </c:pt>
                <c:pt idx="175">
                  <c:v>45217</c:v>
                </c:pt>
                <c:pt idx="176">
                  <c:v>45216</c:v>
                </c:pt>
                <c:pt idx="177">
                  <c:v>45215</c:v>
                </c:pt>
                <c:pt idx="178">
                  <c:v>45214</c:v>
                </c:pt>
                <c:pt idx="179">
                  <c:v>45213</c:v>
                </c:pt>
                <c:pt idx="180">
                  <c:v>45212</c:v>
                </c:pt>
                <c:pt idx="181">
                  <c:v>45211</c:v>
                </c:pt>
                <c:pt idx="182">
                  <c:v>45210</c:v>
                </c:pt>
                <c:pt idx="183">
                  <c:v>45209</c:v>
                </c:pt>
                <c:pt idx="184">
                  <c:v>45208</c:v>
                </c:pt>
                <c:pt idx="185">
                  <c:v>45207</c:v>
                </c:pt>
                <c:pt idx="186">
                  <c:v>45206</c:v>
                </c:pt>
                <c:pt idx="187">
                  <c:v>45205</c:v>
                </c:pt>
                <c:pt idx="188">
                  <c:v>45204</c:v>
                </c:pt>
                <c:pt idx="189">
                  <c:v>45203</c:v>
                </c:pt>
                <c:pt idx="190">
                  <c:v>45202</c:v>
                </c:pt>
                <c:pt idx="191">
                  <c:v>45201</c:v>
                </c:pt>
                <c:pt idx="192">
                  <c:v>45200</c:v>
                </c:pt>
                <c:pt idx="193">
                  <c:v>45199</c:v>
                </c:pt>
                <c:pt idx="194">
                  <c:v>45198</c:v>
                </c:pt>
                <c:pt idx="195">
                  <c:v>45197</c:v>
                </c:pt>
                <c:pt idx="196">
                  <c:v>45196</c:v>
                </c:pt>
                <c:pt idx="197">
                  <c:v>45195</c:v>
                </c:pt>
                <c:pt idx="198">
                  <c:v>45194</c:v>
                </c:pt>
                <c:pt idx="199">
                  <c:v>45193</c:v>
                </c:pt>
                <c:pt idx="200">
                  <c:v>45192</c:v>
                </c:pt>
                <c:pt idx="201">
                  <c:v>45191</c:v>
                </c:pt>
                <c:pt idx="202">
                  <c:v>45190</c:v>
                </c:pt>
                <c:pt idx="203">
                  <c:v>45189</c:v>
                </c:pt>
                <c:pt idx="204">
                  <c:v>45188</c:v>
                </c:pt>
                <c:pt idx="205">
                  <c:v>45187</c:v>
                </c:pt>
                <c:pt idx="206">
                  <c:v>45186</c:v>
                </c:pt>
                <c:pt idx="207">
                  <c:v>45185</c:v>
                </c:pt>
                <c:pt idx="208">
                  <c:v>45184</c:v>
                </c:pt>
                <c:pt idx="209">
                  <c:v>45183</c:v>
                </c:pt>
                <c:pt idx="210">
                  <c:v>45182</c:v>
                </c:pt>
                <c:pt idx="211">
                  <c:v>45181</c:v>
                </c:pt>
                <c:pt idx="212">
                  <c:v>45180</c:v>
                </c:pt>
                <c:pt idx="213">
                  <c:v>45179</c:v>
                </c:pt>
                <c:pt idx="214">
                  <c:v>45178</c:v>
                </c:pt>
                <c:pt idx="215">
                  <c:v>45177</c:v>
                </c:pt>
                <c:pt idx="216">
                  <c:v>45176</c:v>
                </c:pt>
                <c:pt idx="217">
                  <c:v>45175</c:v>
                </c:pt>
                <c:pt idx="218">
                  <c:v>45174</c:v>
                </c:pt>
                <c:pt idx="219">
                  <c:v>45173</c:v>
                </c:pt>
                <c:pt idx="220">
                  <c:v>45172</c:v>
                </c:pt>
                <c:pt idx="221">
                  <c:v>45171</c:v>
                </c:pt>
                <c:pt idx="222">
                  <c:v>45170</c:v>
                </c:pt>
                <c:pt idx="223">
                  <c:v>45169</c:v>
                </c:pt>
                <c:pt idx="224">
                  <c:v>45168</c:v>
                </c:pt>
                <c:pt idx="225">
                  <c:v>45167</c:v>
                </c:pt>
                <c:pt idx="226">
                  <c:v>45166</c:v>
                </c:pt>
                <c:pt idx="227">
                  <c:v>45165</c:v>
                </c:pt>
                <c:pt idx="228">
                  <c:v>45164</c:v>
                </c:pt>
                <c:pt idx="229">
                  <c:v>45163</c:v>
                </c:pt>
                <c:pt idx="230">
                  <c:v>45162</c:v>
                </c:pt>
                <c:pt idx="231">
                  <c:v>45161</c:v>
                </c:pt>
                <c:pt idx="232">
                  <c:v>45160</c:v>
                </c:pt>
                <c:pt idx="233">
                  <c:v>45159</c:v>
                </c:pt>
                <c:pt idx="234">
                  <c:v>45158</c:v>
                </c:pt>
                <c:pt idx="235">
                  <c:v>45157</c:v>
                </c:pt>
                <c:pt idx="236">
                  <c:v>45156</c:v>
                </c:pt>
                <c:pt idx="237">
                  <c:v>45155</c:v>
                </c:pt>
                <c:pt idx="238">
                  <c:v>45154</c:v>
                </c:pt>
                <c:pt idx="239">
                  <c:v>45153</c:v>
                </c:pt>
                <c:pt idx="240">
                  <c:v>45152</c:v>
                </c:pt>
                <c:pt idx="241">
                  <c:v>45151</c:v>
                </c:pt>
                <c:pt idx="242">
                  <c:v>45150</c:v>
                </c:pt>
                <c:pt idx="243">
                  <c:v>45149</c:v>
                </c:pt>
                <c:pt idx="244">
                  <c:v>45148</c:v>
                </c:pt>
                <c:pt idx="245">
                  <c:v>45147</c:v>
                </c:pt>
                <c:pt idx="246">
                  <c:v>45146</c:v>
                </c:pt>
                <c:pt idx="247">
                  <c:v>45145</c:v>
                </c:pt>
                <c:pt idx="248">
                  <c:v>45144</c:v>
                </c:pt>
                <c:pt idx="249">
                  <c:v>45143</c:v>
                </c:pt>
                <c:pt idx="250">
                  <c:v>45142</c:v>
                </c:pt>
                <c:pt idx="251">
                  <c:v>45141</c:v>
                </c:pt>
                <c:pt idx="252">
                  <c:v>45140</c:v>
                </c:pt>
                <c:pt idx="253">
                  <c:v>45139</c:v>
                </c:pt>
                <c:pt idx="254">
                  <c:v>45138</c:v>
                </c:pt>
                <c:pt idx="255">
                  <c:v>45137</c:v>
                </c:pt>
                <c:pt idx="256">
                  <c:v>45136</c:v>
                </c:pt>
                <c:pt idx="257">
                  <c:v>45135</c:v>
                </c:pt>
                <c:pt idx="258">
                  <c:v>45134</c:v>
                </c:pt>
                <c:pt idx="259">
                  <c:v>45133</c:v>
                </c:pt>
                <c:pt idx="260">
                  <c:v>45132</c:v>
                </c:pt>
                <c:pt idx="261">
                  <c:v>45131</c:v>
                </c:pt>
                <c:pt idx="262">
                  <c:v>45130</c:v>
                </c:pt>
                <c:pt idx="263">
                  <c:v>45129</c:v>
                </c:pt>
                <c:pt idx="264">
                  <c:v>45128</c:v>
                </c:pt>
                <c:pt idx="265">
                  <c:v>45127</c:v>
                </c:pt>
                <c:pt idx="266">
                  <c:v>45126</c:v>
                </c:pt>
                <c:pt idx="267">
                  <c:v>45125</c:v>
                </c:pt>
                <c:pt idx="268">
                  <c:v>45124</c:v>
                </c:pt>
                <c:pt idx="269">
                  <c:v>45123</c:v>
                </c:pt>
                <c:pt idx="270">
                  <c:v>45122</c:v>
                </c:pt>
                <c:pt idx="271">
                  <c:v>45121</c:v>
                </c:pt>
                <c:pt idx="272">
                  <c:v>45120</c:v>
                </c:pt>
                <c:pt idx="273">
                  <c:v>45119</c:v>
                </c:pt>
                <c:pt idx="274">
                  <c:v>45118</c:v>
                </c:pt>
                <c:pt idx="275">
                  <c:v>45117</c:v>
                </c:pt>
                <c:pt idx="276">
                  <c:v>45116</c:v>
                </c:pt>
                <c:pt idx="277">
                  <c:v>45115</c:v>
                </c:pt>
                <c:pt idx="278">
                  <c:v>45114</c:v>
                </c:pt>
                <c:pt idx="279">
                  <c:v>45113</c:v>
                </c:pt>
                <c:pt idx="280">
                  <c:v>45112</c:v>
                </c:pt>
                <c:pt idx="281">
                  <c:v>45111</c:v>
                </c:pt>
                <c:pt idx="282">
                  <c:v>45110</c:v>
                </c:pt>
                <c:pt idx="283">
                  <c:v>45109</c:v>
                </c:pt>
                <c:pt idx="284">
                  <c:v>45108</c:v>
                </c:pt>
                <c:pt idx="285">
                  <c:v>45107</c:v>
                </c:pt>
                <c:pt idx="286">
                  <c:v>45106</c:v>
                </c:pt>
                <c:pt idx="287">
                  <c:v>45105</c:v>
                </c:pt>
                <c:pt idx="288">
                  <c:v>45104</c:v>
                </c:pt>
                <c:pt idx="289">
                  <c:v>45103</c:v>
                </c:pt>
                <c:pt idx="290">
                  <c:v>45102</c:v>
                </c:pt>
                <c:pt idx="291">
                  <c:v>45101</c:v>
                </c:pt>
                <c:pt idx="292">
                  <c:v>45100</c:v>
                </c:pt>
                <c:pt idx="293">
                  <c:v>45099</c:v>
                </c:pt>
                <c:pt idx="294">
                  <c:v>45098</c:v>
                </c:pt>
                <c:pt idx="295">
                  <c:v>45097</c:v>
                </c:pt>
                <c:pt idx="296">
                  <c:v>45096</c:v>
                </c:pt>
                <c:pt idx="297">
                  <c:v>45095</c:v>
                </c:pt>
                <c:pt idx="298">
                  <c:v>45094</c:v>
                </c:pt>
                <c:pt idx="299">
                  <c:v>45093</c:v>
                </c:pt>
                <c:pt idx="300">
                  <c:v>45092</c:v>
                </c:pt>
                <c:pt idx="301">
                  <c:v>45091</c:v>
                </c:pt>
                <c:pt idx="302">
                  <c:v>45090</c:v>
                </c:pt>
                <c:pt idx="303">
                  <c:v>45089</c:v>
                </c:pt>
                <c:pt idx="304">
                  <c:v>45088</c:v>
                </c:pt>
                <c:pt idx="305">
                  <c:v>45087</c:v>
                </c:pt>
                <c:pt idx="306">
                  <c:v>45086</c:v>
                </c:pt>
                <c:pt idx="307">
                  <c:v>45085</c:v>
                </c:pt>
                <c:pt idx="308">
                  <c:v>45084</c:v>
                </c:pt>
                <c:pt idx="309">
                  <c:v>45083</c:v>
                </c:pt>
                <c:pt idx="310">
                  <c:v>45082</c:v>
                </c:pt>
                <c:pt idx="311">
                  <c:v>45081</c:v>
                </c:pt>
                <c:pt idx="312">
                  <c:v>45080</c:v>
                </c:pt>
                <c:pt idx="313">
                  <c:v>45079</c:v>
                </c:pt>
                <c:pt idx="314">
                  <c:v>45078</c:v>
                </c:pt>
                <c:pt idx="315">
                  <c:v>45077</c:v>
                </c:pt>
                <c:pt idx="316">
                  <c:v>45076</c:v>
                </c:pt>
                <c:pt idx="317">
                  <c:v>45075</c:v>
                </c:pt>
                <c:pt idx="318">
                  <c:v>45074</c:v>
                </c:pt>
                <c:pt idx="319">
                  <c:v>45073</c:v>
                </c:pt>
                <c:pt idx="320">
                  <c:v>45072</c:v>
                </c:pt>
                <c:pt idx="321">
                  <c:v>45071</c:v>
                </c:pt>
                <c:pt idx="322">
                  <c:v>45070</c:v>
                </c:pt>
                <c:pt idx="323">
                  <c:v>45069</c:v>
                </c:pt>
                <c:pt idx="324">
                  <c:v>45068</c:v>
                </c:pt>
                <c:pt idx="325">
                  <c:v>45067</c:v>
                </c:pt>
                <c:pt idx="326">
                  <c:v>45066</c:v>
                </c:pt>
                <c:pt idx="327">
                  <c:v>45065</c:v>
                </c:pt>
                <c:pt idx="328">
                  <c:v>45064</c:v>
                </c:pt>
                <c:pt idx="329">
                  <c:v>45063</c:v>
                </c:pt>
                <c:pt idx="330">
                  <c:v>45062</c:v>
                </c:pt>
                <c:pt idx="331">
                  <c:v>45061</c:v>
                </c:pt>
                <c:pt idx="332">
                  <c:v>45060</c:v>
                </c:pt>
                <c:pt idx="333">
                  <c:v>45059</c:v>
                </c:pt>
                <c:pt idx="334">
                  <c:v>45058</c:v>
                </c:pt>
                <c:pt idx="335">
                  <c:v>45057</c:v>
                </c:pt>
                <c:pt idx="336">
                  <c:v>45056</c:v>
                </c:pt>
                <c:pt idx="337">
                  <c:v>45055</c:v>
                </c:pt>
                <c:pt idx="338">
                  <c:v>45054</c:v>
                </c:pt>
                <c:pt idx="339">
                  <c:v>45053</c:v>
                </c:pt>
                <c:pt idx="340">
                  <c:v>45052</c:v>
                </c:pt>
                <c:pt idx="341">
                  <c:v>45051</c:v>
                </c:pt>
                <c:pt idx="342">
                  <c:v>45050</c:v>
                </c:pt>
                <c:pt idx="343">
                  <c:v>45049</c:v>
                </c:pt>
                <c:pt idx="344">
                  <c:v>45048</c:v>
                </c:pt>
                <c:pt idx="345">
                  <c:v>45047</c:v>
                </c:pt>
                <c:pt idx="346">
                  <c:v>45046</c:v>
                </c:pt>
                <c:pt idx="347">
                  <c:v>45045</c:v>
                </c:pt>
                <c:pt idx="348">
                  <c:v>45044</c:v>
                </c:pt>
                <c:pt idx="349">
                  <c:v>45043</c:v>
                </c:pt>
                <c:pt idx="350">
                  <c:v>45042</c:v>
                </c:pt>
                <c:pt idx="351">
                  <c:v>45041</c:v>
                </c:pt>
                <c:pt idx="352">
                  <c:v>45040</c:v>
                </c:pt>
                <c:pt idx="353">
                  <c:v>45039</c:v>
                </c:pt>
                <c:pt idx="354">
                  <c:v>45038</c:v>
                </c:pt>
                <c:pt idx="355">
                  <c:v>45037</c:v>
                </c:pt>
                <c:pt idx="356">
                  <c:v>45036</c:v>
                </c:pt>
                <c:pt idx="357">
                  <c:v>45035</c:v>
                </c:pt>
                <c:pt idx="358">
                  <c:v>45034</c:v>
                </c:pt>
                <c:pt idx="359">
                  <c:v>45033</c:v>
                </c:pt>
                <c:pt idx="360">
                  <c:v>45032</c:v>
                </c:pt>
                <c:pt idx="361">
                  <c:v>45031</c:v>
                </c:pt>
                <c:pt idx="362">
                  <c:v>45030</c:v>
                </c:pt>
                <c:pt idx="363">
                  <c:v>45029</c:v>
                </c:pt>
                <c:pt idx="364">
                  <c:v>45028</c:v>
                </c:pt>
                <c:pt idx="365">
                  <c:v>45027</c:v>
                </c:pt>
                <c:pt idx="366">
                  <c:v>45026</c:v>
                </c:pt>
              </c:numCache>
            </c:numRef>
          </c:cat>
          <c:val>
            <c:numRef>
              <c:f>'Value &amp; Cost Basis'!$C$2:$C$368</c:f>
              <c:numCache>
                <c:formatCode>General</c:formatCode>
                <c:ptCount val="367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10113.74</c:v>
                </c:pt>
                <c:pt idx="48">
                  <c:v>10113.74</c:v>
                </c:pt>
                <c:pt idx="49">
                  <c:v>10113.74</c:v>
                </c:pt>
                <c:pt idx="50">
                  <c:v>10113.74</c:v>
                </c:pt>
                <c:pt idx="51">
                  <c:v>10113.74</c:v>
                </c:pt>
                <c:pt idx="52">
                  <c:v>10113.74</c:v>
                </c:pt>
                <c:pt idx="53">
                  <c:v>10113.74</c:v>
                </c:pt>
                <c:pt idx="54">
                  <c:v>10113.74</c:v>
                </c:pt>
                <c:pt idx="55">
                  <c:v>10113.74</c:v>
                </c:pt>
                <c:pt idx="56">
                  <c:v>10113.74</c:v>
                </c:pt>
                <c:pt idx="57">
                  <c:v>10113.74</c:v>
                </c:pt>
                <c:pt idx="58">
                  <c:v>10113.74</c:v>
                </c:pt>
                <c:pt idx="59">
                  <c:v>10113.74</c:v>
                </c:pt>
                <c:pt idx="60">
                  <c:v>10113.74</c:v>
                </c:pt>
                <c:pt idx="61">
                  <c:v>10113.74</c:v>
                </c:pt>
                <c:pt idx="62">
                  <c:v>10113.74</c:v>
                </c:pt>
                <c:pt idx="63">
                  <c:v>10113.74</c:v>
                </c:pt>
                <c:pt idx="64">
                  <c:v>10113.74</c:v>
                </c:pt>
                <c:pt idx="65">
                  <c:v>10113</c:v>
                </c:pt>
                <c:pt idx="66">
                  <c:v>10113</c:v>
                </c:pt>
                <c:pt idx="67">
                  <c:v>10113</c:v>
                </c:pt>
                <c:pt idx="68">
                  <c:v>10113</c:v>
                </c:pt>
                <c:pt idx="69">
                  <c:v>10113</c:v>
                </c:pt>
                <c:pt idx="70">
                  <c:v>10113</c:v>
                </c:pt>
                <c:pt idx="71">
                  <c:v>10113</c:v>
                </c:pt>
                <c:pt idx="72">
                  <c:v>10107.67</c:v>
                </c:pt>
                <c:pt idx="73">
                  <c:v>10107.67</c:v>
                </c:pt>
                <c:pt idx="74">
                  <c:v>10107.67</c:v>
                </c:pt>
                <c:pt idx="75">
                  <c:v>10107.67</c:v>
                </c:pt>
                <c:pt idx="76">
                  <c:v>10107.67</c:v>
                </c:pt>
                <c:pt idx="77">
                  <c:v>10107.67</c:v>
                </c:pt>
                <c:pt idx="78">
                  <c:v>10107.67</c:v>
                </c:pt>
                <c:pt idx="79">
                  <c:v>10107.67</c:v>
                </c:pt>
                <c:pt idx="80">
                  <c:v>10107.67</c:v>
                </c:pt>
                <c:pt idx="81">
                  <c:v>10107.67</c:v>
                </c:pt>
                <c:pt idx="82">
                  <c:v>10107.67</c:v>
                </c:pt>
                <c:pt idx="83">
                  <c:v>10107.67</c:v>
                </c:pt>
                <c:pt idx="84">
                  <c:v>10107.67</c:v>
                </c:pt>
                <c:pt idx="85">
                  <c:v>10107.67</c:v>
                </c:pt>
                <c:pt idx="86">
                  <c:v>10107.67</c:v>
                </c:pt>
                <c:pt idx="87">
                  <c:v>10107.67</c:v>
                </c:pt>
                <c:pt idx="88">
                  <c:v>10107.67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10104.700000000001</c:v>
                </c:pt>
                <c:pt idx="112">
                  <c:v>10104.700000000001</c:v>
                </c:pt>
                <c:pt idx="113">
                  <c:v>10104.700000000001</c:v>
                </c:pt>
                <c:pt idx="114">
                  <c:v>10104.700000000001</c:v>
                </c:pt>
                <c:pt idx="115">
                  <c:v>10104.700000000001</c:v>
                </c:pt>
                <c:pt idx="116">
                  <c:v>10104.700000000001</c:v>
                </c:pt>
                <c:pt idx="117">
                  <c:v>10104.700000000001</c:v>
                </c:pt>
                <c:pt idx="118">
                  <c:v>10104.700000000001</c:v>
                </c:pt>
                <c:pt idx="119">
                  <c:v>10104.700000000001</c:v>
                </c:pt>
                <c:pt idx="120">
                  <c:v>10104.700000000001</c:v>
                </c:pt>
                <c:pt idx="121">
                  <c:v>10104.700000000001</c:v>
                </c:pt>
                <c:pt idx="122">
                  <c:v>10104.700000000001</c:v>
                </c:pt>
                <c:pt idx="123">
                  <c:v>10104.700000000001</c:v>
                </c:pt>
                <c:pt idx="124">
                  <c:v>10104.700000000001</c:v>
                </c:pt>
                <c:pt idx="125">
                  <c:v>10104.700000000001</c:v>
                </c:pt>
                <c:pt idx="126">
                  <c:v>10101.52</c:v>
                </c:pt>
                <c:pt idx="127">
                  <c:v>10101.52</c:v>
                </c:pt>
                <c:pt idx="128">
                  <c:v>10101.52</c:v>
                </c:pt>
                <c:pt idx="129">
                  <c:v>10101.52</c:v>
                </c:pt>
                <c:pt idx="130">
                  <c:v>10101.52</c:v>
                </c:pt>
                <c:pt idx="131">
                  <c:v>10101.52</c:v>
                </c:pt>
                <c:pt idx="132">
                  <c:v>10101.52</c:v>
                </c:pt>
                <c:pt idx="133">
                  <c:v>10101.52</c:v>
                </c:pt>
                <c:pt idx="134">
                  <c:v>10101.52</c:v>
                </c:pt>
                <c:pt idx="135">
                  <c:v>10101.52</c:v>
                </c:pt>
                <c:pt idx="136">
                  <c:v>10101.52</c:v>
                </c:pt>
                <c:pt idx="137">
                  <c:v>10101.52</c:v>
                </c:pt>
                <c:pt idx="138">
                  <c:v>10101.52</c:v>
                </c:pt>
                <c:pt idx="139">
                  <c:v>10101.52</c:v>
                </c:pt>
                <c:pt idx="140">
                  <c:v>10101.52</c:v>
                </c:pt>
                <c:pt idx="141">
                  <c:v>10101.52</c:v>
                </c:pt>
                <c:pt idx="142">
                  <c:v>10101.52</c:v>
                </c:pt>
                <c:pt idx="143">
                  <c:v>10101.52</c:v>
                </c:pt>
                <c:pt idx="144">
                  <c:v>10101.52</c:v>
                </c:pt>
                <c:pt idx="145">
                  <c:v>10100.85</c:v>
                </c:pt>
                <c:pt idx="146">
                  <c:v>10100.85</c:v>
                </c:pt>
                <c:pt idx="147">
                  <c:v>10100.85</c:v>
                </c:pt>
                <c:pt idx="148">
                  <c:v>10100.85</c:v>
                </c:pt>
                <c:pt idx="149">
                  <c:v>10097.379999999999</c:v>
                </c:pt>
                <c:pt idx="150">
                  <c:v>10097.379999999999</c:v>
                </c:pt>
                <c:pt idx="151">
                  <c:v>10097.379999999999</c:v>
                </c:pt>
                <c:pt idx="152">
                  <c:v>10097.379999999999</c:v>
                </c:pt>
                <c:pt idx="153">
                  <c:v>10097.379999999999</c:v>
                </c:pt>
                <c:pt idx="154">
                  <c:v>10097.379999999999</c:v>
                </c:pt>
                <c:pt idx="155">
                  <c:v>10097.379999999999</c:v>
                </c:pt>
                <c:pt idx="156">
                  <c:v>10097.379999999999</c:v>
                </c:pt>
                <c:pt idx="157">
                  <c:v>10097.379999999999</c:v>
                </c:pt>
                <c:pt idx="158">
                  <c:v>10097.379999999999</c:v>
                </c:pt>
                <c:pt idx="159">
                  <c:v>10097.379999999999</c:v>
                </c:pt>
                <c:pt idx="160">
                  <c:v>10097.379999999999</c:v>
                </c:pt>
                <c:pt idx="161">
                  <c:v>10097.379999999999</c:v>
                </c:pt>
                <c:pt idx="162">
                  <c:v>10097.379999999999</c:v>
                </c:pt>
                <c:pt idx="163">
                  <c:v>10097.379999999999</c:v>
                </c:pt>
                <c:pt idx="164">
                  <c:v>10097.379999999999</c:v>
                </c:pt>
                <c:pt idx="165">
                  <c:v>10097.379999999999</c:v>
                </c:pt>
                <c:pt idx="166">
                  <c:v>10097.379999999999</c:v>
                </c:pt>
                <c:pt idx="167">
                  <c:v>10097.379999999999</c:v>
                </c:pt>
                <c:pt idx="168">
                  <c:v>10096.57</c:v>
                </c:pt>
                <c:pt idx="169">
                  <c:v>10096.57</c:v>
                </c:pt>
                <c:pt idx="170">
                  <c:v>10096.57</c:v>
                </c:pt>
                <c:pt idx="171">
                  <c:v>10096.57</c:v>
                </c:pt>
                <c:pt idx="172">
                  <c:v>10096.57</c:v>
                </c:pt>
                <c:pt idx="173">
                  <c:v>10082.94</c:v>
                </c:pt>
                <c:pt idx="174">
                  <c:v>10082.94</c:v>
                </c:pt>
                <c:pt idx="175">
                  <c:v>10082.94</c:v>
                </c:pt>
                <c:pt idx="176">
                  <c:v>10082.94</c:v>
                </c:pt>
                <c:pt idx="177">
                  <c:v>10082.94</c:v>
                </c:pt>
                <c:pt idx="178">
                  <c:v>10082.94</c:v>
                </c:pt>
                <c:pt idx="179">
                  <c:v>10082.94</c:v>
                </c:pt>
                <c:pt idx="180">
                  <c:v>10082.94</c:v>
                </c:pt>
                <c:pt idx="181">
                  <c:v>10082.94</c:v>
                </c:pt>
                <c:pt idx="182">
                  <c:v>10082.94</c:v>
                </c:pt>
                <c:pt idx="183">
                  <c:v>10082.94</c:v>
                </c:pt>
                <c:pt idx="184">
                  <c:v>10082.94</c:v>
                </c:pt>
                <c:pt idx="185">
                  <c:v>10082.94</c:v>
                </c:pt>
                <c:pt idx="186">
                  <c:v>10082.94</c:v>
                </c:pt>
                <c:pt idx="187">
                  <c:v>10082.94</c:v>
                </c:pt>
                <c:pt idx="188">
                  <c:v>10082.94</c:v>
                </c:pt>
                <c:pt idx="189">
                  <c:v>10082.94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9505.5399999999991</c:v>
                </c:pt>
                <c:pt idx="247">
                  <c:v>9505.5399999999991</c:v>
                </c:pt>
                <c:pt idx="248">
                  <c:v>9505.5399999999991</c:v>
                </c:pt>
                <c:pt idx="249">
                  <c:v>9505.5399999999991</c:v>
                </c:pt>
                <c:pt idx="250">
                  <c:v>9505.5399999999991</c:v>
                </c:pt>
                <c:pt idx="251">
                  <c:v>9507.7099999999991</c:v>
                </c:pt>
                <c:pt idx="252">
                  <c:v>9505.5399999999991</c:v>
                </c:pt>
                <c:pt idx="253">
                  <c:v>9505.5399999999991</c:v>
                </c:pt>
                <c:pt idx="254">
                  <c:v>9505.5399999999991</c:v>
                </c:pt>
                <c:pt idx="255">
                  <c:v>9505.5399999999991</c:v>
                </c:pt>
                <c:pt idx="256">
                  <c:v>9505.5399999999991</c:v>
                </c:pt>
                <c:pt idx="257">
                  <c:v>9505.5399999999991</c:v>
                </c:pt>
                <c:pt idx="258">
                  <c:v>9505.5399999999991</c:v>
                </c:pt>
                <c:pt idx="259">
                  <c:v>9505.5399999999991</c:v>
                </c:pt>
                <c:pt idx="260">
                  <c:v>9505.5399999999991</c:v>
                </c:pt>
                <c:pt idx="261">
                  <c:v>8505.5399999999991</c:v>
                </c:pt>
                <c:pt idx="262">
                  <c:v>8505.5399999999991</c:v>
                </c:pt>
                <c:pt idx="263">
                  <c:v>8505.5399999999991</c:v>
                </c:pt>
                <c:pt idx="264">
                  <c:v>8505.5399999999991</c:v>
                </c:pt>
                <c:pt idx="265">
                  <c:v>8505.5399999999991</c:v>
                </c:pt>
                <c:pt idx="266">
                  <c:v>8505.5399999999991</c:v>
                </c:pt>
                <c:pt idx="267">
                  <c:v>8505.5399999999991</c:v>
                </c:pt>
                <c:pt idx="268">
                  <c:v>8876.409999999998</c:v>
                </c:pt>
                <c:pt idx="269">
                  <c:v>8876.409999999998</c:v>
                </c:pt>
                <c:pt idx="270">
                  <c:v>8876.409999999998</c:v>
                </c:pt>
                <c:pt idx="271">
                  <c:v>8876.409999999998</c:v>
                </c:pt>
                <c:pt idx="272">
                  <c:v>9003.6699999999983</c:v>
                </c:pt>
                <c:pt idx="273">
                  <c:v>9003.6699999999983</c:v>
                </c:pt>
                <c:pt idx="274">
                  <c:v>9003.6699999999983</c:v>
                </c:pt>
                <c:pt idx="275">
                  <c:v>9003.6699999999983</c:v>
                </c:pt>
                <c:pt idx="276">
                  <c:v>9003.4999999999982</c:v>
                </c:pt>
                <c:pt idx="277">
                  <c:v>9003.4999999999982</c:v>
                </c:pt>
                <c:pt idx="278">
                  <c:v>9003.4999999999982</c:v>
                </c:pt>
                <c:pt idx="279">
                  <c:v>9003.4999999999982</c:v>
                </c:pt>
                <c:pt idx="280">
                  <c:v>9003.4999999999982</c:v>
                </c:pt>
                <c:pt idx="281">
                  <c:v>9003.4999999999982</c:v>
                </c:pt>
                <c:pt idx="282">
                  <c:v>9003.4999999999982</c:v>
                </c:pt>
                <c:pt idx="283">
                  <c:v>9003.4999999999982</c:v>
                </c:pt>
                <c:pt idx="284">
                  <c:v>9003.4999999999982</c:v>
                </c:pt>
                <c:pt idx="285">
                  <c:v>9003.4999999999982</c:v>
                </c:pt>
                <c:pt idx="286">
                  <c:v>9003.4999999999982</c:v>
                </c:pt>
                <c:pt idx="287">
                  <c:v>9003.4999999999982</c:v>
                </c:pt>
                <c:pt idx="288">
                  <c:v>9003.4999999999982</c:v>
                </c:pt>
                <c:pt idx="289">
                  <c:v>9003.4999999999982</c:v>
                </c:pt>
                <c:pt idx="290">
                  <c:v>9003.4999999999982</c:v>
                </c:pt>
                <c:pt idx="291">
                  <c:v>9003.4999999999982</c:v>
                </c:pt>
                <c:pt idx="292">
                  <c:v>9003.4999999999982</c:v>
                </c:pt>
                <c:pt idx="293">
                  <c:v>9003.4999999999982</c:v>
                </c:pt>
                <c:pt idx="294">
                  <c:v>9003.4999999999982</c:v>
                </c:pt>
                <c:pt idx="295">
                  <c:v>9002.6299999999974</c:v>
                </c:pt>
                <c:pt idx="296">
                  <c:v>9129.0099999999984</c:v>
                </c:pt>
                <c:pt idx="297">
                  <c:v>9129.0099999999984</c:v>
                </c:pt>
                <c:pt idx="298">
                  <c:v>9129.0099999999984</c:v>
                </c:pt>
                <c:pt idx="299">
                  <c:v>9129.0099999999984</c:v>
                </c:pt>
                <c:pt idx="300">
                  <c:v>9129.0099999999984</c:v>
                </c:pt>
                <c:pt idx="301">
                  <c:v>9129.0099999999984</c:v>
                </c:pt>
                <c:pt idx="302">
                  <c:v>9129.0099999999984</c:v>
                </c:pt>
                <c:pt idx="303">
                  <c:v>9129.0099999999984</c:v>
                </c:pt>
                <c:pt idx="304">
                  <c:v>9129.0099999999984</c:v>
                </c:pt>
                <c:pt idx="305">
                  <c:v>9122.6999999999971</c:v>
                </c:pt>
                <c:pt idx="306">
                  <c:v>9122.6999999999971</c:v>
                </c:pt>
                <c:pt idx="307">
                  <c:v>9122.6999999999971</c:v>
                </c:pt>
                <c:pt idx="308">
                  <c:v>9122.6999999999971</c:v>
                </c:pt>
                <c:pt idx="309">
                  <c:v>9122.6999999999971</c:v>
                </c:pt>
                <c:pt idx="310">
                  <c:v>9122.6999999999971</c:v>
                </c:pt>
                <c:pt idx="311">
                  <c:v>9122.6999999999971</c:v>
                </c:pt>
                <c:pt idx="312">
                  <c:v>8123.7299999999977</c:v>
                </c:pt>
                <c:pt idx="313">
                  <c:v>8123.7299999999977</c:v>
                </c:pt>
                <c:pt idx="314">
                  <c:v>8123.7299999999977</c:v>
                </c:pt>
                <c:pt idx="315">
                  <c:v>8123.7299999999977</c:v>
                </c:pt>
                <c:pt idx="316">
                  <c:v>8123.7299999999977</c:v>
                </c:pt>
                <c:pt idx="317">
                  <c:v>8123.7299999999977</c:v>
                </c:pt>
                <c:pt idx="318">
                  <c:v>8123.7299999999977</c:v>
                </c:pt>
                <c:pt idx="319">
                  <c:v>8123.7299999999977</c:v>
                </c:pt>
                <c:pt idx="320">
                  <c:v>8123.7299999999977</c:v>
                </c:pt>
                <c:pt idx="321">
                  <c:v>8123.7299999999977</c:v>
                </c:pt>
                <c:pt idx="322">
                  <c:v>8123.7299999999977</c:v>
                </c:pt>
                <c:pt idx="323">
                  <c:v>8123.7299999999977</c:v>
                </c:pt>
                <c:pt idx="324">
                  <c:v>8123.7299999999977</c:v>
                </c:pt>
                <c:pt idx="325">
                  <c:v>8120.6299999999983</c:v>
                </c:pt>
                <c:pt idx="326">
                  <c:v>8120.6299999999983</c:v>
                </c:pt>
                <c:pt idx="327">
                  <c:v>8120.6299999999983</c:v>
                </c:pt>
                <c:pt idx="328">
                  <c:v>8120.6299999999983</c:v>
                </c:pt>
                <c:pt idx="329">
                  <c:v>8120.6299999999983</c:v>
                </c:pt>
                <c:pt idx="330">
                  <c:v>8120.6299999999983</c:v>
                </c:pt>
                <c:pt idx="331">
                  <c:v>8120.6299999999983</c:v>
                </c:pt>
                <c:pt idx="332">
                  <c:v>8120.6299999999983</c:v>
                </c:pt>
                <c:pt idx="333">
                  <c:v>8120.6299999999983</c:v>
                </c:pt>
                <c:pt idx="334">
                  <c:v>8086.0399999999981</c:v>
                </c:pt>
                <c:pt idx="335">
                  <c:v>8086.0399999999981</c:v>
                </c:pt>
                <c:pt idx="336">
                  <c:v>8086.0399999999981</c:v>
                </c:pt>
                <c:pt idx="337">
                  <c:v>8086.0399999999981</c:v>
                </c:pt>
                <c:pt idx="338">
                  <c:v>8035.0199999999986</c:v>
                </c:pt>
                <c:pt idx="339">
                  <c:v>8035.0199999999986</c:v>
                </c:pt>
                <c:pt idx="340">
                  <c:v>8035.0199999999986</c:v>
                </c:pt>
                <c:pt idx="341">
                  <c:v>8035.0199999999986</c:v>
                </c:pt>
                <c:pt idx="342">
                  <c:v>8035.0199999999986</c:v>
                </c:pt>
                <c:pt idx="343">
                  <c:v>8035.0199999999986</c:v>
                </c:pt>
                <c:pt idx="344">
                  <c:v>8035.0199999999986</c:v>
                </c:pt>
                <c:pt idx="345">
                  <c:v>8035.0199999999986</c:v>
                </c:pt>
                <c:pt idx="346">
                  <c:v>8035.0199999999986</c:v>
                </c:pt>
                <c:pt idx="347">
                  <c:v>8035.0199999999986</c:v>
                </c:pt>
                <c:pt idx="348">
                  <c:v>8035.0199999999986</c:v>
                </c:pt>
                <c:pt idx="349">
                  <c:v>8035.0199999999986</c:v>
                </c:pt>
                <c:pt idx="350">
                  <c:v>8035.0199999999986</c:v>
                </c:pt>
                <c:pt idx="351">
                  <c:v>8035.0199999999986</c:v>
                </c:pt>
                <c:pt idx="352">
                  <c:v>8035.0199999999986</c:v>
                </c:pt>
                <c:pt idx="353">
                  <c:v>8035.0199999999986</c:v>
                </c:pt>
                <c:pt idx="354">
                  <c:v>8035.0199999999986</c:v>
                </c:pt>
                <c:pt idx="355">
                  <c:v>8035.0199999999986</c:v>
                </c:pt>
                <c:pt idx="356">
                  <c:v>8035.0199999999986</c:v>
                </c:pt>
                <c:pt idx="357">
                  <c:v>8035.0199999999986</c:v>
                </c:pt>
                <c:pt idx="358">
                  <c:v>7095.3399999999983</c:v>
                </c:pt>
                <c:pt idx="359">
                  <c:v>7095.3399999999983</c:v>
                </c:pt>
                <c:pt idx="360">
                  <c:v>7095.3399999999983</c:v>
                </c:pt>
                <c:pt idx="361">
                  <c:v>7095.3399999999983</c:v>
                </c:pt>
                <c:pt idx="362">
                  <c:v>7095.3399999999983</c:v>
                </c:pt>
                <c:pt idx="363">
                  <c:v>7095.3399999999983</c:v>
                </c:pt>
                <c:pt idx="364">
                  <c:v>7095.3399999999983</c:v>
                </c:pt>
                <c:pt idx="365">
                  <c:v>7095.3399999999983</c:v>
                </c:pt>
                <c:pt idx="366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ax val="20000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7534.91681505629</c:v>
                </c:pt>
                <c:pt idx="1">
                  <c:v>8208.6180423402693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immytheriault/Library/CloudStorage/OneDrive-Personal/Investing/Crypto/Projects/Crypto.xlsm" TargetMode="External"/><Relationship Id="rId1" Type="http://schemas.openxmlformats.org/officeDocument/2006/relationships/externalLinkPath" Target="/Users/jimmytheriault/Library/CloudStorage/OneDrive-Personal/Investing/Crypto/Projects/Cryp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BAR"/>
      <sheetName val="XRP"/>
      <sheetName val="TOTAL"/>
      <sheetName val="Historical Data"/>
      <sheetName val="BLANK"/>
      <sheetName val="Tax Calc"/>
    </sheetNames>
    <sheetDataSet>
      <sheetData sheetId="0">
        <row r="9">
          <cell r="M9">
            <v>1585.1081183562578</v>
          </cell>
        </row>
        <row r="10">
          <cell r="M10">
            <v>27.41491699215559</v>
          </cell>
        </row>
        <row r="11">
          <cell r="M11">
            <v>2227.9554832169943</v>
          </cell>
        </row>
        <row r="12">
          <cell r="M12">
            <v>25.56880842933133</v>
          </cell>
        </row>
        <row r="13">
          <cell r="M13">
            <v>3.0208326464783024</v>
          </cell>
        </row>
      </sheetData>
      <sheetData sheetId="1">
        <row r="9">
          <cell r="M9">
            <v>712.55764633999979</v>
          </cell>
        </row>
        <row r="10">
          <cell r="M10">
            <v>29.167192086434326</v>
          </cell>
        </row>
        <row r="11">
          <cell r="M11">
            <v>-405.95338483417072</v>
          </cell>
        </row>
        <row r="12">
          <cell r="M12">
            <v>0</v>
          </cell>
        </row>
        <row r="13">
          <cell r="M13">
            <v>304.47663043849411</v>
          </cell>
        </row>
      </sheetData>
      <sheetData sheetId="2"/>
      <sheetData sheetId="3">
        <row r="379">
          <cell r="A379">
            <v>0.10673678</v>
          </cell>
          <cell r="B379">
            <v>45373.570486111108</v>
          </cell>
          <cell r="C379">
            <v>0.59565983</v>
          </cell>
          <cell r="D379">
            <v>45371.351446759254</v>
          </cell>
        </row>
        <row r="380">
          <cell r="A380">
            <v>0.10661093000000001</v>
          </cell>
          <cell r="B380">
            <v>45373.573541666665</v>
          </cell>
          <cell r="C380">
            <v>0.59562488000000002</v>
          </cell>
          <cell r="D380">
            <v>45371.354409722226</v>
          </cell>
        </row>
        <row r="381">
          <cell r="A381">
            <v>0.10635166</v>
          </cell>
          <cell r="B381">
            <v>45373.576921296299</v>
          </cell>
          <cell r="C381">
            <v>0.59236332000000003</v>
          </cell>
          <cell r="D381">
            <v>45371.357731481483</v>
          </cell>
        </row>
        <row r="382">
          <cell r="A382">
            <v>0.106588</v>
          </cell>
          <cell r="B382">
            <v>45373.580682870372</v>
          </cell>
          <cell r="C382">
            <v>0.59642154000000003</v>
          </cell>
          <cell r="D382">
            <v>45371.361793981479</v>
          </cell>
        </row>
        <row r="383">
          <cell r="A383">
            <v>0.10642550000000001</v>
          </cell>
          <cell r="B383">
            <v>45373.584236111106</v>
          </cell>
          <cell r="C383">
            <v>0.59724745000000001</v>
          </cell>
          <cell r="D383">
            <v>45371.364664351851</v>
          </cell>
        </row>
        <row r="384">
          <cell r="A384">
            <v>0.10640129</v>
          </cell>
          <cell r="B384">
            <v>45373.587465277778</v>
          </cell>
          <cell r="C384">
            <v>0.59526403999999999</v>
          </cell>
          <cell r="D384">
            <v>45371.368634259255</v>
          </cell>
        </row>
        <row r="385">
          <cell r="A385">
            <v>0.10631703000000001</v>
          </cell>
          <cell r="B385">
            <v>45373.591388888883</v>
          </cell>
          <cell r="C385">
            <v>0.59401691000000001</v>
          </cell>
          <cell r="D385">
            <v>45371.372037037036</v>
          </cell>
        </row>
        <row r="386">
          <cell r="A386">
            <v>0.10592743</v>
          </cell>
          <cell r="B386">
            <v>45373.594247685185</v>
          </cell>
          <cell r="C386">
            <v>0.59470071999999996</v>
          </cell>
          <cell r="D386">
            <v>45371.37568287037</v>
          </cell>
        </row>
        <row r="387">
          <cell r="A387">
            <v>0.10572737</v>
          </cell>
          <cell r="B387">
            <v>45373.597534722219</v>
          </cell>
          <cell r="C387">
            <v>0.59438970000000002</v>
          </cell>
          <cell r="D387">
            <v>45371.379351851843</v>
          </cell>
        </row>
        <row r="388">
          <cell r="A388">
            <v>0.10586014000000001</v>
          </cell>
          <cell r="B388">
            <v>45373.600960648146</v>
          </cell>
          <cell r="C388">
            <v>0.59481775000000003</v>
          </cell>
          <cell r="D388">
            <v>45371.383032407401</v>
          </cell>
        </row>
        <row r="389">
          <cell r="A389">
            <v>0.10584426</v>
          </cell>
          <cell r="B389">
            <v>45373.605023148142</v>
          </cell>
          <cell r="C389">
            <v>0.59393989999999997</v>
          </cell>
          <cell r="D389">
            <v>45371.386620370373</v>
          </cell>
        </row>
        <row r="390">
          <cell r="A390">
            <v>0.10605705</v>
          </cell>
          <cell r="B390">
            <v>45373.608784722215</v>
          </cell>
          <cell r="C390">
            <v>0.59513528999999998</v>
          </cell>
          <cell r="D390">
            <v>45371.389074074068</v>
          </cell>
        </row>
        <row r="391">
          <cell r="A391">
            <v>0.10637955</v>
          </cell>
          <cell r="B391">
            <v>45373.611979166664</v>
          </cell>
          <cell r="C391">
            <v>0.59588649000000005</v>
          </cell>
          <cell r="D391">
            <v>45371.393229166664</v>
          </cell>
        </row>
        <row r="392">
          <cell r="A392">
            <v>0.10624332</v>
          </cell>
          <cell r="B392">
            <v>45373.614722222213</v>
          </cell>
          <cell r="C392">
            <v>0.59685796999999996</v>
          </cell>
          <cell r="D392">
            <v>45371.396238425928</v>
          </cell>
        </row>
        <row r="393">
          <cell r="A393">
            <v>0.10672436</v>
          </cell>
          <cell r="B393">
            <v>45373.618888888886</v>
          </cell>
          <cell r="C393">
            <v>0.59793118999999995</v>
          </cell>
          <cell r="D393">
            <v>45371.400428240733</v>
          </cell>
        </row>
        <row r="394">
          <cell r="A394">
            <v>0.10687918</v>
          </cell>
          <cell r="B394">
            <v>45373.621990740743</v>
          </cell>
          <cell r="C394">
            <v>0.59649954000000005</v>
          </cell>
          <cell r="D394">
            <v>45371.403321759259</v>
          </cell>
        </row>
        <row r="395">
          <cell r="A395">
            <v>0.10660172</v>
          </cell>
          <cell r="B395">
            <v>45373.625821759262</v>
          </cell>
          <cell r="C395">
            <v>0.59564497000000005</v>
          </cell>
          <cell r="D395">
            <v>45371.407442129632</v>
          </cell>
        </row>
        <row r="396">
          <cell r="A396">
            <v>0.10613079</v>
          </cell>
          <cell r="B396">
            <v>45373.629490740735</v>
          </cell>
          <cell r="C396">
            <v>0.59566662000000004</v>
          </cell>
          <cell r="D396">
            <v>45371.411099537036</v>
          </cell>
        </row>
        <row r="397">
          <cell r="A397">
            <v>0.10584002000000001</v>
          </cell>
          <cell r="B397">
            <v>45373.632511574069</v>
          </cell>
          <cell r="C397">
            <v>0.59635190999999999</v>
          </cell>
          <cell r="D397">
            <v>45371.413576388884</v>
          </cell>
        </row>
        <row r="398">
          <cell r="A398">
            <v>0.10578646</v>
          </cell>
          <cell r="B398">
            <v>45373.635578703703</v>
          </cell>
          <cell r="C398">
            <v>0.59679623999999998</v>
          </cell>
          <cell r="D398">
            <v>45371.416990740741</v>
          </cell>
        </row>
        <row r="399">
          <cell r="A399">
            <v>0.10584445000000001</v>
          </cell>
          <cell r="B399">
            <v>45373.639328703699</v>
          </cell>
          <cell r="C399">
            <v>0.59626769000000002</v>
          </cell>
          <cell r="D399">
            <v>45371.420752314814</v>
          </cell>
        </row>
        <row r="400">
          <cell r="A400">
            <v>0.10582274999999999</v>
          </cell>
          <cell r="B400">
            <v>45373.642812500002</v>
          </cell>
          <cell r="C400">
            <v>0.59488483000000003</v>
          </cell>
          <cell r="D400">
            <v>45371.423900462956</v>
          </cell>
        </row>
        <row r="401">
          <cell r="A401">
            <v>0.10563388</v>
          </cell>
          <cell r="B401">
            <v>45373.646064814813</v>
          </cell>
          <cell r="C401">
            <v>0.59541089999999997</v>
          </cell>
          <cell r="D401">
            <v>45371.427418981482</v>
          </cell>
        </row>
        <row r="402">
          <cell r="A402">
            <v>0.10574210000000001</v>
          </cell>
          <cell r="B402">
            <v>45373.649733796294</v>
          </cell>
          <cell r="C402">
            <v>0.59274315</v>
          </cell>
          <cell r="D402">
            <v>45371.431469907409</v>
          </cell>
        </row>
        <row r="403">
          <cell r="A403">
            <v>0.1057377</v>
          </cell>
          <cell r="B403">
            <v>45373.653171296297</v>
          </cell>
          <cell r="C403">
            <v>0.59238670999999998</v>
          </cell>
          <cell r="D403">
            <v>45371.434513888882</v>
          </cell>
        </row>
        <row r="404">
          <cell r="A404">
            <v>0.10565139</v>
          </cell>
          <cell r="B404">
            <v>45373.656759259255</v>
          </cell>
          <cell r="C404">
            <v>0.59234556000000005</v>
          </cell>
          <cell r="D404">
            <v>45371.437719907401</v>
          </cell>
        </row>
        <row r="405">
          <cell r="A405">
            <v>0.10549202000000001</v>
          </cell>
          <cell r="B405">
            <v>45373.660474537035</v>
          </cell>
          <cell r="C405">
            <v>0.58915295000000001</v>
          </cell>
          <cell r="D405">
            <v>45371.440960648142</v>
          </cell>
        </row>
        <row r="406">
          <cell r="A406">
            <v>0.10563896</v>
          </cell>
          <cell r="B406">
            <v>45373.663819444446</v>
          </cell>
          <cell r="C406">
            <v>0.58968036999999995</v>
          </cell>
          <cell r="D406">
            <v>45371.444571759253</v>
          </cell>
        </row>
        <row r="407">
          <cell r="A407">
            <v>0.10554094</v>
          </cell>
          <cell r="B407">
            <v>45373.666724537034</v>
          </cell>
          <cell r="C407">
            <v>0.58827282000000003</v>
          </cell>
          <cell r="D407">
            <v>45371.447974537034</v>
          </cell>
        </row>
        <row r="408">
          <cell r="A408">
            <v>0.10534105000000001</v>
          </cell>
          <cell r="B408">
            <v>45373.670856481483</v>
          </cell>
          <cell r="C408">
            <v>0.58723298999999995</v>
          </cell>
          <cell r="D408">
            <v>45371.451921296299</v>
          </cell>
        </row>
        <row r="409">
          <cell r="A409">
            <v>0.10542194000000001</v>
          </cell>
          <cell r="B409">
            <v>45373.673749999994</v>
          </cell>
          <cell r="C409">
            <v>0.58741158000000004</v>
          </cell>
          <cell r="D409">
            <v>45371.45516203704</v>
          </cell>
        </row>
        <row r="410">
          <cell r="A410">
            <v>0.10546850000000001</v>
          </cell>
          <cell r="B410">
            <v>45373.677268518521</v>
          </cell>
          <cell r="C410">
            <v>0.58666876999999995</v>
          </cell>
          <cell r="D410">
            <v>45371.458958333329</v>
          </cell>
        </row>
        <row r="411">
          <cell r="A411">
            <v>0.1052235</v>
          </cell>
          <cell r="B411">
            <v>45373.681678240733</v>
          </cell>
          <cell r="C411">
            <v>0.58552285000000004</v>
          </cell>
          <cell r="D411">
            <v>45371.462384259255</v>
          </cell>
        </row>
        <row r="412">
          <cell r="A412">
            <v>0.10513996</v>
          </cell>
          <cell r="B412">
            <v>45373.684201388889</v>
          </cell>
          <cell r="C412">
            <v>0.58742645999999998</v>
          </cell>
          <cell r="D412">
            <v>45371.465358796289</v>
          </cell>
        </row>
        <row r="413">
          <cell r="A413">
            <v>0.10531936</v>
          </cell>
          <cell r="B413">
            <v>45373.6874537037</v>
          </cell>
          <cell r="C413">
            <v>0.58696537000000004</v>
          </cell>
          <cell r="D413">
            <v>45371.469444444439</v>
          </cell>
        </row>
        <row r="414">
          <cell r="A414">
            <v>0.10479384999999999</v>
          </cell>
          <cell r="B414">
            <v>45373.691099537034</v>
          </cell>
          <cell r="C414">
            <v>0.58519628999999995</v>
          </cell>
          <cell r="D414">
            <v>45371.472962962966</v>
          </cell>
        </row>
        <row r="415">
          <cell r="A415">
            <v>0.10438148</v>
          </cell>
          <cell r="B415">
            <v>45373.695243055547</v>
          </cell>
          <cell r="C415">
            <v>0.58454901999999997</v>
          </cell>
          <cell r="D415">
            <v>45371.476006944438</v>
          </cell>
        </row>
        <row r="416">
          <cell r="A416">
            <v>0.10459833</v>
          </cell>
          <cell r="B416">
            <v>45373.698402777773</v>
          </cell>
          <cell r="C416">
            <v>0.57545411999999996</v>
          </cell>
          <cell r="D416">
            <v>45371.480312499996</v>
          </cell>
        </row>
        <row r="417">
          <cell r="A417">
            <v>0.10499438</v>
          </cell>
          <cell r="B417">
            <v>45373.701909722215</v>
          </cell>
          <cell r="C417">
            <v>0.56998981000000004</v>
          </cell>
          <cell r="D417">
            <v>45371.483356481483</v>
          </cell>
        </row>
        <row r="418">
          <cell r="A418">
            <v>0.10528295</v>
          </cell>
          <cell r="B418">
            <v>45373.705601851849</v>
          </cell>
          <cell r="C418">
            <v>0.57596583999999995</v>
          </cell>
          <cell r="D418">
            <v>45371.487615740734</v>
          </cell>
        </row>
        <row r="419">
          <cell r="A419">
            <v>0.10529655</v>
          </cell>
          <cell r="B419">
            <v>45373.709293981483</v>
          </cell>
          <cell r="C419">
            <v>0.57666311000000003</v>
          </cell>
          <cell r="D419">
            <v>45371.490011574067</v>
          </cell>
        </row>
        <row r="420">
          <cell r="A420">
            <v>0.10534791</v>
          </cell>
          <cell r="B420">
            <v>45373.712962962956</v>
          </cell>
          <cell r="C420">
            <v>0.57629050999999998</v>
          </cell>
          <cell r="D420">
            <v>45371.494212962956</v>
          </cell>
        </row>
        <row r="421">
          <cell r="A421">
            <v>0.10495953</v>
          </cell>
          <cell r="B421">
            <v>45373.716087962959</v>
          </cell>
          <cell r="C421">
            <v>0.57694975000000004</v>
          </cell>
          <cell r="D421">
            <v>45371.496724537035</v>
          </cell>
        </row>
        <row r="422">
          <cell r="A422">
            <v>0.10504872</v>
          </cell>
          <cell r="B422">
            <v>45373.719224537032</v>
          </cell>
          <cell r="C422">
            <v>0.57735051999999998</v>
          </cell>
          <cell r="D422">
            <v>45371.500335648147</v>
          </cell>
        </row>
        <row r="423">
          <cell r="A423">
            <v>0.10449959</v>
          </cell>
          <cell r="B423">
            <v>45373.722962962966</v>
          </cell>
          <cell r="C423">
            <v>0.57626155000000001</v>
          </cell>
          <cell r="D423">
            <v>45371.504270833328</v>
          </cell>
        </row>
        <row r="424">
          <cell r="A424">
            <v>0.10442179</v>
          </cell>
          <cell r="B424">
            <v>45373.726423611115</v>
          </cell>
          <cell r="C424">
            <v>0.57920722999999996</v>
          </cell>
          <cell r="D424">
            <v>45371.507685185185</v>
          </cell>
        </row>
        <row r="425">
          <cell r="A425">
            <v>0.10498348</v>
          </cell>
          <cell r="B425">
            <v>45373.729444444441</v>
          </cell>
          <cell r="C425">
            <v>0.57931246000000003</v>
          </cell>
          <cell r="D425">
            <v>45371.51153935185</v>
          </cell>
        </row>
        <row r="426">
          <cell r="A426">
            <v>0.10525571</v>
          </cell>
          <cell r="B426">
            <v>45373.733449074069</v>
          </cell>
          <cell r="C426">
            <v>0.58694097000000001</v>
          </cell>
          <cell r="D426">
            <v>45371.514444444438</v>
          </cell>
        </row>
        <row r="427">
          <cell r="A427">
            <v>0.10534143999999999</v>
          </cell>
          <cell r="B427">
            <v>45373.736817129626</v>
          </cell>
          <cell r="C427">
            <v>0.58605487000000001</v>
          </cell>
          <cell r="D427">
            <v>45371.517916666664</v>
          </cell>
        </row>
        <row r="428">
          <cell r="A428">
            <v>0.10529831000000001</v>
          </cell>
          <cell r="B428">
            <v>45373.740578703706</v>
          </cell>
          <cell r="C428">
            <v>0.58391702000000001</v>
          </cell>
          <cell r="D428">
            <v>45371.52104166666</v>
          </cell>
        </row>
        <row r="429">
          <cell r="A429">
            <v>0.10555560999999999</v>
          </cell>
          <cell r="B429">
            <v>45373.743437499994</v>
          </cell>
          <cell r="C429">
            <v>0.58491543999999995</v>
          </cell>
          <cell r="D429">
            <v>45371.52539351851</v>
          </cell>
        </row>
        <row r="430">
          <cell r="A430">
            <v>0.10514966000000001</v>
          </cell>
          <cell r="B430">
            <v>45373.746747685182</v>
          </cell>
          <cell r="C430">
            <v>0.58332346999999996</v>
          </cell>
          <cell r="D430">
            <v>45371.52775462962</v>
          </cell>
        </row>
        <row r="431">
          <cell r="A431">
            <v>0.10538140999999999</v>
          </cell>
          <cell r="B431">
            <v>45373.750057870369</v>
          </cell>
          <cell r="C431">
            <v>0.58475378</v>
          </cell>
          <cell r="D431">
            <v>45371.531331018516</v>
          </cell>
        </row>
        <row r="432">
          <cell r="A432">
            <v>0.10551823</v>
          </cell>
          <cell r="B432">
            <v>45373.753611111104</v>
          </cell>
          <cell r="C432">
            <v>0.58220616000000003</v>
          </cell>
          <cell r="D432">
            <v>45371.535624999997</v>
          </cell>
        </row>
        <row r="433">
          <cell r="A433">
            <v>0.10559333</v>
          </cell>
          <cell r="B433">
            <v>45373.757453703707</v>
          </cell>
          <cell r="C433">
            <v>0.58258984000000003</v>
          </cell>
          <cell r="D433">
            <v>45371.53875</v>
          </cell>
        </row>
        <row r="434">
          <cell r="A434">
            <v>0.1058127</v>
          </cell>
          <cell r="B434">
            <v>45373.760520833333</v>
          </cell>
          <cell r="C434">
            <v>0.58532211999999995</v>
          </cell>
          <cell r="D434">
            <v>45371.542719907404</v>
          </cell>
        </row>
        <row r="435">
          <cell r="A435">
            <v>0.10577803</v>
          </cell>
          <cell r="B435">
            <v>45373.764108796291</v>
          </cell>
          <cell r="C435">
            <v>0.58760952</v>
          </cell>
          <cell r="D435">
            <v>45371.545983796292</v>
          </cell>
        </row>
        <row r="436">
          <cell r="A436">
            <v>0.1060342</v>
          </cell>
          <cell r="B436">
            <v>45373.767337962963</v>
          </cell>
          <cell r="C436">
            <v>0.58895772000000002</v>
          </cell>
          <cell r="D436">
            <v>45371.548680555548</v>
          </cell>
        </row>
        <row r="437">
          <cell r="A437">
            <v>0.10594706</v>
          </cell>
          <cell r="B437">
            <v>45373.770891203698</v>
          </cell>
          <cell r="C437">
            <v>0.59055493000000003</v>
          </cell>
          <cell r="D437">
            <v>45371.553252314807</v>
          </cell>
        </row>
        <row r="438">
          <cell r="A438">
            <v>0.10588888</v>
          </cell>
          <cell r="B438">
            <v>45373.774328703708</v>
          </cell>
          <cell r="C438">
            <v>0.58725671999999995</v>
          </cell>
          <cell r="D438">
            <v>45371.555995370371</v>
          </cell>
        </row>
        <row r="439">
          <cell r="A439">
            <v>0.10596691</v>
          </cell>
          <cell r="B439">
            <v>45373.777685185189</v>
          </cell>
          <cell r="C439">
            <v>0.58668408000000005</v>
          </cell>
          <cell r="D439">
            <v>45371.560034722213</v>
          </cell>
        </row>
        <row r="440">
          <cell r="A440">
            <v>0.10602977</v>
          </cell>
          <cell r="B440">
            <v>45373.781747685185</v>
          </cell>
          <cell r="C440">
            <v>0.58861805</v>
          </cell>
          <cell r="D440">
            <v>45371.562986111108</v>
          </cell>
        </row>
        <row r="441">
          <cell r="A441">
            <v>0.10593681000000001</v>
          </cell>
          <cell r="B441">
            <v>45373.785486111105</v>
          </cell>
          <cell r="C441">
            <v>0.58746257999999996</v>
          </cell>
          <cell r="D441">
            <v>45371.566365740735</v>
          </cell>
        </row>
        <row r="442">
          <cell r="A442">
            <v>0.10615126</v>
          </cell>
          <cell r="B442">
            <v>45373.788715277777</v>
          </cell>
          <cell r="C442">
            <v>0.59083065000000001</v>
          </cell>
          <cell r="D442">
            <v>45371.569710648146</v>
          </cell>
        </row>
        <row r="443">
          <cell r="A443">
            <v>0.10639928999999999</v>
          </cell>
          <cell r="B443">
            <v>45373.791817129626</v>
          </cell>
          <cell r="C443">
            <v>0.59207465000000004</v>
          </cell>
          <cell r="D443">
            <v>45371.573668981473</v>
          </cell>
        </row>
        <row r="444">
          <cell r="A444">
            <v>0.10631308</v>
          </cell>
          <cell r="B444">
            <v>45373.795486111114</v>
          </cell>
          <cell r="C444">
            <v>0.59489285999999997</v>
          </cell>
          <cell r="D444">
            <v>45371.57672453703</v>
          </cell>
        </row>
        <row r="445">
          <cell r="A445">
            <v>0.10613541</v>
          </cell>
          <cell r="B445">
            <v>45373.798726851855</v>
          </cell>
          <cell r="C445">
            <v>0.59844260000000005</v>
          </cell>
          <cell r="D445">
            <v>45371.580532407403</v>
          </cell>
        </row>
        <row r="446">
          <cell r="A446">
            <v>0.1061647</v>
          </cell>
          <cell r="B446">
            <v>45373.802662037029</v>
          </cell>
          <cell r="C446">
            <v>0.60156887000000003</v>
          </cell>
          <cell r="D446">
            <v>45371.584305555552</v>
          </cell>
        </row>
        <row r="447">
          <cell r="A447">
            <v>0.10622629</v>
          </cell>
          <cell r="B447">
            <v>45373.805925925924</v>
          </cell>
          <cell r="C447">
            <v>0.60181826000000005</v>
          </cell>
          <cell r="D447">
            <v>45371.587037037032</v>
          </cell>
        </row>
        <row r="448">
          <cell r="A448">
            <v>0.10589788</v>
          </cell>
          <cell r="B448">
            <v>45373.809710648151</v>
          </cell>
          <cell r="C448">
            <v>0.60271668</v>
          </cell>
          <cell r="D448">
            <v>45371.590891203705</v>
          </cell>
        </row>
        <row r="449">
          <cell r="A449">
            <v>0.10598412</v>
          </cell>
          <cell r="B449">
            <v>45373.8127662037</v>
          </cell>
          <cell r="C449">
            <v>0.60407485999999999</v>
          </cell>
          <cell r="D449">
            <v>45371.594502314816</v>
          </cell>
        </row>
        <row r="450">
          <cell r="A450">
            <v>0.10594596000000001</v>
          </cell>
          <cell r="B450">
            <v>45373.815972222219</v>
          </cell>
          <cell r="C450">
            <v>0.60114308999999999</v>
          </cell>
          <cell r="D450">
            <v>45371.597442129627</v>
          </cell>
        </row>
        <row r="451">
          <cell r="A451">
            <v>0.10593785999999999</v>
          </cell>
          <cell r="B451">
            <v>45373.819467592592</v>
          </cell>
          <cell r="C451">
            <v>0.60061947000000004</v>
          </cell>
          <cell r="D451">
            <v>45371.601446759254</v>
          </cell>
        </row>
        <row r="452">
          <cell r="A452">
            <v>0.10622839000000001</v>
          </cell>
          <cell r="B452">
            <v>45373.82298611111</v>
          </cell>
          <cell r="C452">
            <v>0.60143880999999999</v>
          </cell>
          <cell r="D452">
            <v>45371.604594907411</v>
          </cell>
        </row>
        <row r="453">
          <cell r="A453">
            <v>0.1060411</v>
          </cell>
          <cell r="B453">
            <v>45373.826342592591</v>
          </cell>
          <cell r="C453">
            <v>0.60213114999999995</v>
          </cell>
          <cell r="D453">
            <v>45371.60832175926</v>
          </cell>
        </row>
        <row r="454">
          <cell r="A454">
            <v>0.10597318999999999</v>
          </cell>
          <cell r="B454">
            <v>45373.829837962963</v>
          </cell>
          <cell r="C454">
            <v>0.60241051999999995</v>
          </cell>
          <cell r="D454">
            <v>45371.611111111109</v>
          </cell>
        </row>
        <row r="455">
          <cell r="A455">
            <v>0.10592342</v>
          </cell>
          <cell r="B455">
            <v>45373.83453703703</v>
          </cell>
          <cell r="C455">
            <v>0.60463412999999999</v>
          </cell>
          <cell r="D455">
            <v>45371.61513888889</v>
          </cell>
        </row>
        <row r="456">
          <cell r="A456">
            <v>0.10636453999999999</v>
          </cell>
          <cell r="B456">
            <v>45373.837581018517</v>
          </cell>
          <cell r="C456">
            <v>0.60742426000000005</v>
          </cell>
          <cell r="D456">
            <v>45371.618912037033</v>
          </cell>
        </row>
        <row r="457">
          <cell r="A457">
            <v>0.10646559999999999</v>
          </cell>
          <cell r="B457">
            <v>45373.840995370374</v>
          </cell>
          <cell r="C457">
            <v>0.60714937000000002</v>
          </cell>
          <cell r="D457">
            <v>45371.621377314812</v>
          </cell>
        </row>
        <row r="458">
          <cell r="A458">
            <v>0.10663238</v>
          </cell>
          <cell r="B458">
            <v>45373.843819444439</v>
          </cell>
          <cell r="C458">
            <v>0.60573058999999996</v>
          </cell>
          <cell r="D458">
            <v>45371.626585648148</v>
          </cell>
        </row>
        <row r="459">
          <cell r="A459">
            <v>0.10652455</v>
          </cell>
          <cell r="B459">
            <v>45373.848217592589</v>
          </cell>
          <cell r="C459">
            <v>0.60823139999999998</v>
          </cell>
          <cell r="D459">
            <v>45371.629548611112</v>
          </cell>
        </row>
        <row r="460">
          <cell r="A460">
            <v>0.10678269</v>
          </cell>
          <cell r="B460">
            <v>45373.850717592592</v>
          </cell>
          <cell r="C460">
            <v>0.61292139000000001</v>
          </cell>
          <cell r="D460">
            <v>45371.632719907408</v>
          </cell>
        </row>
        <row r="461">
          <cell r="A461">
            <v>0.10726765000000001</v>
          </cell>
          <cell r="B461">
            <v>45373.854629629634</v>
          </cell>
          <cell r="C461">
            <v>0.61230490000000004</v>
          </cell>
          <cell r="D461">
            <v>45371.636249999996</v>
          </cell>
        </row>
        <row r="462">
          <cell r="A462">
            <v>0.10759456000000001</v>
          </cell>
          <cell r="B462">
            <v>45373.858506944445</v>
          </cell>
          <cell r="C462">
            <v>0.61223185000000002</v>
          </cell>
          <cell r="D462">
            <v>45371.639363425922</v>
          </cell>
        </row>
        <row r="463">
          <cell r="A463">
            <v>0.10778746</v>
          </cell>
          <cell r="B463">
            <v>45373.861909722218</v>
          </cell>
          <cell r="C463">
            <v>0.61224730999999999</v>
          </cell>
          <cell r="D463">
            <v>45371.642650462956</v>
          </cell>
        </row>
        <row r="464">
          <cell r="A464">
            <v>0.10788808</v>
          </cell>
          <cell r="B464">
            <v>45373.865752314807</v>
          </cell>
          <cell r="C464">
            <v>0.61516037000000001</v>
          </cell>
          <cell r="D464">
            <v>45371.645891203698</v>
          </cell>
        </row>
        <row r="465">
          <cell r="A465">
            <v>0.10818909</v>
          </cell>
          <cell r="B465">
            <v>45373.869201388887</v>
          </cell>
          <cell r="C465">
            <v>0.61794075999999998</v>
          </cell>
          <cell r="D465">
            <v>45371.649629629632</v>
          </cell>
        </row>
        <row r="466">
          <cell r="A466">
            <v>0.10806992999999999</v>
          </cell>
          <cell r="B466">
            <v>45373.87260416666</v>
          </cell>
          <cell r="C466">
            <v>0.62011959000000005</v>
          </cell>
          <cell r="D466">
            <v>45371.653495370374</v>
          </cell>
        </row>
        <row r="467">
          <cell r="A467">
            <v>0.10784953999999999</v>
          </cell>
          <cell r="B467">
            <v>45373.875601851854</v>
          </cell>
          <cell r="C467">
            <v>0.61813666</v>
          </cell>
          <cell r="D467">
            <v>45371.657164351847</v>
          </cell>
        </row>
        <row r="468">
          <cell r="A468">
            <v>0.10777050000000001</v>
          </cell>
          <cell r="B468">
            <v>45373.878564814811</v>
          </cell>
          <cell r="C468">
            <v>0.61497990999999996</v>
          </cell>
          <cell r="D468">
            <v>45371.661076388882</v>
          </cell>
        </row>
        <row r="469">
          <cell r="A469">
            <v>0.10802508</v>
          </cell>
          <cell r="B469">
            <v>45373.882557870362</v>
          </cell>
          <cell r="C469">
            <v>0.61115763999999995</v>
          </cell>
          <cell r="D469">
            <v>45371.664178240739</v>
          </cell>
        </row>
        <row r="470">
          <cell r="A470">
            <v>0.10781597</v>
          </cell>
          <cell r="B470">
            <v>45373.885879629634</v>
          </cell>
          <cell r="C470">
            <v>0.61233479000000002</v>
          </cell>
          <cell r="D470">
            <v>45371.666898148142</v>
          </cell>
        </row>
        <row r="471">
          <cell r="A471">
            <v>0.10755177</v>
          </cell>
          <cell r="B471">
            <v>45373.889467592591</v>
          </cell>
          <cell r="C471">
            <v>0.61229796000000003</v>
          </cell>
          <cell r="D471">
            <v>45371.67015046296</v>
          </cell>
        </row>
        <row r="472">
          <cell r="A472">
            <v>0.10747988999999999</v>
          </cell>
          <cell r="B472">
            <v>45373.893055555549</v>
          </cell>
          <cell r="C472">
            <v>0.61088810000000004</v>
          </cell>
          <cell r="D472">
            <v>45371.673993055556</v>
          </cell>
        </row>
        <row r="473">
          <cell r="A473">
            <v>0.10718886</v>
          </cell>
          <cell r="B473">
            <v>45373.896122685182</v>
          </cell>
          <cell r="C473">
            <v>0.61291700000000005</v>
          </cell>
          <cell r="D473">
            <v>45371.677719907406</v>
          </cell>
        </row>
        <row r="474">
          <cell r="A474">
            <v>0.10693173</v>
          </cell>
          <cell r="B474">
            <v>45373.899780092594</v>
          </cell>
          <cell r="C474">
            <v>0.61379702999999997</v>
          </cell>
          <cell r="D474">
            <v>45371.681192129625</v>
          </cell>
        </row>
        <row r="475">
          <cell r="A475">
            <v>0.10685063</v>
          </cell>
          <cell r="B475">
            <v>45373.903229166659</v>
          </cell>
          <cell r="C475">
            <v>0.61450824000000004</v>
          </cell>
          <cell r="D475">
            <v>45371.685138888883</v>
          </cell>
        </row>
        <row r="476">
          <cell r="A476">
            <v>0.10667818</v>
          </cell>
          <cell r="B476">
            <v>45373.906944444439</v>
          </cell>
          <cell r="C476">
            <v>0.61573252999999994</v>
          </cell>
          <cell r="D476">
            <v>45371.688391203708</v>
          </cell>
        </row>
        <row r="477">
          <cell r="A477">
            <v>0.10648898</v>
          </cell>
          <cell r="B477">
            <v>45373.90993055555</v>
          </cell>
          <cell r="C477">
            <v>0.61393878000000002</v>
          </cell>
          <cell r="D477">
            <v>45371.692060185182</v>
          </cell>
        </row>
        <row r="478">
          <cell r="A478">
            <v>0.10665466999999999</v>
          </cell>
          <cell r="B478">
            <v>45373.914201388885</v>
          </cell>
          <cell r="C478">
            <v>0.61352878</v>
          </cell>
          <cell r="D478">
            <v>45371.694965277777</v>
          </cell>
        </row>
        <row r="479">
          <cell r="A479">
            <v>0.10693235</v>
          </cell>
          <cell r="B479">
            <v>45373.916817129626</v>
          </cell>
          <cell r="C479">
            <v>0.61351834999999999</v>
          </cell>
          <cell r="D479">
            <v>45371.698668981473</v>
          </cell>
        </row>
        <row r="480">
          <cell r="A480">
            <v>0.10649152000000001</v>
          </cell>
          <cell r="B480">
            <v>45373.921307870369</v>
          </cell>
          <cell r="C480">
            <v>0.61240304000000001</v>
          </cell>
          <cell r="D480">
            <v>45371.701817129629</v>
          </cell>
        </row>
        <row r="481">
          <cell r="A481">
            <v>0.10658071</v>
          </cell>
          <cell r="B481">
            <v>45373.924664351849</v>
          </cell>
          <cell r="C481">
            <v>0.61406232999999999</v>
          </cell>
          <cell r="D481">
            <v>45371.706122685187</v>
          </cell>
        </row>
        <row r="482">
          <cell r="A482">
            <v>0.1066303</v>
          </cell>
          <cell r="B482">
            <v>45373.928055555552</v>
          </cell>
          <cell r="C482">
            <v>0.61361641</v>
          </cell>
          <cell r="D482">
            <v>45371.709594907406</v>
          </cell>
        </row>
        <row r="483">
          <cell r="A483">
            <v>0.10609346</v>
          </cell>
          <cell r="B483">
            <v>45373.931562499994</v>
          </cell>
          <cell r="C483">
            <v>0.61604333</v>
          </cell>
          <cell r="D483">
            <v>45371.712662037033</v>
          </cell>
        </row>
        <row r="484">
          <cell r="A484">
            <v>0.10595572</v>
          </cell>
          <cell r="B484">
            <v>45373.934212962959</v>
          </cell>
          <cell r="C484">
            <v>0.61588315999999999</v>
          </cell>
          <cell r="D484">
            <v>45371.716458333329</v>
          </cell>
        </row>
        <row r="485">
          <cell r="A485">
            <v>0.1058226</v>
          </cell>
          <cell r="B485">
            <v>45373.938344907401</v>
          </cell>
          <cell r="C485">
            <v>0.61705578999999999</v>
          </cell>
          <cell r="D485">
            <v>45371.719768518517</v>
          </cell>
        </row>
        <row r="486">
          <cell r="A486">
            <v>0.10540248000000001</v>
          </cell>
          <cell r="B486">
            <v>45373.94118055555</v>
          </cell>
          <cell r="C486">
            <v>0.61494084999999998</v>
          </cell>
          <cell r="D486">
            <v>45371.722719907404</v>
          </cell>
        </row>
        <row r="487">
          <cell r="A487">
            <v>0.10546021</v>
          </cell>
          <cell r="B487">
            <v>45373.94626157407</v>
          </cell>
          <cell r="C487">
            <v>0.61327774000000002</v>
          </cell>
          <cell r="D487">
            <v>45371.726770833331</v>
          </cell>
        </row>
        <row r="488">
          <cell r="A488">
            <v>0.10561669999999999</v>
          </cell>
          <cell r="B488">
            <v>45373.949108796289</v>
          </cell>
          <cell r="C488">
            <v>0.61367843</v>
          </cell>
          <cell r="D488">
            <v>45371.729409722226</v>
          </cell>
        </row>
        <row r="489">
          <cell r="A489">
            <v>0.1058553</v>
          </cell>
          <cell r="B489">
            <v>45373.951504629629</v>
          </cell>
          <cell r="C489">
            <v>0.61265316999999997</v>
          </cell>
          <cell r="D489">
            <v>45371.732847222222</v>
          </cell>
        </row>
        <row r="490">
          <cell r="A490">
            <v>0.10628875</v>
          </cell>
          <cell r="B490">
            <v>45373.955057870371</v>
          </cell>
          <cell r="C490">
            <v>0.61235212000000006</v>
          </cell>
          <cell r="D490">
            <v>45371.736539351848</v>
          </cell>
        </row>
        <row r="491">
          <cell r="A491">
            <v>0.10626315</v>
          </cell>
          <cell r="B491">
            <v>45373.958657407398</v>
          </cell>
          <cell r="C491">
            <v>0.61324986000000004</v>
          </cell>
          <cell r="D491">
            <v>45371.739652777782</v>
          </cell>
        </row>
        <row r="492">
          <cell r="A492">
            <v>0.10631206</v>
          </cell>
          <cell r="B492">
            <v>45373.962476851848</v>
          </cell>
          <cell r="C492">
            <v>0.61079362999999998</v>
          </cell>
          <cell r="D492">
            <v>45371.743622685179</v>
          </cell>
        </row>
        <row r="493">
          <cell r="A493">
            <v>0.10678051</v>
          </cell>
          <cell r="B493">
            <v>45373.966087962959</v>
          </cell>
          <cell r="C493">
            <v>0.61167958</v>
          </cell>
          <cell r="D493">
            <v>45371.746782407405</v>
          </cell>
        </row>
        <row r="494">
          <cell r="A494">
            <v>0.10652215</v>
          </cell>
          <cell r="B494">
            <v>45373.969039351847</v>
          </cell>
          <cell r="C494">
            <v>0.61293472000000004</v>
          </cell>
          <cell r="D494">
            <v>45371.751527777778</v>
          </cell>
        </row>
        <row r="495">
          <cell r="A495">
            <v>0.10678873999999999</v>
          </cell>
          <cell r="B495">
            <v>45373.972696759258</v>
          </cell>
          <cell r="C495">
            <v>0.61200195999999996</v>
          </cell>
          <cell r="D495">
            <v>45371.754490740735</v>
          </cell>
        </row>
        <row r="496">
          <cell r="A496">
            <v>0.10660267</v>
          </cell>
          <cell r="B496">
            <v>45373.976377314808</v>
          </cell>
          <cell r="C496">
            <v>0.61293410999999998</v>
          </cell>
          <cell r="D496">
            <v>45371.757094907407</v>
          </cell>
        </row>
        <row r="497">
          <cell r="A497">
            <v>0.10649631</v>
          </cell>
          <cell r="B497">
            <v>45373.979942129627</v>
          </cell>
          <cell r="C497">
            <v>0.61295873999999995</v>
          </cell>
          <cell r="D497">
            <v>45371.760891203703</v>
          </cell>
        </row>
        <row r="498">
          <cell r="A498">
            <v>0.10661402</v>
          </cell>
          <cell r="B498">
            <v>45373.982916666668</v>
          </cell>
          <cell r="C498">
            <v>0.61328753000000003</v>
          </cell>
          <cell r="D498">
            <v>45371.764166666668</v>
          </cell>
        </row>
        <row r="499">
          <cell r="A499">
            <v>0.10686809999999999</v>
          </cell>
          <cell r="B499">
            <v>45373.986863425926</v>
          </cell>
          <cell r="C499">
            <v>0.61158400999999996</v>
          </cell>
          <cell r="D499">
            <v>45371.767951388887</v>
          </cell>
        </row>
        <row r="500">
          <cell r="A500">
            <v>0.10684753</v>
          </cell>
          <cell r="B500">
            <v>45373.989872685182</v>
          </cell>
          <cell r="C500">
            <v>0.61282462999999998</v>
          </cell>
          <cell r="D500">
            <v>45371.771932870368</v>
          </cell>
        </row>
        <row r="501">
          <cell r="A501">
            <v>0.10655087000000001</v>
          </cell>
          <cell r="B501">
            <v>45373.993530092594</v>
          </cell>
          <cell r="C501">
            <v>0.61199658999999995</v>
          </cell>
          <cell r="D501">
            <v>45371.774942129625</v>
          </cell>
        </row>
        <row r="502">
          <cell r="A502">
            <v>0.10654031999999999</v>
          </cell>
          <cell r="B502">
            <v>45373.997210648151</v>
          </cell>
          <cell r="C502">
            <v>0.61233539999999997</v>
          </cell>
          <cell r="D502">
            <v>45371.778078703697</v>
          </cell>
        </row>
        <row r="503">
          <cell r="A503">
            <v>0.1063738</v>
          </cell>
          <cell r="B503">
            <v>45374.000300925924</v>
          </cell>
          <cell r="C503">
            <v>0.61164742999999999</v>
          </cell>
          <cell r="D503">
            <v>45371.78229166667</v>
          </cell>
        </row>
        <row r="504">
          <cell r="A504">
            <v>0.10641778</v>
          </cell>
          <cell r="B504">
            <v>45374.003599537034</v>
          </cell>
          <cell r="C504">
            <v>0.61181101999999998</v>
          </cell>
          <cell r="D504">
            <v>45371.784942129627</v>
          </cell>
        </row>
        <row r="505">
          <cell r="A505">
            <v>0.10628952</v>
          </cell>
          <cell r="B505">
            <v>45374.007476851846</v>
          </cell>
          <cell r="C505">
            <v>0.61170157999999997</v>
          </cell>
          <cell r="D505">
            <v>45371.788703703707</v>
          </cell>
        </row>
        <row r="506">
          <cell r="A506">
            <v>0.10610592000000001</v>
          </cell>
          <cell r="B506">
            <v>45374.010601851849</v>
          </cell>
          <cell r="C506">
            <v>0.61146718</v>
          </cell>
          <cell r="D506">
            <v>45371.793263888881</v>
          </cell>
        </row>
        <row r="507">
          <cell r="A507">
            <v>0.10626505999999999</v>
          </cell>
          <cell r="B507">
            <v>45374.014756944445</v>
          </cell>
          <cell r="C507">
            <v>0.61001928999999999</v>
          </cell>
          <cell r="D507">
            <v>45371.795856481483</v>
          </cell>
        </row>
        <row r="508">
          <cell r="A508">
            <v>0.10651026</v>
          </cell>
          <cell r="B508">
            <v>45374.017511574071</v>
          </cell>
          <cell r="C508">
            <v>0.60869041000000002</v>
          </cell>
          <cell r="D508">
            <v>45371.799120370364</v>
          </cell>
        </row>
        <row r="509">
          <cell r="A509">
            <v>0.10664071</v>
          </cell>
          <cell r="B509">
            <v>45374.021157407398</v>
          </cell>
          <cell r="C509">
            <v>0.60875577999999997</v>
          </cell>
          <cell r="D509">
            <v>45371.802951388883</v>
          </cell>
        </row>
        <row r="510">
          <cell r="A510">
            <v>0.10654492</v>
          </cell>
          <cell r="B510">
            <v>45374.024884259255</v>
          </cell>
          <cell r="C510">
            <v>0.60944010000000004</v>
          </cell>
          <cell r="D510">
            <v>45371.806527777771</v>
          </cell>
        </row>
        <row r="511">
          <cell r="A511">
            <v>0.10626009</v>
          </cell>
          <cell r="B511">
            <v>45374.028020833335</v>
          </cell>
          <cell r="C511">
            <v>0.60832936000000004</v>
          </cell>
          <cell r="D511">
            <v>45371.809432870366</v>
          </cell>
        </row>
        <row r="512">
          <cell r="A512">
            <v>0.10660409</v>
          </cell>
          <cell r="B512">
            <v>45374.032152777778</v>
          </cell>
          <cell r="C512">
            <v>0.60606716999999999</v>
          </cell>
          <cell r="D512">
            <v>45371.812916666669</v>
          </cell>
        </row>
        <row r="513">
          <cell r="A513">
            <v>0.10641912000000001</v>
          </cell>
          <cell r="B513">
            <v>45374.035555555551</v>
          </cell>
          <cell r="C513">
            <v>0.60661208</v>
          </cell>
          <cell r="D513">
            <v>45371.81655092592</v>
          </cell>
        </row>
        <row r="514">
          <cell r="A514">
            <v>0.10667171</v>
          </cell>
          <cell r="B514">
            <v>45374.038460648146</v>
          </cell>
          <cell r="C514">
            <v>0.60844673999999999</v>
          </cell>
          <cell r="D514">
            <v>45371.819849537038</v>
          </cell>
        </row>
        <row r="515">
          <cell r="A515">
            <v>0.10661682</v>
          </cell>
          <cell r="B515">
            <v>45374.041689814818</v>
          </cell>
          <cell r="C515">
            <v>0.61102484999999995</v>
          </cell>
          <cell r="D515">
            <v>45371.823310185187</v>
          </cell>
        </row>
        <row r="516">
          <cell r="A516">
            <v>0.10664968</v>
          </cell>
          <cell r="B516">
            <v>45374.04555555556</v>
          </cell>
          <cell r="C516">
            <v>0.60997880999999998</v>
          </cell>
          <cell r="D516">
            <v>45371.826921296299</v>
          </cell>
        </row>
        <row r="517">
          <cell r="A517">
            <v>0.10641004</v>
          </cell>
          <cell r="B517">
            <v>45374.049050925918</v>
          </cell>
          <cell r="C517">
            <v>0.60907321999999997</v>
          </cell>
          <cell r="D517">
            <v>45371.830706018511</v>
          </cell>
        </row>
        <row r="518">
          <cell r="A518">
            <v>0.10647674</v>
          </cell>
          <cell r="B518">
            <v>45374.052546296291</v>
          </cell>
          <cell r="C518">
            <v>0.60826670000000005</v>
          </cell>
          <cell r="D518">
            <v>45371.834814814814</v>
          </cell>
        </row>
        <row r="519">
          <cell r="A519">
            <v>0.10656506</v>
          </cell>
          <cell r="B519">
            <v>45374.056516203702</v>
          </cell>
          <cell r="C519">
            <v>0.60933104999999999</v>
          </cell>
          <cell r="D519">
            <v>45371.837754629632</v>
          </cell>
        </row>
        <row r="520">
          <cell r="A520">
            <v>0.10665529999999999</v>
          </cell>
          <cell r="B520">
            <v>45374.059791666667</v>
          </cell>
          <cell r="C520">
            <v>0.60872512000000001</v>
          </cell>
          <cell r="D520">
            <v>45371.840474537035</v>
          </cell>
        </row>
        <row r="521">
          <cell r="A521">
            <v>0.10686167000000001</v>
          </cell>
          <cell r="B521">
            <v>45374.062604166662</v>
          </cell>
          <cell r="C521">
            <v>0.60970911999999999</v>
          </cell>
          <cell r="D521">
            <v>45371.84407407407</v>
          </cell>
        </row>
        <row r="522">
          <cell r="A522">
            <v>0.10692071</v>
          </cell>
          <cell r="B522">
            <v>45374.066388888888</v>
          </cell>
          <cell r="C522">
            <v>0.60917920999999997</v>
          </cell>
          <cell r="D522">
            <v>45371.848854166667</v>
          </cell>
        </row>
        <row r="523">
          <cell r="A523">
            <v>0.10696595</v>
          </cell>
          <cell r="B523">
            <v>45374.07</v>
          </cell>
          <cell r="C523">
            <v>0.60861644000000004</v>
          </cell>
          <cell r="D523">
            <v>45371.851006944438</v>
          </cell>
        </row>
        <row r="524">
          <cell r="A524">
            <v>0.10711428000000001</v>
          </cell>
          <cell r="B524">
            <v>45374.073437499996</v>
          </cell>
          <cell r="C524">
            <v>0.60891059999999997</v>
          </cell>
          <cell r="D524">
            <v>45371.854525462964</v>
          </cell>
        </row>
        <row r="525">
          <cell r="A525">
            <v>0.10703979</v>
          </cell>
          <cell r="B525">
            <v>45374.076874999992</v>
          </cell>
          <cell r="C525">
            <v>0.60848451000000003</v>
          </cell>
          <cell r="D525">
            <v>45371.857731481483</v>
          </cell>
        </row>
        <row r="526">
          <cell r="A526">
            <v>0.10692243999999999</v>
          </cell>
          <cell r="B526">
            <v>45374.08043981481</v>
          </cell>
          <cell r="C526">
            <v>0.60685781000000005</v>
          </cell>
          <cell r="D526">
            <v>45371.861516203695</v>
          </cell>
        </row>
        <row r="527">
          <cell r="A527">
            <v>0.10709231</v>
          </cell>
          <cell r="B527">
            <v>45374.084317129629</v>
          </cell>
          <cell r="C527">
            <v>0.60619283999999996</v>
          </cell>
          <cell r="D527">
            <v>45371.865254629629</v>
          </cell>
        </row>
        <row r="528">
          <cell r="A528">
            <v>0.10715903</v>
          </cell>
          <cell r="B528">
            <v>45374.087187499994</v>
          </cell>
          <cell r="C528">
            <v>0.60697168999999995</v>
          </cell>
          <cell r="D528">
            <v>45371.868807870364</v>
          </cell>
        </row>
        <row r="529">
          <cell r="A529">
            <v>0.10748726</v>
          </cell>
          <cell r="B529">
            <v>45374.090682870366</v>
          </cell>
          <cell r="C529">
            <v>0.60726241000000003</v>
          </cell>
          <cell r="D529">
            <v>45371.871886574074</v>
          </cell>
        </row>
        <row r="530">
          <cell r="A530">
            <v>0.10777986000000001</v>
          </cell>
          <cell r="B530">
            <v>45374.094722222224</v>
          </cell>
          <cell r="C530">
            <v>0.60837425000000001</v>
          </cell>
          <cell r="D530">
            <v>45371.876527777778</v>
          </cell>
        </row>
        <row r="531">
          <cell r="A531">
            <v>0.10793642000000001</v>
          </cell>
          <cell r="B531">
            <v>45374.097638888888</v>
          </cell>
          <cell r="C531">
            <v>0.60901307000000005</v>
          </cell>
          <cell r="D531">
            <v>45371.878784722219</v>
          </cell>
        </row>
        <row r="532">
          <cell r="A532">
            <v>0.10811038000000001</v>
          </cell>
          <cell r="B532">
            <v>45374.100844907407</v>
          </cell>
          <cell r="C532">
            <v>0.60905492000000006</v>
          </cell>
          <cell r="D532">
            <v>45371.882384259261</v>
          </cell>
        </row>
        <row r="533">
          <cell r="A533">
            <v>0.10798636</v>
          </cell>
          <cell r="B533">
            <v>45374.104317129626</v>
          </cell>
          <cell r="C533">
            <v>0.60799221999999997</v>
          </cell>
          <cell r="D533">
            <v>45371.886180555557</v>
          </cell>
        </row>
        <row r="534">
          <cell r="A534">
            <v>0.10779582</v>
          </cell>
          <cell r="B534">
            <v>45374.10769675926</v>
          </cell>
          <cell r="C534">
            <v>0.60894358000000004</v>
          </cell>
          <cell r="D534">
            <v>45371.888912037037</v>
          </cell>
        </row>
        <row r="535">
          <cell r="A535">
            <v>0.10784133</v>
          </cell>
          <cell r="B535">
            <v>45374.111956018511</v>
          </cell>
          <cell r="C535">
            <v>0.60936586999999998</v>
          </cell>
          <cell r="D535">
            <v>45371.893206018511</v>
          </cell>
        </row>
        <row r="536">
          <cell r="A536">
            <v>0.10809151</v>
          </cell>
          <cell r="B536">
            <v>45374.114745370367</v>
          </cell>
          <cell r="C536">
            <v>0.60986167999999996</v>
          </cell>
          <cell r="D536">
            <v>45371.895729166667</v>
          </cell>
        </row>
        <row r="537">
          <cell r="A537">
            <v>0.10780310999999999</v>
          </cell>
          <cell r="B537">
            <v>45374.118761574071</v>
          </cell>
          <cell r="C537">
            <v>0.61025023</v>
          </cell>
          <cell r="D537">
            <v>45371.900138888886</v>
          </cell>
        </row>
        <row r="538">
          <cell r="A538">
            <v>0.10756923</v>
          </cell>
          <cell r="B538">
            <v>45374.122256944444</v>
          </cell>
          <cell r="C538">
            <v>0.61016822000000004</v>
          </cell>
          <cell r="D538">
            <v>45371.903344907405</v>
          </cell>
        </row>
        <row r="539">
          <cell r="A539">
            <v>0.10764783</v>
          </cell>
          <cell r="B539">
            <v>45374.125717592593</v>
          </cell>
          <cell r="C539">
            <v>0.61055598</v>
          </cell>
          <cell r="D539">
            <v>45371.906446759262</v>
          </cell>
        </row>
        <row r="540">
          <cell r="A540">
            <v>0.10783586000000001</v>
          </cell>
          <cell r="B540">
            <v>45374.128865740735</v>
          </cell>
          <cell r="C540">
            <v>0.60999939999999997</v>
          </cell>
          <cell r="D540">
            <v>45371.910578703704</v>
          </cell>
        </row>
        <row r="541">
          <cell r="A541">
            <v>0.10815408999999999</v>
          </cell>
          <cell r="B541">
            <v>45374.132268518515</v>
          </cell>
          <cell r="C541">
            <v>0.60973379000000005</v>
          </cell>
          <cell r="D541">
            <v>45371.913425925923</v>
          </cell>
        </row>
        <row r="542">
          <cell r="A542">
            <v>0.10791151</v>
          </cell>
          <cell r="B542">
            <v>45374.135879629634</v>
          </cell>
          <cell r="C542">
            <v>0.60886443999999995</v>
          </cell>
          <cell r="D542">
            <v>45371.917303240734</v>
          </cell>
        </row>
        <row r="543">
          <cell r="A543">
            <v>0.10777137000000001</v>
          </cell>
          <cell r="B543">
            <v>45374.139166666668</v>
          </cell>
          <cell r="C543">
            <v>0.61002995000000004</v>
          </cell>
          <cell r="D543">
            <v>45371.920405092591</v>
          </cell>
        </row>
        <row r="544">
          <cell r="A544">
            <v>0.10780632</v>
          </cell>
          <cell r="B544">
            <v>45374.142569444441</v>
          </cell>
          <cell r="C544">
            <v>0.61099084999999997</v>
          </cell>
          <cell r="D544">
            <v>45371.924097222225</v>
          </cell>
        </row>
        <row r="545">
          <cell r="A545">
            <v>0.10767166</v>
          </cell>
          <cell r="B545">
            <v>45374.146099537036</v>
          </cell>
          <cell r="C545">
            <v>0.61061244999999997</v>
          </cell>
          <cell r="D545">
            <v>45371.927905092591</v>
          </cell>
        </row>
        <row r="546">
          <cell r="A546">
            <v>0.10738562</v>
          </cell>
          <cell r="B546">
            <v>45374.149317129624</v>
          </cell>
          <cell r="C546">
            <v>0.61059268</v>
          </cell>
          <cell r="D546">
            <v>45371.931192129625</v>
          </cell>
        </row>
        <row r="547">
          <cell r="A547">
            <v>0.10754838999999999</v>
          </cell>
          <cell r="B547">
            <v>45374.153020833335</v>
          </cell>
          <cell r="C547">
            <v>0.61071876000000003</v>
          </cell>
          <cell r="D547">
            <v>45371.934756944444</v>
          </cell>
        </row>
        <row r="548">
          <cell r="A548">
            <v>0.1074751</v>
          </cell>
          <cell r="B548">
            <v>45374.156273148146</v>
          </cell>
          <cell r="C548">
            <v>0.61007244999999999</v>
          </cell>
          <cell r="D548">
            <v>45371.937858796293</v>
          </cell>
        </row>
        <row r="549">
          <cell r="A549">
            <v>0.10746244000000001</v>
          </cell>
          <cell r="B549">
            <v>45374.159965277773</v>
          </cell>
          <cell r="C549">
            <v>0.61029646999999998</v>
          </cell>
          <cell r="D549">
            <v>45371.94153935185</v>
          </cell>
        </row>
        <row r="550">
          <cell r="A550">
            <v>0.10730808</v>
          </cell>
          <cell r="B550">
            <v>45374.16333333333</v>
          </cell>
          <cell r="C550">
            <v>0.61317178999999999</v>
          </cell>
          <cell r="D550">
            <v>45371.945092592585</v>
          </cell>
        </row>
        <row r="551">
          <cell r="A551">
            <v>0.10758249</v>
          </cell>
          <cell r="B551">
            <v>45374.167037037034</v>
          </cell>
          <cell r="C551">
            <v>0.61094740999999997</v>
          </cell>
          <cell r="D551">
            <v>45371.948796296296</v>
          </cell>
        </row>
        <row r="552">
          <cell r="A552">
            <v>0.10741294</v>
          </cell>
          <cell r="B552">
            <v>45374.17019675926</v>
          </cell>
          <cell r="C552">
            <v>0.60858378999999996</v>
          </cell>
          <cell r="D552">
            <v>45371.952256944445</v>
          </cell>
        </row>
        <row r="553">
          <cell r="A553">
            <v>0.10729374999999999</v>
          </cell>
          <cell r="B553">
            <v>45374.173877314817</v>
          </cell>
          <cell r="C553">
            <v>0.60620558000000002</v>
          </cell>
          <cell r="D553">
            <v>45371.955752314818</v>
          </cell>
        </row>
        <row r="554">
          <cell r="A554">
            <v>0.10696889</v>
          </cell>
          <cell r="B554">
            <v>45374.177453703705</v>
          </cell>
          <cell r="C554">
            <v>0.6089852</v>
          </cell>
          <cell r="D554">
            <v>45371.958622685182</v>
          </cell>
        </row>
        <row r="555">
          <cell r="A555">
            <v>0.10701724</v>
          </cell>
          <cell r="B555">
            <v>45374.180925925924</v>
          </cell>
          <cell r="C555">
            <v>0.60761295000000004</v>
          </cell>
          <cell r="D555">
            <v>45371.962233796294</v>
          </cell>
        </row>
        <row r="556">
          <cell r="A556">
            <v>0.10723087000000001</v>
          </cell>
          <cell r="B556">
            <v>45374.18436342592</v>
          </cell>
          <cell r="C556">
            <v>0.60895493999999994</v>
          </cell>
          <cell r="D556">
            <v>45371.96634259259</v>
          </cell>
        </row>
        <row r="557">
          <cell r="A557">
            <v>0.10718247</v>
          </cell>
          <cell r="B557">
            <v>45374.187546296293</v>
          </cell>
          <cell r="C557">
            <v>0.60745742000000003</v>
          </cell>
          <cell r="D557">
            <v>45371.968981481477</v>
          </cell>
        </row>
        <row r="558">
          <cell r="A558">
            <v>0.10730873</v>
          </cell>
          <cell r="B558">
            <v>45374.191423611112</v>
          </cell>
          <cell r="C558">
            <v>0.60807849999999997</v>
          </cell>
          <cell r="D558">
            <v>45371.972893518519</v>
          </cell>
        </row>
        <row r="559">
          <cell r="A559">
            <v>0.10729054</v>
          </cell>
          <cell r="B559">
            <v>45374.194664351853</v>
          </cell>
          <cell r="C559">
            <v>0.60756770999999998</v>
          </cell>
          <cell r="D559">
            <v>45371.976319444446</v>
          </cell>
        </row>
        <row r="560">
          <cell r="A560">
            <v>0.10727515</v>
          </cell>
          <cell r="B560">
            <v>45374.198425925926</v>
          </cell>
          <cell r="C560">
            <v>0.60779271999999995</v>
          </cell>
          <cell r="D560">
            <v>45371.979189814818</v>
          </cell>
        </row>
        <row r="561">
          <cell r="A561">
            <v>0.10718886</v>
          </cell>
          <cell r="B561">
            <v>45374.201655092591</v>
          </cell>
          <cell r="C561">
            <v>0.60861113</v>
          </cell>
          <cell r="D561">
            <v>45371.982824074068</v>
          </cell>
        </row>
        <row r="562">
          <cell r="A562">
            <v>0.10727256</v>
          </cell>
          <cell r="B562">
            <v>45374.205405092587</v>
          </cell>
          <cell r="C562">
            <v>0.60596326</v>
          </cell>
          <cell r="D562">
            <v>45371.986724537033</v>
          </cell>
        </row>
        <row r="563">
          <cell r="A563">
            <v>0.10752925000000001</v>
          </cell>
          <cell r="B563">
            <v>45374.208564814813</v>
          </cell>
          <cell r="C563">
            <v>0.60573589999999999</v>
          </cell>
          <cell r="D563">
            <v>45371.990196759252</v>
          </cell>
        </row>
        <row r="564">
          <cell r="A564">
            <v>0.10773784</v>
          </cell>
          <cell r="B564">
            <v>45374.212418981479</v>
          </cell>
          <cell r="C564">
            <v>0.60627092000000005</v>
          </cell>
          <cell r="D564">
            <v>45371.993946759256</v>
          </cell>
        </row>
        <row r="565">
          <cell r="A565">
            <v>0.10769793</v>
          </cell>
          <cell r="B565">
            <v>45374.215868055551</v>
          </cell>
          <cell r="C565">
            <v>0.60663831999999995</v>
          </cell>
          <cell r="D565">
            <v>45371.996932870366</v>
          </cell>
        </row>
        <row r="566">
          <cell r="A566">
            <v>0.10768919</v>
          </cell>
          <cell r="B566">
            <v>45374.219143518516</v>
          </cell>
          <cell r="C566">
            <v>0.60642527000000002</v>
          </cell>
          <cell r="D566">
            <v>45372.000752314816</v>
          </cell>
        </row>
        <row r="567">
          <cell r="A567">
            <v>0.10785123000000001</v>
          </cell>
          <cell r="B567">
            <v>45374.222962962966</v>
          </cell>
          <cell r="C567">
            <v>0.60608689999999998</v>
          </cell>
          <cell r="D567">
            <v>45372.004155092589</v>
          </cell>
        </row>
        <row r="568">
          <cell r="A568">
            <v>0.10802359</v>
          </cell>
          <cell r="B568">
            <v>45374.226724537039</v>
          </cell>
          <cell r="C568">
            <v>0.60494638999999994</v>
          </cell>
          <cell r="D568">
            <v>45372.0075</v>
          </cell>
        </row>
        <row r="569">
          <cell r="A569">
            <v>0.1080309</v>
          </cell>
          <cell r="B569">
            <v>45374.230057870365</v>
          </cell>
          <cell r="C569">
            <v>0.60354794</v>
          </cell>
          <cell r="D569">
            <v>45372.01122685185</v>
          </cell>
        </row>
        <row r="570">
          <cell r="A570">
            <v>0.10811625</v>
          </cell>
          <cell r="B570">
            <v>45374.23333333333</v>
          </cell>
          <cell r="C570">
            <v>0.60105414999999995</v>
          </cell>
          <cell r="D570">
            <v>45372.014826388891</v>
          </cell>
        </row>
        <row r="571">
          <cell r="A571">
            <v>0.10794329</v>
          </cell>
          <cell r="B571">
            <v>45374.236701388887</v>
          </cell>
          <cell r="C571">
            <v>0.60090381999999998</v>
          </cell>
          <cell r="D571">
            <v>45372.018194444441</v>
          </cell>
        </row>
        <row r="572">
          <cell r="A572">
            <v>0.10810581</v>
          </cell>
          <cell r="B572">
            <v>45374.240277777775</v>
          </cell>
          <cell r="C572">
            <v>0.60226352999999999</v>
          </cell>
          <cell r="D572">
            <v>45372.021134259259</v>
          </cell>
        </row>
        <row r="573">
          <cell r="A573">
            <v>0.10810135999999999</v>
          </cell>
          <cell r="B573">
            <v>45374.243854166663</v>
          </cell>
          <cell r="C573">
            <v>0.60400081000000005</v>
          </cell>
          <cell r="D573">
            <v>45372.025023148148</v>
          </cell>
        </row>
        <row r="574">
          <cell r="A574">
            <v>0.10780533</v>
          </cell>
          <cell r="B574">
            <v>45374.247442129628</v>
          </cell>
          <cell r="C574">
            <v>0.60182796000000005</v>
          </cell>
          <cell r="D574">
            <v>45372.028657407405</v>
          </cell>
        </row>
        <row r="575">
          <cell r="A575">
            <v>0.10784168</v>
          </cell>
          <cell r="B575">
            <v>45374.250150462954</v>
          </cell>
          <cell r="C575">
            <v>0.60164121999999998</v>
          </cell>
          <cell r="D575">
            <v>45372.031458333331</v>
          </cell>
        </row>
        <row r="576">
          <cell r="A576">
            <v>0.10780918</v>
          </cell>
          <cell r="B576">
            <v>45374.254212962966</v>
          </cell>
          <cell r="C576">
            <v>0.60393691999999999</v>
          </cell>
          <cell r="D576">
            <v>45372.035034722219</v>
          </cell>
        </row>
        <row r="577">
          <cell r="A577">
            <v>0.10787924</v>
          </cell>
          <cell r="B577">
            <v>45374.257928240739</v>
          </cell>
          <cell r="C577">
            <v>0.60369687000000005</v>
          </cell>
          <cell r="D577">
            <v>45372.038460648146</v>
          </cell>
        </row>
        <row r="578">
          <cell r="A578">
            <v>0.10815419</v>
          </cell>
          <cell r="B578">
            <v>45374.260821759257</v>
          </cell>
          <cell r="C578">
            <v>0.60550199000000005</v>
          </cell>
          <cell r="D578">
            <v>45372.042037037034</v>
          </cell>
        </row>
        <row r="579">
          <cell r="A579">
            <v>0.10819376999999999</v>
          </cell>
          <cell r="B579">
            <v>45374.26457175926</v>
          </cell>
          <cell r="C579">
            <v>0.60724920000000004</v>
          </cell>
          <cell r="D579">
            <v>45372.045636574076</v>
          </cell>
        </row>
        <row r="580">
          <cell r="A580">
            <v>0.10806141</v>
          </cell>
          <cell r="B580">
            <v>45374.267928240741</v>
          </cell>
          <cell r="C580">
            <v>0.60808936999999996</v>
          </cell>
          <cell r="D580">
            <v>45372.049317129626</v>
          </cell>
        </row>
        <row r="581">
          <cell r="A581">
            <v>0.10806105000000001</v>
          </cell>
          <cell r="B581">
            <v>45374.271805555552</v>
          </cell>
          <cell r="C581">
            <v>0.60747355000000003</v>
          </cell>
          <cell r="D581">
            <v>45372.053032407406</v>
          </cell>
        </row>
        <row r="582">
          <cell r="A582">
            <v>0.10840196000000001</v>
          </cell>
          <cell r="B582">
            <v>45374.275219907409</v>
          </cell>
          <cell r="C582">
            <v>0.60641378000000001</v>
          </cell>
          <cell r="D582">
            <v>45372.056261574071</v>
          </cell>
        </row>
        <row r="583">
          <cell r="A583">
            <v>0.10828877000000001</v>
          </cell>
          <cell r="B583">
            <v>45374.278645833336</v>
          </cell>
          <cell r="C583">
            <v>0.60560254999999996</v>
          </cell>
          <cell r="D583">
            <v>45372.060057870367</v>
          </cell>
        </row>
        <row r="584">
          <cell r="A584">
            <v>0.10829906</v>
          </cell>
          <cell r="B584">
            <v>45374.281504629624</v>
          </cell>
          <cell r="C584">
            <v>0.60715253999999996</v>
          </cell>
          <cell r="D584">
            <v>45372.062638888885</v>
          </cell>
        </row>
        <row r="585">
          <cell r="A585">
            <v>0.10824615999999999</v>
          </cell>
          <cell r="B585">
            <v>45374.285069444442</v>
          </cell>
          <cell r="C585">
            <v>0.60634354000000001</v>
          </cell>
          <cell r="D585">
            <v>45372.066111111104</v>
          </cell>
        </row>
        <row r="586">
          <cell r="A586">
            <v>0.10822540999999999</v>
          </cell>
          <cell r="B586">
            <v>45374.288483796299</v>
          </cell>
          <cell r="C586">
            <v>0.60642613999999995</v>
          </cell>
          <cell r="D586">
            <v>45372.069861111107</v>
          </cell>
        </row>
        <row r="587">
          <cell r="A587">
            <v>0.10833115</v>
          </cell>
          <cell r="B587">
            <v>45374.291585648149</v>
          </cell>
          <cell r="C587">
            <v>0.60441920000000005</v>
          </cell>
          <cell r="D587">
            <v>45372.07336805555</v>
          </cell>
        </row>
        <row r="588">
          <cell r="A588">
            <v>0.10816347</v>
          </cell>
          <cell r="B588">
            <v>45374.29510416666</v>
          </cell>
          <cell r="C588">
            <v>0.60454750999999995</v>
          </cell>
          <cell r="D588">
            <v>45372.077013888884</v>
          </cell>
        </row>
        <row r="589">
          <cell r="A589">
            <v>0.10847438</v>
          </cell>
          <cell r="B589">
            <v>45374.298946759263</v>
          </cell>
          <cell r="C589">
            <v>0.60570334000000003</v>
          </cell>
          <cell r="D589">
            <v>45372.080578703702</v>
          </cell>
        </row>
        <row r="590">
          <cell r="A590">
            <v>0.10833698999999999</v>
          </cell>
          <cell r="B590">
            <v>45374.302719907406</v>
          </cell>
          <cell r="C590">
            <v>0.60541619999999996</v>
          </cell>
          <cell r="D590">
            <v>45372.083946759252</v>
          </cell>
        </row>
        <row r="591">
          <cell r="A591">
            <v>0.10820438</v>
          </cell>
          <cell r="B591">
            <v>45374.30609953704</v>
          </cell>
          <cell r="C591">
            <v>0.60443181999999995</v>
          </cell>
          <cell r="D591">
            <v>45372.087071759255</v>
          </cell>
        </row>
        <row r="592">
          <cell r="A592">
            <v>0.10853277</v>
          </cell>
          <cell r="B592">
            <v>45374.309398148143</v>
          </cell>
          <cell r="C592">
            <v>0.60542720000000005</v>
          </cell>
          <cell r="D592">
            <v>45372.090601851851</v>
          </cell>
        </row>
        <row r="593">
          <cell r="A593">
            <v>0.10837063</v>
          </cell>
          <cell r="B593">
            <v>45374.312407407408</v>
          </cell>
          <cell r="C593">
            <v>0.60537695000000002</v>
          </cell>
          <cell r="D593">
            <v>45372.093877314815</v>
          </cell>
        </row>
        <row r="594">
          <cell r="A594">
            <v>0.10833888</v>
          </cell>
          <cell r="B594">
            <v>45374.315891203696</v>
          </cell>
          <cell r="C594">
            <v>0.60774037000000003</v>
          </cell>
          <cell r="D594">
            <v>45372.097638888888</v>
          </cell>
        </row>
        <row r="595">
          <cell r="A595">
            <v>0.10841099</v>
          </cell>
          <cell r="B595">
            <v>45374.320208333331</v>
          </cell>
          <cell r="C595">
            <v>0.60895986999999996</v>
          </cell>
          <cell r="D595">
            <v>45372.101145833331</v>
          </cell>
        </row>
        <row r="596">
          <cell r="A596">
            <v>0.10846709</v>
          </cell>
          <cell r="B596">
            <v>45374.323692129627</v>
          </cell>
          <cell r="C596">
            <v>0.60931561999999995</v>
          </cell>
          <cell r="D596">
            <v>45372.105057870365</v>
          </cell>
        </row>
        <row r="597">
          <cell r="A597">
            <v>0.1085861</v>
          </cell>
          <cell r="B597">
            <v>45374.326840277768</v>
          </cell>
          <cell r="C597">
            <v>0.60922187999999999</v>
          </cell>
          <cell r="D597">
            <v>45372.10833333333</v>
          </cell>
        </row>
        <row r="598">
          <cell r="A598">
            <v>0.10863965</v>
          </cell>
          <cell r="B598">
            <v>45374.331018518518</v>
          </cell>
          <cell r="C598">
            <v>0.60866556999999999</v>
          </cell>
          <cell r="D598">
            <v>45372.111851851849</v>
          </cell>
        </row>
        <row r="599">
          <cell r="A599">
            <v>0.10845019</v>
          </cell>
          <cell r="B599">
            <v>45374.334074074075</v>
          </cell>
          <cell r="C599">
            <v>0.60783598000000005</v>
          </cell>
          <cell r="D599">
            <v>45372.114745370367</v>
          </cell>
        </row>
        <row r="600">
          <cell r="A600">
            <v>0.10821586</v>
          </cell>
          <cell r="B600">
            <v>45374.336944444447</v>
          </cell>
          <cell r="C600">
            <v>0.60561195999999995</v>
          </cell>
          <cell r="D600">
            <v>45372.118668981479</v>
          </cell>
        </row>
        <row r="601">
          <cell r="A601">
            <v>0.10828019</v>
          </cell>
          <cell r="B601">
            <v>45374.340601851851</v>
          </cell>
          <cell r="C601">
            <v>0.60509502999999998</v>
          </cell>
          <cell r="D601">
            <v>45372.121712962959</v>
          </cell>
        </row>
        <row r="602">
          <cell r="A602">
            <v>0.10857435</v>
          </cell>
          <cell r="B602">
            <v>45374.343726851854</v>
          </cell>
          <cell r="C602">
            <v>0.60534637000000002</v>
          </cell>
          <cell r="D602">
            <v>45372.125590277778</v>
          </cell>
        </row>
        <row r="603">
          <cell r="A603">
            <v>0.10833138</v>
          </cell>
          <cell r="B603">
            <v>45374.347696759258</v>
          </cell>
          <cell r="C603">
            <v>0.60530775000000003</v>
          </cell>
          <cell r="D603">
            <v>45372.128668981481</v>
          </cell>
        </row>
        <row r="604">
          <cell r="A604">
            <v>0.10833288000000001</v>
          </cell>
          <cell r="B604">
            <v>45374.351226851846</v>
          </cell>
          <cell r="C604">
            <v>0.60847459000000004</v>
          </cell>
          <cell r="D604">
            <v>45372.132638888892</v>
          </cell>
        </row>
        <row r="605">
          <cell r="A605">
            <v>0.10829459</v>
          </cell>
          <cell r="B605">
            <v>45374.354305555556</v>
          </cell>
          <cell r="C605">
            <v>0.60764494999999996</v>
          </cell>
          <cell r="D605">
            <v>45372.13586805555</v>
          </cell>
        </row>
        <row r="606">
          <cell r="A606">
            <v>0.10816104999999999</v>
          </cell>
          <cell r="B606">
            <v>45374.358217592591</v>
          </cell>
          <cell r="C606">
            <v>0.60829029000000001</v>
          </cell>
          <cell r="D606">
            <v>45372.139282407406</v>
          </cell>
        </row>
        <row r="607">
          <cell r="A607">
            <v>0.10821745000000001</v>
          </cell>
          <cell r="B607">
            <v>45374.361944444441</v>
          </cell>
          <cell r="C607">
            <v>0.60878980000000005</v>
          </cell>
          <cell r="D607">
            <v>45372.142685185179</v>
          </cell>
        </row>
        <row r="608">
          <cell r="A608">
            <v>0.10810019</v>
          </cell>
          <cell r="B608">
            <v>45374.365300925921</v>
          </cell>
          <cell r="C608">
            <v>0.60729162000000003</v>
          </cell>
          <cell r="D608">
            <v>45372.145879629628</v>
          </cell>
        </row>
        <row r="609">
          <cell r="A609">
            <v>0.10838083</v>
          </cell>
          <cell r="B609">
            <v>45374.368784722225</v>
          </cell>
          <cell r="C609">
            <v>0.60636411999999995</v>
          </cell>
          <cell r="D609">
            <v>45372.149733796294</v>
          </cell>
        </row>
        <row r="610">
          <cell r="A610">
            <v>0.10865768000000001</v>
          </cell>
          <cell r="B610">
            <v>45374.37232638889</v>
          </cell>
          <cell r="C610">
            <v>0.60759792000000001</v>
          </cell>
          <cell r="D610">
            <v>45372.153761574074</v>
          </cell>
        </row>
        <row r="611">
          <cell r="A611">
            <v>0.10870285</v>
          </cell>
          <cell r="B611">
            <v>45374.375069444439</v>
          </cell>
          <cell r="C611">
            <v>0.60796320000000004</v>
          </cell>
          <cell r="D611">
            <v>45372.1565162037</v>
          </cell>
        </row>
        <row r="612">
          <cell r="A612">
            <v>0.10858613</v>
          </cell>
          <cell r="B612">
            <v>45374.378634259258</v>
          </cell>
          <cell r="C612">
            <v>0.60797027000000003</v>
          </cell>
          <cell r="D612">
            <v>45372.160277777781</v>
          </cell>
        </row>
        <row r="613">
          <cell r="A613">
            <v>0.10865729</v>
          </cell>
          <cell r="B613">
            <v>45374.382824074077</v>
          </cell>
          <cell r="C613">
            <v>0.60993821000000004</v>
          </cell>
          <cell r="D613">
            <v>45372.1633912037</v>
          </cell>
        </row>
        <row r="614">
          <cell r="A614">
            <v>0.10854962</v>
          </cell>
          <cell r="B614">
            <v>45374.386574074073</v>
          </cell>
          <cell r="C614">
            <v>0.60830569999999995</v>
          </cell>
          <cell r="D614">
            <v>45372.167280092595</v>
          </cell>
        </row>
        <row r="615">
          <cell r="A615">
            <v>0.10872197</v>
          </cell>
          <cell r="B615">
            <v>45374.389803240738</v>
          </cell>
          <cell r="C615">
            <v>0.60871523999999999</v>
          </cell>
          <cell r="D615">
            <v>45372.170277777775</v>
          </cell>
        </row>
        <row r="616">
          <cell r="A616">
            <v>0.10871783</v>
          </cell>
          <cell r="B616">
            <v>45374.393043981479</v>
          </cell>
          <cell r="C616">
            <v>0.60784483</v>
          </cell>
          <cell r="D616">
            <v>45372.174282407403</v>
          </cell>
        </row>
        <row r="617">
          <cell r="A617">
            <v>0.10910936</v>
          </cell>
          <cell r="B617">
            <v>45374.396504629629</v>
          </cell>
          <cell r="C617">
            <v>0.60860407000000005</v>
          </cell>
          <cell r="D617">
            <v>45372.177708333329</v>
          </cell>
        </row>
        <row r="618">
          <cell r="A618">
            <v>0.10962977</v>
          </cell>
          <cell r="B618">
            <v>45374.400081018517</v>
          </cell>
          <cell r="C618">
            <v>0.60878980000000005</v>
          </cell>
          <cell r="D618">
            <v>45372.180868055548</v>
          </cell>
        </row>
        <row r="619">
          <cell r="A619">
            <v>0.10947461999999999</v>
          </cell>
          <cell r="B619">
            <v>45374.40385416666</v>
          </cell>
          <cell r="C619">
            <v>0.60987095999999996</v>
          </cell>
          <cell r="D619">
            <v>45372.185150462967</v>
          </cell>
        </row>
        <row r="620">
          <cell r="A620">
            <v>0.1094286</v>
          </cell>
          <cell r="B620">
            <v>45374.406851851854</v>
          </cell>
          <cell r="C620">
            <v>0.60919997999999997</v>
          </cell>
          <cell r="D620">
            <v>45372.187627314815</v>
          </cell>
        </row>
        <row r="621">
          <cell r="A621">
            <v>0.1096384</v>
          </cell>
          <cell r="B621">
            <v>45374.410451388881</v>
          </cell>
          <cell r="C621">
            <v>0.60911833999999998</v>
          </cell>
          <cell r="D621">
            <v>45372.191446759258</v>
          </cell>
        </row>
        <row r="622">
          <cell r="A622">
            <v>0.10980527</v>
          </cell>
          <cell r="B622">
            <v>45374.414062499993</v>
          </cell>
          <cell r="C622">
            <v>0.60804817</v>
          </cell>
          <cell r="D622">
            <v>45372.1955787037</v>
          </cell>
        </row>
        <row r="623">
          <cell r="A623">
            <v>0.10969545999999999</v>
          </cell>
          <cell r="B623">
            <v>45374.41711805555</v>
          </cell>
          <cell r="C623">
            <v>0.60674256000000004</v>
          </cell>
          <cell r="D623">
            <v>45372.198414351849</v>
          </cell>
        </row>
        <row r="624">
          <cell r="A624">
            <v>0.10953837</v>
          </cell>
          <cell r="B624">
            <v>45374.4212037037</v>
          </cell>
          <cell r="C624">
            <v>0.60798507999999996</v>
          </cell>
          <cell r="D624">
            <v>45372.201851851853</v>
          </cell>
        </row>
        <row r="625">
          <cell r="A625">
            <v>0.10973488000000001</v>
          </cell>
          <cell r="B625">
            <v>45374.423865740733</v>
          </cell>
          <cell r="C625">
            <v>0.60871730000000002</v>
          </cell>
          <cell r="D625">
            <v>45372.205405092587</v>
          </cell>
        </row>
        <row r="626">
          <cell r="A626">
            <v>0.10931027</v>
          </cell>
          <cell r="B626">
            <v>45374.42728009259</v>
          </cell>
          <cell r="C626">
            <v>0.61182840999999999</v>
          </cell>
          <cell r="D626">
            <v>45372.209409722222</v>
          </cell>
        </row>
        <row r="627">
          <cell r="A627">
            <v>0.10895148</v>
          </cell>
          <cell r="B627">
            <v>45374.431168981479</v>
          </cell>
          <cell r="C627">
            <v>0.61686750000000001</v>
          </cell>
          <cell r="D627">
            <v>45372.212118055548</v>
          </cell>
        </row>
        <row r="628">
          <cell r="A628">
            <v>0.10878772</v>
          </cell>
          <cell r="B628">
            <v>45374.434143518512</v>
          </cell>
          <cell r="C628">
            <v>0.61919645000000001</v>
          </cell>
          <cell r="D628">
            <v>45372.216168981475</v>
          </cell>
        </row>
        <row r="629">
          <cell r="A629">
            <v>0.10886194</v>
          </cell>
          <cell r="B629">
            <v>45374.437627314815</v>
          </cell>
          <cell r="C629">
            <v>0.61965239000000005</v>
          </cell>
          <cell r="D629">
            <v>45372.218877314815</v>
          </cell>
        </row>
        <row r="630">
          <cell r="A630">
            <v>0.10908239</v>
          </cell>
          <cell r="B630">
            <v>45374.441435185181</v>
          </cell>
          <cell r="C630">
            <v>0.61800394999999997</v>
          </cell>
          <cell r="D630">
            <v>45372.223020833328</v>
          </cell>
        </row>
        <row r="631">
          <cell r="A631">
            <v>0.10895729</v>
          </cell>
          <cell r="B631">
            <v>45374.44498842593</v>
          </cell>
          <cell r="C631">
            <v>0.61933883000000001</v>
          </cell>
          <cell r="D631">
            <v>45372.226481481477</v>
          </cell>
        </row>
        <row r="632">
          <cell r="A632">
            <v>0.10882728999999999</v>
          </cell>
          <cell r="B632">
            <v>45374.447951388887</v>
          </cell>
          <cell r="C632">
            <v>0.61931122999999999</v>
          </cell>
          <cell r="D632">
            <v>45372.23033564815</v>
          </cell>
        </row>
        <row r="633">
          <cell r="A633">
            <v>0.10893451</v>
          </cell>
          <cell r="B633">
            <v>45374.452245370368</v>
          </cell>
          <cell r="C633">
            <v>0.61909013000000002</v>
          </cell>
          <cell r="D633">
            <v>45372.233541666668</v>
          </cell>
        </row>
        <row r="634">
          <cell r="A634">
            <v>0.10916471</v>
          </cell>
          <cell r="B634">
            <v>45374.455358796295</v>
          </cell>
          <cell r="C634">
            <v>0.62042852000000004</v>
          </cell>
          <cell r="D634">
            <v>45372.237303240741</v>
          </cell>
        </row>
        <row r="635">
          <cell r="A635">
            <v>0.10921525</v>
          </cell>
          <cell r="B635">
            <v>45374.459062499998</v>
          </cell>
          <cell r="C635">
            <v>0.62135178999999996</v>
          </cell>
          <cell r="D635">
            <v>45372.240428240737</v>
          </cell>
        </row>
        <row r="636">
          <cell r="A636">
            <v>0.10892147000000001</v>
          </cell>
          <cell r="B636">
            <v>45374.462557870364</v>
          </cell>
          <cell r="C636">
            <v>0.62057848000000004</v>
          </cell>
          <cell r="D636">
            <v>45372.244293981479</v>
          </cell>
        </row>
        <row r="637">
          <cell r="A637">
            <v>0.10875801</v>
          </cell>
          <cell r="B637">
            <v>45374.466192129628</v>
          </cell>
          <cell r="C637">
            <v>0.62042090000000005</v>
          </cell>
          <cell r="D637">
            <v>45372.246828703697</v>
          </cell>
        </row>
        <row r="638">
          <cell r="A638">
            <v>0.10911379</v>
          </cell>
          <cell r="B638">
            <v>45374.468981481477</v>
          </cell>
          <cell r="C638">
            <v>0.61915407</v>
          </cell>
          <cell r="D638">
            <v>45372.250590277778</v>
          </cell>
        </row>
        <row r="639">
          <cell r="A639">
            <v>0.1089392</v>
          </cell>
          <cell r="B639">
            <v>45374.472638888888</v>
          </cell>
          <cell r="C639">
            <v>0.61860143999999995</v>
          </cell>
          <cell r="D639">
            <v>45372.253946759258</v>
          </cell>
        </row>
        <row r="640">
          <cell r="A640">
            <v>0.10898698</v>
          </cell>
          <cell r="B640">
            <v>45374.476064814815</v>
          </cell>
          <cell r="C640">
            <v>0.61808284999999996</v>
          </cell>
          <cell r="D640">
            <v>45372.256909722222</v>
          </cell>
        </row>
        <row r="641">
          <cell r="A641">
            <v>0.10909734</v>
          </cell>
          <cell r="B641">
            <v>45374.479224537034</v>
          </cell>
          <cell r="C641">
            <v>0.61924869000000005</v>
          </cell>
          <cell r="D641">
            <v>45372.260798611103</v>
          </cell>
        </row>
        <row r="642">
          <cell r="A642">
            <v>0.10947291000000001</v>
          </cell>
          <cell r="B642">
            <v>45374.4837037037</v>
          </cell>
          <cell r="C642">
            <v>0.61839202000000004</v>
          </cell>
          <cell r="D642">
            <v>45372.264293981476</v>
          </cell>
        </row>
        <row r="643">
          <cell r="A643">
            <v>0.10940527</v>
          </cell>
          <cell r="B643">
            <v>45374.48704861111</v>
          </cell>
          <cell r="C643">
            <v>0.61654472999999999</v>
          </cell>
          <cell r="D643">
            <v>45372.267893518518</v>
          </cell>
        </row>
        <row r="644">
          <cell r="A644">
            <v>0.10966639</v>
          </cell>
          <cell r="B644">
            <v>45374.490590277775</v>
          </cell>
          <cell r="C644">
            <v>0.61546827999999998</v>
          </cell>
          <cell r="D644">
            <v>45372.270868055559</v>
          </cell>
        </row>
        <row r="645">
          <cell r="A645">
            <v>0.10952580000000001</v>
          </cell>
          <cell r="B645">
            <v>45374.493437499994</v>
          </cell>
          <cell r="C645">
            <v>0.61583167000000005</v>
          </cell>
          <cell r="D645">
            <v>45372.274560185186</v>
          </cell>
        </row>
        <row r="646">
          <cell r="A646">
            <v>0.10920033</v>
          </cell>
          <cell r="B646">
            <v>45374.496886574074</v>
          </cell>
          <cell r="C646">
            <v>0.61715240000000005</v>
          </cell>
          <cell r="D646">
            <v>45372.278310185182</v>
          </cell>
        </row>
        <row r="647">
          <cell r="A647">
            <v>0.10923109</v>
          </cell>
          <cell r="B647">
            <v>45374.500219907401</v>
          </cell>
          <cell r="C647">
            <v>0.61808339999999995</v>
          </cell>
          <cell r="D647">
            <v>45372.282013888886</v>
          </cell>
        </row>
        <row r="648">
          <cell r="A648">
            <v>0.10910116</v>
          </cell>
          <cell r="B648">
            <v>45374.504120370366</v>
          </cell>
          <cell r="C648">
            <v>0.61818530999999999</v>
          </cell>
          <cell r="D648">
            <v>45372.28502314815</v>
          </cell>
        </row>
        <row r="649">
          <cell r="A649">
            <v>0.10885736</v>
          </cell>
          <cell r="B649">
            <v>45374.507523148146</v>
          </cell>
          <cell r="C649">
            <v>0.61808921999999999</v>
          </cell>
          <cell r="D649">
            <v>45372.28873842593</v>
          </cell>
        </row>
        <row r="650">
          <cell r="A650">
            <v>0.10883331</v>
          </cell>
          <cell r="B650">
            <v>45374.510972222219</v>
          </cell>
          <cell r="C650">
            <v>0.61805326999999999</v>
          </cell>
          <cell r="D650">
            <v>45372.291886574072</v>
          </cell>
        </row>
        <row r="651">
          <cell r="A651">
            <v>0.10854598999999999</v>
          </cell>
          <cell r="B651">
            <v>45374.513958333329</v>
          </cell>
          <cell r="C651">
            <v>0.61856140999999998</v>
          </cell>
          <cell r="D651">
            <v>45372.295277777775</v>
          </cell>
        </row>
        <row r="652">
          <cell r="A652">
            <v>0.10863198</v>
          </cell>
          <cell r="B652">
            <v>45374.517592592594</v>
          </cell>
          <cell r="C652">
            <v>0.61808510999999999</v>
          </cell>
          <cell r="D652">
            <v>45372.298900462956</v>
          </cell>
        </row>
        <row r="653">
          <cell r="A653">
            <v>0.10865074</v>
          </cell>
          <cell r="B653">
            <v>45374.521099537036</v>
          </cell>
          <cell r="C653">
            <v>0.61818516000000001</v>
          </cell>
          <cell r="D653">
            <v>45372.30296296296</v>
          </cell>
        </row>
        <row r="654">
          <cell r="A654">
            <v>0.10901722</v>
          </cell>
          <cell r="B654">
            <v>45374.524918981479</v>
          </cell>
          <cell r="C654">
            <v>0.61857892999999997</v>
          </cell>
          <cell r="D654">
            <v>45372.307025462964</v>
          </cell>
        </row>
        <row r="655">
          <cell r="A655">
            <v>0.1089561</v>
          </cell>
          <cell r="B655">
            <v>45374.528865740744</v>
          </cell>
          <cell r="C655">
            <v>0.61813359000000001</v>
          </cell>
          <cell r="D655">
            <v>45372.309374999997</v>
          </cell>
        </row>
        <row r="656">
          <cell r="A656">
            <v>0.10868367</v>
          </cell>
          <cell r="B656">
            <v>45374.531446759262</v>
          </cell>
          <cell r="C656">
            <v>0.61864481999999998</v>
          </cell>
          <cell r="D656">
            <v>45372.31346064814</v>
          </cell>
        </row>
        <row r="657">
          <cell r="A657">
            <v>0.10894131</v>
          </cell>
          <cell r="B657">
            <v>45374.534872685181</v>
          </cell>
          <cell r="C657">
            <v>0.61692144000000004</v>
          </cell>
          <cell r="D657">
            <v>45372.316782407412</v>
          </cell>
        </row>
        <row r="658">
          <cell r="A658">
            <v>0.10883063</v>
          </cell>
          <cell r="B658">
            <v>45374.538715277777</v>
          </cell>
          <cell r="C658">
            <v>0.61666016999999995</v>
          </cell>
          <cell r="D658">
            <v>45372.319652777776</v>
          </cell>
        </row>
        <row r="659">
          <cell r="A659">
            <v>0.10883313</v>
          </cell>
          <cell r="B659">
            <v>45374.543043981481</v>
          </cell>
          <cell r="C659">
            <v>0.61698392000000002</v>
          </cell>
          <cell r="D659">
            <v>45372.323136574072</v>
          </cell>
        </row>
        <row r="660">
          <cell r="A660">
            <v>0.10881283999999999</v>
          </cell>
          <cell r="B660">
            <v>45374.54583333333</v>
          </cell>
          <cell r="C660">
            <v>0.61578453</v>
          </cell>
          <cell r="D660">
            <v>45372.327280092592</v>
          </cell>
        </row>
        <row r="661">
          <cell r="A661">
            <v>0.10889375</v>
          </cell>
          <cell r="B661">
            <v>45374.548900462956</v>
          </cell>
          <cell r="C661">
            <v>0.61644359999999998</v>
          </cell>
          <cell r="D661">
            <v>45372.330717592595</v>
          </cell>
        </row>
        <row r="662">
          <cell r="A662">
            <v>0.10881633</v>
          </cell>
          <cell r="B662">
            <v>45374.552858796298</v>
          </cell>
          <cell r="C662">
            <v>0.61602975999999998</v>
          </cell>
          <cell r="D662">
            <v>45372.333912037029</v>
          </cell>
        </row>
        <row r="663">
          <cell r="A663">
            <v>0.10879144</v>
          </cell>
          <cell r="B663">
            <v>45374.555879629632</v>
          </cell>
          <cell r="C663">
            <v>0.61677568000000005</v>
          </cell>
          <cell r="D663">
            <v>45372.336956018517</v>
          </cell>
        </row>
        <row r="664">
          <cell r="A664">
            <v>0.1088474</v>
          </cell>
          <cell r="B664">
            <v>45374.559259259251</v>
          </cell>
          <cell r="C664">
            <v>0.61793980000000004</v>
          </cell>
          <cell r="D664">
            <v>45372.340891203705</v>
          </cell>
        </row>
        <row r="665">
          <cell r="A665">
            <v>0.10884284</v>
          </cell>
          <cell r="B665">
            <v>45374.562754629624</v>
          </cell>
          <cell r="C665">
            <v>0.61873730000000005</v>
          </cell>
          <cell r="D665">
            <v>45372.344571759262</v>
          </cell>
        </row>
        <row r="666">
          <cell r="A666">
            <v>0.10879032</v>
          </cell>
          <cell r="B666">
            <v>45374.566342592596</v>
          </cell>
          <cell r="C666">
            <v>0.61786065999999995</v>
          </cell>
          <cell r="D666">
            <v>45372.347314814811</v>
          </cell>
        </row>
        <row r="667">
          <cell r="A667">
            <v>0.10879306</v>
          </cell>
          <cell r="B667">
            <v>45374.567395833328</v>
          </cell>
          <cell r="C667">
            <v>0.61778595000000003</v>
          </cell>
          <cell r="D667">
            <v>45372.348483796297</v>
          </cell>
        </row>
      </sheetData>
      <sheetData sheetId="4"/>
      <sheetData sheetId="5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43D54F5-CCCC-0142-9EC3-6DFE7B4ADFE8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Portfolio Value" tableColumnId="2"/>
      <queryTableField id="3" name="Cost Basi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13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34" tableType="queryTable" totalsRowShown="0">
  <autoFilter ref="A1:D1134" xr:uid="{2B141AC4-AD9A-EC4D-A1EF-775064B6D606}"/>
  <tableColumns count="4">
    <tableColumn id="1" xr3:uid="{3AA8E93A-539C-934F-88E3-D64F6C91523A}" uniqueName="1" name="Date" queryTableFieldId="1" dataDxfId="11"/>
    <tableColumn id="2" xr3:uid="{9B3EB5A6-C9BB-024B-AA85-582F8A6457D7}" uniqueName="2" name="Symbol" queryTableFieldId="2" dataDxfId="12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C368" tableType="queryTable" totalsRowShown="0">
  <autoFilter ref="A1:C368" xr:uid="{3076DD81-C4A9-034A-AD95-964EF8FB0A99}"/>
  <tableColumns count="3">
    <tableColumn id="1" xr3:uid="{55842D81-11D8-704F-9FA7-42C6664BE34D}" uniqueName="1" name="Date" queryTableFieldId="1" dataDxfId="10"/>
    <tableColumn id="2" xr3:uid="{1067D134-0319-A64D-A0AC-8D8B39A13AE7}" uniqueName="2" name="Portfolio Value" queryTableFieldId="2"/>
    <tableColumn id="3" xr3:uid="{FD303C98-9ED4-3142-83F1-9ECEA6206CFB}" uniqueName="3" name="Cost Basis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2"/>
  <sheetViews>
    <sheetView zoomScale="89" zoomScaleNormal="125" workbookViewId="0">
      <selection activeCell="J43" sqref="J43"/>
    </sheetView>
  </sheetViews>
  <sheetFormatPr baseColWidth="10" defaultRowHeight="16" x14ac:dyDescent="0.2"/>
  <cols>
    <col min="1" max="1" width="13.5703125" style="39" customWidth="1"/>
    <col min="2" max="2" width="14.85546875" style="39" customWidth="1"/>
    <col min="3" max="3" width="7.42578125" style="39" customWidth="1"/>
    <col min="4" max="4" width="17.7109375" style="39" customWidth="1"/>
    <col min="5" max="5" width="5.7109375" style="55" customWidth="1"/>
    <col min="6" max="6" width="16.140625" style="39" customWidth="1"/>
    <col min="7" max="7" width="10.140625" style="55" customWidth="1"/>
    <col min="8" max="8" width="16.140625" style="39" customWidth="1"/>
    <col min="9" max="9" width="18.7109375" style="55" customWidth="1"/>
    <col min="10" max="10" width="14.85546875" style="39" customWidth="1"/>
    <col min="11" max="30" width="10.7109375" style="39" customWidth="1"/>
    <col min="31" max="53" width="10.7109375" style="39"/>
    <col min="54" max="215" width="10.7109375" style="115"/>
    <col min="216" max="16384" width="10.7109375" style="39"/>
  </cols>
  <sheetData>
    <row r="1" spans="1:215" s="83" customFormat="1" ht="16" customHeight="1" x14ac:dyDescent="0.2">
      <c r="A1" s="87" t="s">
        <v>0</v>
      </c>
      <c r="B1" s="87"/>
      <c r="C1" s="87"/>
      <c r="D1" s="87"/>
      <c r="E1" s="87"/>
      <c r="G1" s="84"/>
      <c r="I1" s="84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</row>
    <row r="2" spans="1:215" s="83" customFormat="1" x14ac:dyDescent="0.2">
      <c r="A2" s="87"/>
      <c r="B2" s="87"/>
      <c r="C2" s="87"/>
      <c r="D2" s="87"/>
      <c r="E2" s="87"/>
      <c r="G2" s="84"/>
      <c r="I2" s="84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EI2" s="115"/>
      <c r="EJ2" s="115"/>
      <c r="EK2" s="115"/>
      <c r="EL2" s="115"/>
      <c r="EM2" s="115"/>
      <c r="EN2" s="115"/>
      <c r="EO2" s="115"/>
      <c r="EP2" s="115"/>
      <c r="EQ2" s="115"/>
      <c r="ER2" s="115"/>
      <c r="ES2" s="115"/>
      <c r="ET2" s="115"/>
      <c r="EU2" s="115"/>
      <c r="EV2" s="115"/>
      <c r="EW2" s="115"/>
      <c r="EX2" s="115"/>
      <c r="EY2" s="115"/>
      <c r="EZ2" s="115"/>
      <c r="FA2" s="115"/>
      <c r="FB2" s="115"/>
      <c r="FC2" s="115"/>
      <c r="FD2" s="115"/>
      <c r="FE2" s="115"/>
      <c r="FF2" s="115"/>
      <c r="FG2" s="115"/>
      <c r="FH2" s="115"/>
      <c r="FI2" s="115"/>
      <c r="FJ2" s="115"/>
      <c r="FK2" s="115"/>
      <c r="FL2" s="115"/>
      <c r="FM2" s="115"/>
      <c r="FN2" s="115"/>
      <c r="FO2" s="115"/>
      <c r="FP2" s="115"/>
      <c r="FQ2" s="115"/>
      <c r="FR2" s="115"/>
      <c r="FS2" s="115"/>
      <c r="FT2" s="115"/>
      <c r="FU2" s="115"/>
      <c r="FV2" s="115"/>
      <c r="FW2" s="115"/>
      <c r="FX2" s="115"/>
      <c r="FY2" s="115"/>
      <c r="FZ2" s="115"/>
      <c r="GA2" s="115"/>
      <c r="GB2" s="115"/>
      <c r="GC2" s="115"/>
      <c r="GD2" s="115"/>
      <c r="GE2" s="115"/>
      <c r="GF2" s="115"/>
      <c r="GG2" s="115"/>
      <c r="GH2" s="115"/>
      <c r="GI2" s="115"/>
      <c r="GJ2" s="115"/>
      <c r="GK2" s="115"/>
      <c r="GL2" s="115"/>
      <c r="GM2" s="115"/>
      <c r="GN2" s="115"/>
      <c r="GO2" s="115"/>
      <c r="GP2" s="115"/>
      <c r="GQ2" s="115"/>
      <c r="GR2" s="115"/>
      <c r="GS2" s="115"/>
      <c r="GT2" s="115"/>
      <c r="GU2" s="115"/>
      <c r="GV2" s="115"/>
      <c r="GW2" s="115"/>
      <c r="GX2" s="115"/>
      <c r="GY2" s="115"/>
      <c r="GZ2" s="115"/>
      <c r="HA2" s="115"/>
      <c r="HB2" s="115"/>
      <c r="HC2" s="115"/>
      <c r="HD2" s="115"/>
      <c r="HE2" s="115"/>
      <c r="HF2" s="115"/>
      <c r="HG2" s="115"/>
    </row>
    <row r="3" spans="1:215" s="85" customFormat="1" ht="17" customHeight="1" thickBot="1" x14ac:dyDescent="0.25">
      <c r="A3" s="88"/>
      <c r="B3" s="88"/>
      <c r="C3" s="88"/>
      <c r="D3" s="88"/>
      <c r="E3" s="88"/>
      <c r="G3" s="86"/>
      <c r="I3" s="86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  <c r="BA3" s="115"/>
      <c r="BB3" s="115"/>
      <c r="BC3" s="115"/>
      <c r="BD3" s="115"/>
      <c r="BE3" s="115"/>
      <c r="BF3" s="115"/>
      <c r="BG3" s="115"/>
      <c r="BH3" s="115"/>
      <c r="BI3" s="115"/>
      <c r="BJ3" s="115"/>
      <c r="BK3" s="115"/>
      <c r="BL3" s="115"/>
      <c r="BM3" s="115"/>
      <c r="BN3" s="115"/>
      <c r="BO3" s="115"/>
      <c r="BP3" s="115"/>
      <c r="BQ3" s="115"/>
      <c r="BR3" s="115"/>
      <c r="BS3" s="115"/>
      <c r="BT3" s="115"/>
      <c r="BU3" s="115"/>
      <c r="BV3" s="115"/>
      <c r="BW3" s="115"/>
      <c r="BX3" s="115"/>
      <c r="BY3" s="115"/>
      <c r="BZ3" s="115"/>
      <c r="CA3" s="115"/>
      <c r="CB3" s="115"/>
      <c r="CC3" s="115"/>
      <c r="CD3" s="115"/>
      <c r="CE3" s="115"/>
      <c r="CF3" s="115"/>
      <c r="CG3" s="115"/>
      <c r="CH3" s="115"/>
      <c r="CI3" s="115"/>
      <c r="CJ3" s="115"/>
      <c r="CK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  <c r="DV3" s="115"/>
      <c r="DW3" s="115"/>
      <c r="DX3" s="115"/>
      <c r="DY3" s="115"/>
      <c r="DZ3" s="115"/>
      <c r="EA3" s="115"/>
      <c r="EB3" s="115"/>
      <c r="EC3" s="115"/>
      <c r="ED3" s="115"/>
      <c r="EE3" s="115"/>
      <c r="EF3" s="115"/>
      <c r="EG3" s="115"/>
      <c r="EH3" s="115"/>
      <c r="EI3" s="115"/>
      <c r="EJ3" s="115"/>
      <c r="EK3" s="115"/>
      <c r="EL3" s="115"/>
      <c r="EM3" s="115"/>
      <c r="EN3" s="115"/>
      <c r="EO3" s="115"/>
      <c r="EP3" s="115"/>
      <c r="EQ3" s="115"/>
      <c r="ER3" s="115"/>
      <c r="ES3" s="115"/>
      <c r="ET3" s="115"/>
      <c r="EU3" s="115"/>
      <c r="EV3" s="115"/>
      <c r="EW3" s="115"/>
      <c r="EX3" s="115"/>
      <c r="EY3" s="115"/>
      <c r="EZ3" s="115"/>
      <c r="FA3" s="115"/>
      <c r="FB3" s="115"/>
      <c r="FC3" s="115"/>
      <c r="FD3" s="115"/>
      <c r="FE3" s="115"/>
      <c r="FF3" s="115"/>
      <c r="FG3" s="115"/>
      <c r="FH3" s="115"/>
      <c r="FI3" s="115"/>
      <c r="FJ3" s="115"/>
      <c r="FK3" s="115"/>
      <c r="FL3" s="115"/>
      <c r="FM3" s="115"/>
      <c r="FN3" s="115"/>
      <c r="FO3" s="115"/>
      <c r="FP3" s="115"/>
      <c r="FQ3" s="115"/>
      <c r="FR3" s="115"/>
      <c r="FS3" s="115"/>
      <c r="FT3" s="115"/>
      <c r="FU3" s="115"/>
      <c r="FV3" s="115"/>
      <c r="FW3" s="115"/>
      <c r="FX3" s="115"/>
      <c r="FY3" s="115"/>
      <c r="FZ3" s="115"/>
      <c r="GA3" s="115"/>
      <c r="GB3" s="115"/>
      <c r="GC3" s="115"/>
      <c r="GD3" s="115"/>
      <c r="GE3" s="115"/>
      <c r="GF3" s="115"/>
      <c r="GG3" s="115"/>
      <c r="GH3" s="115"/>
      <c r="GI3" s="115"/>
      <c r="GJ3" s="115"/>
      <c r="GK3" s="115"/>
      <c r="GL3" s="115"/>
      <c r="GM3" s="115"/>
      <c r="GN3" s="115"/>
      <c r="GO3" s="115"/>
      <c r="GP3" s="115"/>
      <c r="GQ3" s="115"/>
      <c r="GR3" s="115"/>
      <c r="GS3" s="115"/>
      <c r="GT3" s="115"/>
      <c r="GU3" s="115"/>
      <c r="GV3" s="115"/>
      <c r="GW3" s="115"/>
      <c r="GX3" s="115"/>
      <c r="GY3" s="115"/>
      <c r="GZ3" s="115"/>
      <c r="HA3" s="115"/>
      <c r="HB3" s="115"/>
      <c r="HC3" s="115"/>
      <c r="HD3" s="115"/>
      <c r="HE3" s="115"/>
      <c r="HF3" s="115"/>
      <c r="HG3" s="115"/>
    </row>
    <row r="4" spans="1:215" s="101" customFormat="1" ht="17" customHeight="1" thickTop="1" x14ac:dyDescent="0.2">
      <c r="E4" s="97"/>
      <c r="G4" s="97"/>
      <c r="I4" s="97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5"/>
      <c r="BP4" s="115"/>
      <c r="BQ4" s="115"/>
      <c r="BR4" s="115"/>
      <c r="BS4" s="115"/>
      <c r="BT4" s="115"/>
      <c r="BU4" s="115"/>
      <c r="BV4" s="115"/>
      <c r="BW4" s="115"/>
      <c r="BX4" s="115"/>
      <c r="BY4" s="115"/>
      <c r="BZ4" s="115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  <c r="DV4" s="115"/>
      <c r="DW4" s="115"/>
      <c r="DX4" s="115"/>
      <c r="DY4" s="115"/>
      <c r="DZ4" s="115"/>
      <c r="EA4" s="115"/>
      <c r="EB4" s="115"/>
      <c r="EC4" s="115"/>
      <c r="ED4" s="115"/>
      <c r="EE4" s="115"/>
      <c r="EF4" s="115"/>
      <c r="EG4" s="115"/>
      <c r="EH4" s="115"/>
      <c r="EI4" s="115"/>
      <c r="EJ4" s="115"/>
      <c r="EK4" s="115"/>
      <c r="EL4" s="115"/>
      <c r="EM4" s="115"/>
      <c r="EN4" s="115"/>
      <c r="EO4" s="115"/>
      <c r="EP4" s="115"/>
      <c r="EQ4" s="115"/>
      <c r="ER4" s="115"/>
      <c r="ES4" s="115"/>
      <c r="ET4" s="115"/>
      <c r="EU4" s="115"/>
      <c r="EV4" s="115"/>
      <c r="EW4" s="115"/>
      <c r="EX4" s="115"/>
      <c r="EY4" s="115"/>
      <c r="EZ4" s="115"/>
      <c r="FA4" s="115"/>
      <c r="FB4" s="115"/>
      <c r="FC4" s="115"/>
      <c r="FD4" s="115"/>
      <c r="FE4" s="115"/>
      <c r="FF4" s="115"/>
      <c r="FG4" s="115"/>
      <c r="FH4" s="115"/>
      <c r="FI4" s="115"/>
      <c r="FJ4" s="115"/>
      <c r="FK4" s="115"/>
      <c r="FL4" s="115"/>
      <c r="FM4" s="115"/>
      <c r="FN4" s="115"/>
      <c r="FO4" s="115"/>
      <c r="FP4" s="115"/>
      <c r="FQ4" s="115"/>
      <c r="FR4" s="115"/>
      <c r="FS4" s="115"/>
      <c r="FT4" s="115"/>
      <c r="FU4" s="115"/>
      <c r="FV4" s="115"/>
      <c r="FW4" s="115"/>
      <c r="FX4" s="115"/>
      <c r="FY4" s="115"/>
      <c r="FZ4" s="115"/>
      <c r="GA4" s="115"/>
      <c r="GB4" s="115"/>
      <c r="GC4" s="115"/>
      <c r="GD4" s="115"/>
      <c r="GE4" s="115"/>
      <c r="GF4" s="115"/>
      <c r="GG4" s="115"/>
      <c r="GH4" s="115"/>
      <c r="GI4" s="115"/>
      <c r="GJ4" s="115"/>
      <c r="GK4" s="115"/>
      <c r="GL4" s="115"/>
      <c r="GM4" s="115"/>
      <c r="GN4" s="115"/>
      <c r="GO4" s="115"/>
      <c r="GP4" s="115"/>
      <c r="GQ4" s="115"/>
      <c r="GR4" s="115"/>
      <c r="GS4" s="115"/>
      <c r="GT4" s="115"/>
      <c r="GU4" s="115"/>
      <c r="GV4" s="115"/>
      <c r="GW4" s="115"/>
      <c r="GX4" s="115"/>
      <c r="GY4" s="115"/>
      <c r="GZ4" s="115"/>
      <c r="HA4" s="115"/>
      <c r="HB4" s="115"/>
      <c r="HC4" s="115"/>
      <c r="HD4" s="115"/>
      <c r="HE4" s="115"/>
      <c r="HF4" s="115"/>
      <c r="HG4" s="115"/>
    </row>
    <row r="5" spans="1:215" s="101" customFormat="1" ht="16" customHeight="1" x14ac:dyDescent="0.2">
      <c r="A5" s="106" t="s">
        <v>1</v>
      </c>
      <c r="B5" s="106"/>
      <c r="C5" s="107"/>
      <c r="D5" s="96">
        <f>'Value &amp; Cost Basis'!C2</f>
        <v>12084.38</v>
      </c>
      <c r="E5" s="96"/>
      <c r="G5" s="120" t="s">
        <v>14</v>
      </c>
      <c r="H5" s="120"/>
      <c r="I5" s="96">
        <f>'Value &amp; Cost Basis'!B2-'Value &amp; Cost Basis'!C2</f>
        <v>3762.3466107336608</v>
      </c>
      <c r="J5" s="119">
        <f>I5/D5</f>
        <v>0.31133964760572419</v>
      </c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115"/>
      <c r="BC5" s="115"/>
      <c r="BD5" s="115"/>
      <c r="BE5" s="115"/>
      <c r="BF5" s="115"/>
      <c r="BG5" s="115"/>
      <c r="BH5" s="115"/>
      <c r="BI5" s="115"/>
      <c r="BJ5" s="115"/>
      <c r="BK5" s="115"/>
      <c r="BL5" s="115"/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5"/>
      <c r="BX5" s="115"/>
      <c r="BY5" s="115"/>
      <c r="BZ5" s="115"/>
      <c r="CA5" s="115"/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  <c r="DV5" s="115"/>
      <c r="DW5" s="115"/>
      <c r="DX5" s="115"/>
      <c r="DY5" s="115"/>
      <c r="DZ5" s="115"/>
      <c r="EA5" s="115"/>
      <c r="EB5" s="115"/>
      <c r="EC5" s="115"/>
      <c r="ED5" s="115"/>
      <c r="EE5" s="115"/>
      <c r="EF5" s="115"/>
      <c r="EG5" s="115"/>
      <c r="EH5" s="115"/>
      <c r="EI5" s="115"/>
      <c r="EJ5" s="115"/>
      <c r="EK5" s="115"/>
      <c r="EL5" s="115"/>
      <c r="EM5" s="115"/>
      <c r="EN5" s="115"/>
      <c r="EO5" s="115"/>
      <c r="EP5" s="115"/>
      <c r="EQ5" s="115"/>
      <c r="ER5" s="115"/>
      <c r="ES5" s="115"/>
      <c r="ET5" s="115"/>
      <c r="EU5" s="115"/>
      <c r="EV5" s="115"/>
      <c r="EW5" s="115"/>
      <c r="EX5" s="115"/>
      <c r="EY5" s="115"/>
      <c r="EZ5" s="115"/>
      <c r="FA5" s="115"/>
      <c r="FB5" s="115"/>
      <c r="FC5" s="115"/>
      <c r="FD5" s="115"/>
      <c r="FE5" s="115"/>
      <c r="FF5" s="115"/>
      <c r="FG5" s="115"/>
      <c r="FH5" s="115"/>
      <c r="FI5" s="115"/>
      <c r="FJ5" s="115"/>
      <c r="FK5" s="115"/>
      <c r="FL5" s="115"/>
      <c r="FM5" s="115"/>
      <c r="FN5" s="115"/>
      <c r="FO5" s="115"/>
      <c r="FP5" s="115"/>
      <c r="FQ5" s="115"/>
      <c r="FR5" s="115"/>
      <c r="FS5" s="115"/>
      <c r="FT5" s="115"/>
      <c r="FU5" s="115"/>
      <c r="FV5" s="115"/>
      <c r="FW5" s="115"/>
      <c r="FX5" s="115"/>
      <c r="FY5" s="115"/>
      <c r="FZ5" s="115"/>
      <c r="GA5" s="115"/>
      <c r="GB5" s="115"/>
      <c r="GC5" s="115"/>
      <c r="GD5" s="115"/>
      <c r="GE5" s="115"/>
      <c r="GF5" s="115"/>
      <c r="GG5" s="115"/>
      <c r="GH5" s="115"/>
      <c r="GI5" s="115"/>
      <c r="GJ5" s="115"/>
      <c r="GK5" s="115"/>
      <c r="GL5" s="115"/>
      <c r="GM5" s="115"/>
      <c r="GN5" s="115"/>
      <c r="GO5" s="115"/>
      <c r="GP5" s="115"/>
      <c r="GQ5" s="115"/>
      <c r="GR5" s="115"/>
      <c r="GS5" s="115"/>
      <c r="GT5" s="115"/>
      <c r="GU5" s="115"/>
      <c r="GV5" s="115"/>
      <c r="GW5" s="115"/>
      <c r="GX5" s="115"/>
      <c r="GY5" s="115"/>
      <c r="GZ5" s="115"/>
      <c r="HA5" s="115"/>
      <c r="HB5" s="115"/>
      <c r="HC5" s="115"/>
      <c r="HD5" s="115"/>
      <c r="HE5" s="115"/>
      <c r="HF5" s="115"/>
      <c r="HG5" s="115"/>
    </row>
    <row r="6" spans="1:215" s="101" customFormat="1" ht="16" customHeight="1" x14ac:dyDescent="0.2">
      <c r="A6" s="106"/>
      <c r="B6" s="106"/>
      <c r="C6" s="107"/>
      <c r="D6" s="96"/>
      <c r="E6" s="96"/>
      <c r="G6" s="120"/>
      <c r="H6" s="120"/>
      <c r="I6" s="96"/>
      <c r="J6" s="119"/>
      <c r="K6" s="121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115"/>
      <c r="BC6" s="115"/>
      <c r="BD6" s="115"/>
      <c r="BE6" s="115"/>
      <c r="BF6" s="115"/>
      <c r="BG6" s="115"/>
      <c r="BH6" s="115"/>
      <c r="BI6" s="115"/>
      <c r="BJ6" s="115"/>
      <c r="BK6" s="115"/>
      <c r="BL6" s="115"/>
      <c r="BM6" s="115"/>
      <c r="BN6" s="115"/>
      <c r="BO6" s="115"/>
      <c r="BP6" s="115"/>
      <c r="BQ6" s="115"/>
      <c r="BR6" s="115"/>
      <c r="BS6" s="115"/>
      <c r="BT6" s="115"/>
      <c r="BU6" s="115"/>
      <c r="BV6" s="115"/>
      <c r="BW6" s="115"/>
      <c r="BX6" s="115"/>
      <c r="BY6" s="115"/>
      <c r="BZ6" s="115"/>
      <c r="CA6" s="115"/>
      <c r="CB6" s="115"/>
      <c r="CC6" s="115"/>
      <c r="CD6" s="115"/>
      <c r="CE6" s="115"/>
      <c r="CF6" s="115"/>
      <c r="CG6" s="115"/>
      <c r="CH6" s="115"/>
      <c r="CI6" s="115"/>
      <c r="CJ6" s="115"/>
      <c r="CK6" s="115"/>
      <c r="CL6" s="115"/>
      <c r="CM6" s="115"/>
      <c r="CN6" s="115"/>
      <c r="CO6" s="115"/>
      <c r="CP6" s="115"/>
      <c r="CQ6" s="115"/>
      <c r="CR6" s="115"/>
      <c r="CS6" s="115"/>
      <c r="CT6" s="115"/>
      <c r="CU6" s="115"/>
      <c r="CV6" s="115"/>
      <c r="CW6" s="115"/>
      <c r="CX6" s="115"/>
      <c r="CY6" s="115"/>
      <c r="CZ6" s="115"/>
      <c r="DA6" s="115"/>
      <c r="DB6" s="115"/>
      <c r="DC6" s="115"/>
      <c r="DD6" s="115"/>
      <c r="DE6" s="115"/>
      <c r="DF6" s="115"/>
      <c r="DG6" s="115"/>
      <c r="DH6" s="115"/>
      <c r="DI6" s="115"/>
      <c r="DJ6" s="115"/>
      <c r="DK6" s="115"/>
      <c r="DL6" s="115"/>
      <c r="DM6" s="115"/>
      <c r="DN6" s="115"/>
      <c r="DO6" s="115"/>
      <c r="DP6" s="115"/>
      <c r="DQ6" s="115"/>
      <c r="DR6" s="115"/>
      <c r="DS6" s="115"/>
      <c r="DT6" s="115"/>
      <c r="DU6" s="115"/>
      <c r="DV6" s="115"/>
      <c r="DW6" s="115"/>
      <c r="DX6" s="115"/>
      <c r="DY6" s="115"/>
      <c r="DZ6" s="115"/>
      <c r="EA6" s="115"/>
      <c r="EB6" s="115"/>
      <c r="EC6" s="115"/>
      <c r="ED6" s="115"/>
      <c r="EE6" s="115"/>
      <c r="EF6" s="115"/>
      <c r="EG6" s="115"/>
      <c r="EH6" s="115"/>
      <c r="EI6" s="115"/>
      <c r="EJ6" s="115"/>
      <c r="EK6" s="115"/>
      <c r="EL6" s="115"/>
      <c r="EM6" s="115"/>
      <c r="EN6" s="115"/>
      <c r="EO6" s="115"/>
      <c r="EP6" s="115"/>
      <c r="EQ6" s="115"/>
      <c r="ER6" s="115"/>
      <c r="ES6" s="115"/>
      <c r="ET6" s="115"/>
      <c r="EU6" s="115"/>
      <c r="EV6" s="115"/>
      <c r="EW6" s="115"/>
      <c r="EX6" s="115"/>
      <c r="EY6" s="115"/>
      <c r="EZ6" s="115"/>
      <c r="FA6" s="115"/>
      <c r="FB6" s="115"/>
      <c r="FC6" s="115"/>
      <c r="FD6" s="115"/>
      <c r="FE6" s="115"/>
      <c r="FF6" s="115"/>
      <c r="FG6" s="115"/>
      <c r="FH6" s="115"/>
      <c r="FI6" s="115"/>
      <c r="FJ6" s="115"/>
      <c r="FK6" s="115"/>
      <c r="FL6" s="115"/>
      <c r="FM6" s="115"/>
      <c r="FN6" s="115"/>
      <c r="FO6" s="115"/>
      <c r="FP6" s="115"/>
      <c r="FQ6" s="115"/>
      <c r="FR6" s="115"/>
      <c r="FS6" s="115"/>
      <c r="FT6" s="115"/>
      <c r="FU6" s="115"/>
      <c r="FV6" s="115"/>
      <c r="FW6" s="115"/>
      <c r="FX6" s="115"/>
      <c r="FY6" s="115"/>
      <c r="FZ6" s="115"/>
      <c r="GA6" s="115"/>
      <c r="GB6" s="115"/>
      <c r="GC6" s="115"/>
      <c r="GD6" s="115"/>
      <c r="GE6" s="115"/>
      <c r="GF6" s="115"/>
      <c r="GG6" s="115"/>
      <c r="GH6" s="115"/>
      <c r="GI6" s="115"/>
      <c r="GJ6" s="115"/>
      <c r="GK6" s="115"/>
      <c r="GL6" s="115"/>
      <c r="GM6" s="115"/>
      <c r="GN6" s="115"/>
      <c r="GO6" s="115"/>
      <c r="GP6" s="115"/>
      <c r="GQ6" s="115"/>
      <c r="GR6" s="115"/>
      <c r="GS6" s="115"/>
      <c r="GT6" s="115"/>
      <c r="GU6" s="115"/>
      <c r="GV6" s="115"/>
      <c r="GW6" s="115"/>
      <c r="GX6" s="115"/>
      <c r="GY6" s="115"/>
      <c r="GZ6" s="115"/>
      <c r="HA6" s="115"/>
      <c r="HB6" s="115"/>
      <c r="HC6" s="115"/>
      <c r="HD6" s="115"/>
      <c r="HE6" s="115"/>
      <c r="HF6" s="115"/>
      <c r="HG6" s="115"/>
    </row>
    <row r="7" spans="1:215" s="101" customFormat="1" ht="16" customHeight="1" x14ac:dyDescent="0.2">
      <c r="A7" s="108" t="s">
        <v>2</v>
      </c>
      <c r="B7" s="108"/>
      <c r="C7" s="109"/>
      <c r="D7" s="110" cm="1">
        <f t="array" aca="1" ref="D7" ca="1">SUM(_xlfn._xlws.FILTER(CURRENT_QUANTITY, (CURRENCY_VALUE &gt; 5)) * INDEX(PRICES, MATCH(_xlfn._xlws.FILTER(CURRENCY, (CURRENCY_VALUE &gt; 5)), PRICES_SYMBOL, 0)))</f>
        <v>15743.53485739656</v>
      </c>
      <c r="E7" s="110"/>
      <c r="G7" s="117"/>
      <c r="H7" s="117"/>
      <c r="J7" s="118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  <c r="GW7" s="115"/>
      <c r="GX7" s="115"/>
      <c r="GY7" s="115"/>
      <c r="GZ7" s="115"/>
      <c r="HA7" s="115"/>
      <c r="HB7" s="115"/>
      <c r="HC7" s="115"/>
      <c r="HD7" s="115"/>
      <c r="HE7" s="115"/>
      <c r="HF7" s="115"/>
      <c r="HG7" s="115"/>
    </row>
    <row r="8" spans="1:215" s="101" customFormat="1" ht="16" customHeight="1" thickBot="1" x14ac:dyDescent="0.25">
      <c r="A8" s="108"/>
      <c r="B8" s="108"/>
      <c r="C8" s="107"/>
      <c r="D8" s="110"/>
      <c r="E8" s="110"/>
      <c r="G8" s="117"/>
      <c r="H8" s="117"/>
      <c r="I8" s="118"/>
      <c r="J8" s="118"/>
      <c r="M8" s="101" t="s">
        <v>4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  <c r="GW8" s="115"/>
      <c r="GX8" s="115"/>
      <c r="GY8" s="115"/>
      <c r="GZ8" s="115"/>
      <c r="HA8" s="115"/>
      <c r="HB8" s="115"/>
      <c r="HC8" s="115"/>
      <c r="HD8" s="115"/>
      <c r="HE8" s="115"/>
      <c r="HF8" s="115"/>
      <c r="HG8" s="115"/>
    </row>
    <row r="9" spans="1:215" s="101" customFormat="1" ht="17" thickBot="1" x14ac:dyDescent="0.25">
      <c r="A9" s="108"/>
      <c r="B9" s="108"/>
      <c r="C9" s="107"/>
      <c r="D9" s="110"/>
      <c r="E9" s="110"/>
      <c r="G9" s="97"/>
      <c r="I9" s="97"/>
      <c r="M9" s="111" t="s">
        <v>3</v>
      </c>
      <c r="N9" s="112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115"/>
      <c r="BC9" s="115"/>
      <c r="BD9" s="115"/>
      <c r="BE9" s="115"/>
      <c r="BF9" s="115"/>
      <c r="BG9" s="115"/>
      <c r="BH9" s="115"/>
      <c r="BI9" s="115"/>
      <c r="BJ9" s="115"/>
      <c r="BK9" s="115"/>
      <c r="BL9" s="115"/>
      <c r="BM9" s="115"/>
      <c r="BN9" s="115"/>
      <c r="BO9" s="115"/>
      <c r="BP9" s="115"/>
      <c r="BQ9" s="115"/>
      <c r="BR9" s="115"/>
      <c r="BS9" s="115"/>
      <c r="BT9" s="115"/>
      <c r="BU9" s="115"/>
      <c r="BV9" s="115"/>
      <c r="BW9" s="115"/>
      <c r="BX9" s="115"/>
      <c r="BY9" s="115"/>
      <c r="BZ9" s="115"/>
      <c r="CA9" s="115"/>
      <c r="CB9" s="115"/>
      <c r="CC9" s="115"/>
      <c r="CD9" s="115"/>
      <c r="CE9" s="115"/>
      <c r="CF9" s="115"/>
      <c r="CG9" s="115"/>
      <c r="CH9" s="115"/>
      <c r="CI9" s="115"/>
      <c r="CJ9" s="115"/>
      <c r="CK9" s="115"/>
      <c r="CL9" s="115"/>
      <c r="CM9" s="115"/>
      <c r="CN9" s="115"/>
      <c r="CO9" s="115"/>
      <c r="CP9" s="115"/>
      <c r="CQ9" s="115"/>
      <c r="CR9" s="115"/>
      <c r="CS9" s="115"/>
      <c r="CT9" s="115"/>
      <c r="CU9" s="115"/>
      <c r="CV9" s="115"/>
      <c r="CW9" s="115"/>
      <c r="CX9" s="115"/>
      <c r="CY9" s="115"/>
      <c r="CZ9" s="115"/>
      <c r="DA9" s="115"/>
      <c r="DB9" s="115"/>
      <c r="DC9" s="115"/>
      <c r="DD9" s="115"/>
      <c r="DE9" s="115"/>
      <c r="DF9" s="115"/>
      <c r="DG9" s="115"/>
      <c r="DH9" s="115"/>
      <c r="DI9" s="115"/>
      <c r="DJ9" s="115"/>
      <c r="DK9" s="115"/>
      <c r="DL9" s="115"/>
      <c r="DM9" s="115"/>
      <c r="DN9" s="115"/>
      <c r="DO9" s="115"/>
      <c r="DP9" s="115"/>
      <c r="DQ9" s="115"/>
      <c r="DR9" s="115"/>
      <c r="DS9" s="115"/>
      <c r="DT9" s="115"/>
      <c r="DU9" s="115"/>
      <c r="DV9" s="115"/>
      <c r="DW9" s="115"/>
      <c r="DX9" s="115"/>
      <c r="DY9" s="115"/>
      <c r="DZ9" s="115"/>
      <c r="EA9" s="115"/>
      <c r="EB9" s="115"/>
      <c r="EC9" s="115"/>
      <c r="ED9" s="115"/>
      <c r="EE9" s="115"/>
      <c r="EF9" s="115"/>
      <c r="EG9" s="115"/>
      <c r="EH9" s="115"/>
      <c r="EI9" s="115"/>
      <c r="EJ9" s="115"/>
      <c r="EK9" s="115"/>
      <c r="EL9" s="115"/>
      <c r="EM9" s="115"/>
      <c r="EN9" s="115"/>
      <c r="EO9" s="115"/>
      <c r="EP9" s="115"/>
      <c r="EQ9" s="115"/>
      <c r="ER9" s="115"/>
      <c r="ES9" s="115"/>
      <c r="ET9" s="115"/>
      <c r="EU9" s="115"/>
      <c r="EV9" s="115"/>
      <c r="EW9" s="115"/>
      <c r="EX9" s="115"/>
      <c r="EY9" s="115"/>
      <c r="EZ9" s="115"/>
      <c r="FA9" s="115"/>
      <c r="FB9" s="115"/>
      <c r="FC9" s="115"/>
      <c r="FD9" s="115"/>
      <c r="FE9" s="115"/>
      <c r="FF9" s="115"/>
      <c r="FG9" s="115"/>
      <c r="FH9" s="115"/>
      <c r="FI9" s="115"/>
      <c r="FJ9" s="115"/>
      <c r="FK9" s="115"/>
      <c r="FL9" s="115"/>
      <c r="FM9" s="115"/>
      <c r="FN9" s="115"/>
      <c r="FO9" s="115"/>
      <c r="FP9" s="115"/>
      <c r="FQ9" s="115"/>
      <c r="FR9" s="115"/>
      <c r="FS9" s="115"/>
      <c r="FT9" s="115"/>
      <c r="FU9" s="115"/>
      <c r="FV9" s="115"/>
      <c r="FW9" s="115"/>
      <c r="FX9" s="115"/>
      <c r="FY9" s="115"/>
      <c r="FZ9" s="115"/>
      <c r="GA9" s="115"/>
      <c r="GB9" s="115"/>
      <c r="GC9" s="115"/>
      <c r="GD9" s="115"/>
      <c r="GE9" s="115"/>
      <c r="GF9" s="115"/>
      <c r="GG9" s="115"/>
      <c r="GH9" s="115"/>
      <c r="GI9" s="115"/>
      <c r="GJ9" s="115"/>
      <c r="GK9" s="115"/>
      <c r="GL9" s="115"/>
      <c r="GM9" s="115"/>
      <c r="GN9" s="115"/>
      <c r="GO9" s="115"/>
      <c r="GP9" s="115"/>
      <c r="GQ9" s="115"/>
      <c r="GR9" s="115"/>
      <c r="GS9" s="115"/>
      <c r="GT9" s="115"/>
      <c r="GU9" s="115"/>
      <c r="GV9" s="115"/>
      <c r="GW9" s="115"/>
      <c r="GX9" s="115"/>
      <c r="GY9" s="115"/>
      <c r="GZ9" s="115"/>
      <c r="HA9" s="115"/>
      <c r="HB9" s="115"/>
      <c r="HC9" s="115"/>
      <c r="HD9" s="115"/>
      <c r="HE9" s="115"/>
      <c r="HF9" s="115"/>
      <c r="HG9" s="115"/>
    </row>
    <row r="10" spans="1:215" s="101" customFormat="1" ht="17" customHeight="1" thickBot="1" x14ac:dyDescent="0.25">
      <c r="E10" s="97"/>
      <c r="G10" s="97"/>
      <c r="I10" s="97"/>
      <c r="M10" s="113"/>
      <c r="N10" s="114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115"/>
      <c r="BC10" s="115"/>
      <c r="BD10" s="115"/>
      <c r="BE10" s="115"/>
      <c r="BF10" s="115"/>
      <c r="BG10" s="115"/>
      <c r="BH10" s="115"/>
      <c r="BI10" s="115"/>
      <c r="BJ10" s="115"/>
      <c r="BK10" s="115"/>
      <c r="BL10" s="115"/>
      <c r="BM10" s="115"/>
      <c r="BN10" s="115"/>
      <c r="BO10" s="115"/>
      <c r="BP10" s="115"/>
      <c r="BQ10" s="115"/>
      <c r="BR10" s="115"/>
      <c r="BS10" s="115"/>
      <c r="BT10" s="115"/>
      <c r="BU10" s="115"/>
      <c r="BV10" s="115"/>
      <c r="BW10" s="115"/>
      <c r="BX10" s="115"/>
      <c r="BY10" s="115"/>
      <c r="BZ10" s="115"/>
      <c r="CA10" s="115"/>
      <c r="CB10" s="115"/>
      <c r="CC10" s="115"/>
      <c r="CD10" s="115"/>
      <c r="CE10" s="115"/>
      <c r="CF10" s="115"/>
      <c r="CG10" s="115"/>
      <c r="CH10" s="115"/>
      <c r="CI10" s="115"/>
      <c r="CJ10" s="115"/>
      <c r="CK10" s="115"/>
      <c r="CL10" s="115"/>
      <c r="CM10" s="115"/>
      <c r="CN10" s="115"/>
      <c r="CO10" s="115"/>
      <c r="CP10" s="115"/>
      <c r="CQ10" s="115"/>
      <c r="CR10" s="115"/>
      <c r="CS10" s="115"/>
      <c r="CT10" s="115"/>
      <c r="CU10" s="115"/>
      <c r="CV10" s="115"/>
      <c r="CW10" s="115"/>
      <c r="CX10" s="115"/>
      <c r="CY10" s="115"/>
      <c r="CZ10" s="115"/>
      <c r="DA10" s="115"/>
      <c r="DB10" s="115"/>
      <c r="DC10" s="115"/>
      <c r="DD10" s="115"/>
      <c r="DE10" s="115"/>
      <c r="DF10" s="115"/>
      <c r="DG10" s="115"/>
      <c r="DH10" s="115"/>
      <c r="DI10" s="115"/>
      <c r="DJ10" s="115"/>
      <c r="DK10" s="115"/>
      <c r="DL10" s="115"/>
      <c r="DM10" s="115"/>
      <c r="DN10" s="115"/>
      <c r="DO10" s="115"/>
      <c r="DP10" s="115"/>
      <c r="DQ10" s="115"/>
      <c r="DR10" s="115"/>
      <c r="DS10" s="115"/>
      <c r="DT10" s="115"/>
      <c r="DU10" s="115"/>
      <c r="DV10" s="115"/>
      <c r="DW10" s="115"/>
      <c r="DX10" s="115"/>
      <c r="DY10" s="115"/>
      <c r="DZ10" s="115"/>
      <c r="EA10" s="115"/>
      <c r="EB10" s="115"/>
      <c r="EC10" s="115"/>
      <c r="ED10" s="115"/>
      <c r="EE10" s="115"/>
      <c r="EF10" s="115"/>
      <c r="EG10" s="115"/>
      <c r="EH10" s="115"/>
      <c r="EI10" s="115"/>
      <c r="EJ10" s="115"/>
      <c r="EK10" s="115"/>
      <c r="EL10" s="115"/>
      <c r="EM10" s="115"/>
      <c r="EN10" s="115"/>
      <c r="EO10" s="115"/>
      <c r="EP10" s="115"/>
      <c r="EQ10" s="115"/>
      <c r="ER10" s="115"/>
      <c r="ES10" s="115"/>
      <c r="ET10" s="115"/>
      <c r="EU10" s="115"/>
      <c r="EV10" s="115"/>
      <c r="EW10" s="115"/>
      <c r="EX10" s="115"/>
      <c r="EY10" s="115"/>
      <c r="EZ10" s="115"/>
      <c r="FA10" s="115"/>
      <c r="FB10" s="115"/>
      <c r="FC10" s="115"/>
      <c r="FD10" s="115"/>
      <c r="FE10" s="115"/>
      <c r="FF10" s="115"/>
      <c r="FG10" s="115"/>
      <c r="FH10" s="115"/>
      <c r="FI10" s="115"/>
      <c r="FJ10" s="115"/>
      <c r="FK10" s="115"/>
      <c r="FL10" s="115"/>
      <c r="FM10" s="115"/>
      <c r="FN10" s="115"/>
      <c r="FO10" s="115"/>
      <c r="FP10" s="115"/>
      <c r="FQ10" s="115"/>
      <c r="FR10" s="115"/>
      <c r="FS10" s="115"/>
      <c r="FT10" s="115"/>
      <c r="FU10" s="115"/>
      <c r="FV10" s="115"/>
      <c r="FW10" s="115"/>
      <c r="FX10" s="115"/>
      <c r="FY10" s="115"/>
      <c r="FZ10" s="115"/>
      <c r="GA10" s="115"/>
      <c r="GB10" s="115"/>
      <c r="GC10" s="115"/>
      <c r="GD10" s="115"/>
      <c r="GE10" s="115"/>
      <c r="GF10" s="115"/>
      <c r="GG10" s="115"/>
      <c r="GH10" s="115"/>
      <c r="GI10" s="115"/>
      <c r="GJ10" s="115"/>
      <c r="GK10" s="115"/>
      <c r="GL10" s="115"/>
      <c r="GM10" s="115"/>
      <c r="GN10" s="115"/>
      <c r="GO10" s="115"/>
      <c r="GP10" s="115"/>
      <c r="GQ10" s="115"/>
      <c r="GR10" s="115"/>
      <c r="GS10" s="115"/>
      <c r="GT10" s="115"/>
      <c r="GU10" s="115"/>
      <c r="GV10" s="115"/>
      <c r="GW10" s="115"/>
      <c r="GX10" s="115"/>
      <c r="GY10" s="115"/>
      <c r="GZ10" s="115"/>
      <c r="HA10" s="115"/>
      <c r="HB10" s="115"/>
      <c r="HC10" s="115"/>
      <c r="HD10" s="115"/>
      <c r="HE10" s="115"/>
      <c r="HF10" s="115"/>
      <c r="HG10" s="115"/>
    </row>
    <row r="12" spans="1:215" ht="17" customHeight="1" x14ac:dyDescent="0.2"/>
    <row r="13" spans="1:215" s="54" customFormat="1" ht="21" customHeight="1" x14ac:dyDescent="0.25">
      <c r="E13" s="77"/>
      <c r="G13" s="77"/>
      <c r="I13" s="77"/>
      <c r="M13" s="75" t="s">
        <v>3</v>
      </c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6"/>
      <c r="CZ13" s="116"/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6"/>
      <c r="DR13" s="116"/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6"/>
      <c r="EI13" s="116"/>
      <c r="EJ13" s="116"/>
      <c r="EK13" s="116"/>
      <c r="EL13" s="116"/>
      <c r="EM13" s="116"/>
      <c r="EN13" s="116"/>
      <c r="EO13" s="116"/>
      <c r="EP13" s="116"/>
      <c r="EQ13" s="116"/>
      <c r="ER13" s="116"/>
      <c r="ES13" s="116"/>
      <c r="ET13" s="116"/>
      <c r="EU13" s="116"/>
      <c r="EV13" s="116"/>
      <c r="EW13" s="116"/>
      <c r="EX13" s="116"/>
      <c r="EY13" s="116"/>
      <c r="EZ13" s="116"/>
      <c r="FA13" s="116"/>
      <c r="FB13" s="116"/>
      <c r="FC13" s="116"/>
      <c r="FD13" s="116"/>
      <c r="FE13" s="116"/>
      <c r="FF13" s="116"/>
      <c r="FG13" s="116"/>
      <c r="FH13" s="116"/>
      <c r="FI13" s="116"/>
      <c r="FJ13" s="116"/>
      <c r="FK13" s="116"/>
      <c r="FL13" s="116"/>
      <c r="FM13" s="116"/>
      <c r="FN13" s="116"/>
      <c r="FO13" s="116"/>
      <c r="FP13" s="116"/>
      <c r="FQ13" s="116"/>
      <c r="FR13" s="116"/>
      <c r="FS13" s="116"/>
      <c r="FT13" s="116"/>
      <c r="FU13" s="116"/>
      <c r="FV13" s="116"/>
      <c r="FW13" s="116"/>
      <c r="FX13" s="116"/>
      <c r="FY13" s="116"/>
      <c r="FZ13" s="116"/>
      <c r="GA13" s="116"/>
      <c r="GB13" s="116"/>
      <c r="GC13" s="116"/>
      <c r="GD13" s="116"/>
      <c r="GE13" s="116"/>
      <c r="GF13" s="116"/>
      <c r="GG13" s="116"/>
      <c r="GH13" s="116"/>
      <c r="GI13" s="116"/>
      <c r="GJ13" s="116"/>
      <c r="GK13" s="116"/>
      <c r="GL13" s="116"/>
      <c r="GM13" s="116"/>
      <c r="GN13" s="116"/>
      <c r="GO13" s="116"/>
      <c r="GP13" s="116"/>
      <c r="GQ13" s="116"/>
      <c r="GR13" s="116"/>
      <c r="GS13" s="116"/>
      <c r="GT13" s="116"/>
      <c r="GU13" s="116"/>
      <c r="GV13" s="116"/>
      <c r="GW13" s="116"/>
      <c r="GX13" s="116"/>
      <c r="GY13" s="116"/>
      <c r="GZ13" s="116"/>
      <c r="HA13" s="116"/>
      <c r="HB13" s="116"/>
      <c r="HC13" s="116"/>
      <c r="HD13" s="116"/>
      <c r="HE13" s="116"/>
      <c r="HF13" s="116"/>
      <c r="HG13" s="116"/>
    </row>
    <row r="14" spans="1:215" x14ac:dyDescent="0.2">
      <c r="M14" s="76" t="s">
        <v>5</v>
      </c>
    </row>
    <row r="15" spans="1:215" x14ac:dyDescent="0.2">
      <c r="M15" s="76" t="s">
        <v>6</v>
      </c>
    </row>
    <row r="16" spans="1:215" x14ac:dyDescent="0.2">
      <c r="M16" s="76" t="s">
        <v>7</v>
      </c>
    </row>
    <row r="17" spans="13:13" x14ac:dyDescent="0.2">
      <c r="M17" s="76" t="s">
        <v>8</v>
      </c>
    </row>
    <row r="18" spans="13:13" x14ac:dyDescent="0.2">
      <c r="M18" s="76" t="s">
        <v>9</v>
      </c>
    </row>
    <row r="19" spans="13:13" x14ac:dyDescent="0.2">
      <c r="M19" s="76" t="s">
        <v>10</v>
      </c>
    </row>
    <row r="35" spans="1:215" ht="16" customHeight="1" x14ac:dyDescent="0.2">
      <c r="C35" s="89"/>
    </row>
    <row r="36" spans="1:215" ht="5" customHeight="1" x14ac:dyDescent="0.2">
      <c r="B36" s="89"/>
      <c r="C36" s="89"/>
    </row>
    <row r="37" spans="1:215" s="83" customFormat="1" ht="28" customHeight="1" thickBot="1" x14ac:dyDescent="0.3">
      <c r="A37" s="94" t="s">
        <v>11</v>
      </c>
      <c r="B37" s="104" t="s">
        <v>91</v>
      </c>
      <c r="C37" s="94"/>
      <c r="D37" s="94" t="s">
        <v>12</v>
      </c>
      <c r="E37" s="94"/>
      <c r="F37" s="95" t="s">
        <v>13</v>
      </c>
      <c r="G37" s="94"/>
      <c r="H37" s="95" t="s">
        <v>1</v>
      </c>
      <c r="I37" s="102"/>
      <c r="J37" s="98" t="s">
        <v>14</v>
      </c>
      <c r="K37" s="98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115"/>
      <c r="BC37" s="115"/>
      <c r="BD37" s="115"/>
      <c r="BE37" s="115"/>
      <c r="BF37" s="115"/>
      <c r="BG37" s="115"/>
      <c r="BH37" s="115"/>
      <c r="BI37" s="115"/>
      <c r="BJ37" s="115"/>
      <c r="BK37" s="115"/>
      <c r="BL37" s="115"/>
      <c r="BM37" s="115"/>
      <c r="BN37" s="115"/>
      <c r="BO37" s="115"/>
      <c r="BP37" s="115"/>
      <c r="BQ37" s="115"/>
      <c r="BR37" s="115"/>
      <c r="BS37" s="115"/>
      <c r="BT37" s="115"/>
      <c r="BU37" s="115"/>
      <c r="BV37" s="115"/>
      <c r="BW37" s="115"/>
      <c r="BX37" s="115"/>
      <c r="BY37" s="115"/>
      <c r="BZ37" s="115"/>
      <c r="CA37" s="115"/>
      <c r="CB37" s="115"/>
      <c r="CC37" s="115"/>
      <c r="CD37" s="115"/>
      <c r="CE37" s="115"/>
      <c r="CF37" s="115"/>
      <c r="CG37" s="115"/>
      <c r="CH37" s="115"/>
      <c r="CI37" s="115"/>
      <c r="CJ37" s="115"/>
      <c r="CK37" s="115"/>
      <c r="CL37" s="115"/>
      <c r="CM37" s="115"/>
      <c r="CN37" s="115"/>
      <c r="CO37" s="115"/>
      <c r="CP37" s="115"/>
      <c r="CQ37" s="115"/>
      <c r="CR37" s="115"/>
      <c r="CS37" s="115"/>
      <c r="CT37" s="115"/>
      <c r="CU37" s="115"/>
      <c r="CV37" s="115"/>
      <c r="CW37" s="115"/>
      <c r="CX37" s="115"/>
      <c r="CY37" s="115"/>
      <c r="CZ37" s="115"/>
      <c r="DA37" s="115"/>
      <c r="DB37" s="115"/>
      <c r="DC37" s="115"/>
      <c r="DD37" s="115"/>
      <c r="DE37" s="115"/>
      <c r="DF37" s="115"/>
      <c r="DG37" s="115"/>
      <c r="DH37" s="115"/>
      <c r="DI37" s="115"/>
      <c r="DJ37" s="115"/>
      <c r="DK37" s="115"/>
      <c r="DL37" s="115"/>
      <c r="DM37" s="115"/>
      <c r="DN37" s="115"/>
      <c r="DO37" s="115"/>
      <c r="DP37" s="115"/>
      <c r="DQ37" s="115"/>
      <c r="DR37" s="115"/>
      <c r="DS37" s="115"/>
      <c r="DT37" s="115"/>
      <c r="DU37" s="115"/>
      <c r="DV37" s="115"/>
      <c r="DW37" s="115"/>
      <c r="DX37" s="115"/>
      <c r="DY37" s="115"/>
      <c r="DZ37" s="115"/>
      <c r="EA37" s="115"/>
      <c r="EB37" s="115"/>
      <c r="EC37" s="115"/>
      <c r="ED37" s="115"/>
      <c r="EE37" s="115"/>
      <c r="EF37" s="115"/>
      <c r="EG37" s="115"/>
      <c r="EH37" s="115"/>
      <c r="EI37" s="115"/>
      <c r="EJ37" s="115"/>
      <c r="EK37" s="115"/>
      <c r="EL37" s="115"/>
      <c r="EM37" s="115"/>
      <c r="EN37" s="115"/>
      <c r="EO37" s="115"/>
      <c r="EP37" s="115"/>
      <c r="EQ37" s="115"/>
      <c r="ER37" s="115"/>
      <c r="ES37" s="115"/>
      <c r="ET37" s="115"/>
      <c r="EU37" s="115"/>
      <c r="EV37" s="115"/>
      <c r="EW37" s="115"/>
      <c r="EX37" s="115"/>
      <c r="EY37" s="115"/>
      <c r="EZ37" s="115"/>
      <c r="FA37" s="115"/>
      <c r="FB37" s="115"/>
      <c r="FC37" s="115"/>
      <c r="FD37" s="115"/>
      <c r="FE37" s="115"/>
      <c r="FF37" s="115"/>
      <c r="FG37" s="115"/>
      <c r="FH37" s="115"/>
      <c r="FI37" s="115"/>
      <c r="FJ37" s="115"/>
      <c r="FK37" s="115"/>
      <c r="FL37" s="115"/>
      <c r="FM37" s="115"/>
      <c r="FN37" s="115"/>
      <c r="FO37" s="115"/>
      <c r="FP37" s="115"/>
      <c r="FQ37" s="115"/>
      <c r="FR37" s="115"/>
      <c r="FS37" s="115"/>
      <c r="FT37" s="115"/>
      <c r="FU37" s="115"/>
      <c r="FV37" s="115"/>
      <c r="FW37" s="115"/>
      <c r="FX37" s="115"/>
      <c r="FY37" s="115"/>
      <c r="FZ37" s="115"/>
      <c r="GA37" s="115"/>
      <c r="GB37" s="115"/>
      <c r="GC37" s="115"/>
      <c r="GD37" s="115"/>
      <c r="GE37" s="115"/>
      <c r="GF37" s="115"/>
      <c r="GG37" s="115"/>
      <c r="GH37" s="115"/>
      <c r="GI37" s="115"/>
      <c r="GJ37" s="115"/>
      <c r="GK37" s="115"/>
      <c r="GL37" s="115"/>
      <c r="GM37" s="115"/>
      <c r="GN37" s="115"/>
      <c r="GO37" s="115"/>
      <c r="GP37" s="115"/>
      <c r="GQ37" s="115"/>
      <c r="GR37" s="115"/>
      <c r="GS37" s="115"/>
      <c r="GT37" s="115"/>
      <c r="GU37" s="115"/>
      <c r="GV37" s="115"/>
      <c r="GW37" s="115"/>
      <c r="GX37" s="115"/>
      <c r="GY37" s="115"/>
      <c r="GZ37" s="115"/>
      <c r="HA37" s="115"/>
      <c r="HB37" s="115"/>
      <c r="HC37" s="115"/>
      <c r="HD37" s="115"/>
      <c r="HE37" s="115"/>
      <c r="HF37" s="115"/>
      <c r="HG37" s="115"/>
    </row>
    <row r="38" spans="1:215" s="101" customFormat="1" ht="12" customHeight="1" x14ac:dyDescent="0.25">
      <c r="A38" s="90"/>
      <c r="B38" s="90"/>
      <c r="C38" s="90"/>
      <c r="D38" s="91"/>
      <c r="E38" s="90"/>
      <c r="F38" s="91"/>
      <c r="G38" s="90"/>
      <c r="H38" s="91"/>
      <c r="I38" s="97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115"/>
      <c r="BC38" s="115"/>
      <c r="BD38" s="115"/>
      <c r="BE38" s="115"/>
      <c r="BF38" s="115"/>
      <c r="BG38" s="115"/>
      <c r="BH38" s="115"/>
      <c r="BI38" s="115"/>
      <c r="BJ38" s="115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115"/>
      <c r="CG38" s="115"/>
      <c r="CH38" s="115"/>
      <c r="CI38" s="115"/>
      <c r="CJ38" s="115"/>
      <c r="CK38" s="115"/>
      <c r="CL38" s="115"/>
      <c r="CM38" s="115"/>
      <c r="CN38" s="115"/>
      <c r="CO38" s="115"/>
      <c r="CP38" s="115"/>
      <c r="CQ38" s="115"/>
      <c r="CR38" s="115"/>
      <c r="CS38" s="115"/>
      <c r="CT38" s="115"/>
      <c r="CU38" s="115"/>
      <c r="CV38" s="115"/>
      <c r="CW38" s="115"/>
      <c r="CX38" s="115"/>
      <c r="CY38" s="115"/>
      <c r="CZ38" s="115"/>
      <c r="DA38" s="115"/>
      <c r="DB38" s="115"/>
      <c r="DC38" s="115"/>
      <c r="DD38" s="115"/>
      <c r="DE38" s="115"/>
      <c r="DF38" s="115"/>
      <c r="DG38" s="115"/>
      <c r="DH38" s="115"/>
      <c r="DI38" s="115"/>
      <c r="DJ38" s="115"/>
      <c r="DK38" s="115"/>
      <c r="DL38" s="115"/>
      <c r="DM38" s="115"/>
      <c r="DN38" s="115"/>
      <c r="DO38" s="115"/>
      <c r="DP38" s="115"/>
      <c r="DQ38" s="115"/>
      <c r="DR38" s="115"/>
      <c r="DS38" s="115"/>
      <c r="DT38" s="115"/>
      <c r="DU38" s="115"/>
      <c r="DV38" s="115"/>
      <c r="DW38" s="115"/>
      <c r="DX38" s="115"/>
      <c r="DY38" s="115"/>
      <c r="DZ38" s="115"/>
      <c r="EA38" s="115"/>
      <c r="EB38" s="115"/>
      <c r="EC38" s="115"/>
      <c r="ED38" s="115"/>
      <c r="EE38" s="115"/>
      <c r="EF38" s="115"/>
      <c r="EG38" s="115"/>
      <c r="EH38" s="115"/>
      <c r="EI38" s="115"/>
      <c r="EJ38" s="115"/>
      <c r="EK38" s="115"/>
      <c r="EL38" s="115"/>
      <c r="EM38" s="115"/>
      <c r="EN38" s="115"/>
      <c r="EO38" s="115"/>
      <c r="EP38" s="115"/>
      <c r="EQ38" s="115"/>
      <c r="ER38" s="115"/>
      <c r="ES38" s="115"/>
      <c r="ET38" s="115"/>
      <c r="EU38" s="115"/>
      <c r="EV38" s="115"/>
      <c r="EW38" s="115"/>
      <c r="EX38" s="115"/>
      <c r="EY38" s="115"/>
      <c r="EZ38" s="115"/>
      <c r="FA38" s="115"/>
      <c r="FB38" s="115"/>
      <c r="FC38" s="115"/>
      <c r="FD38" s="115"/>
      <c r="FE38" s="115"/>
      <c r="FF38" s="115"/>
      <c r="FG38" s="115"/>
      <c r="FH38" s="115"/>
      <c r="FI38" s="115"/>
      <c r="FJ38" s="115"/>
      <c r="FK38" s="115"/>
      <c r="FL38" s="115"/>
      <c r="FM38" s="115"/>
      <c r="FN38" s="115"/>
      <c r="FO38" s="115"/>
      <c r="FP38" s="115"/>
      <c r="FQ38" s="115"/>
      <c r="FR38" s="115"/>
      <c r="FS38" s="115"/>
      <c r="FT38" s="115"/>
      <c r="FU38" s="115"/>
      <c r="FV38" s="115"/>
      <c r="FW38" s="115"/>
      <c r="FX38" s="115"/>
      <c r="FY38" s="115"/>
      <c r="FZ38" s="115"/>
      <c r="GA38" s="115"/>
      <c r="GB38" s="115"/>
      <c r="GC38" s="115"/>
      <c r="GD38" s="115"/>
      <c r="GE38" s="115"/>
      <c r="GF38" s="115"/>
      <c r="GG38" s="115"/>
      <c r="GH38" s="115"/>
      <c r="GI38" s="115"/>
      <c r="GJ38" s="115"/>
      <c r="GK38" s="115"/>
      <c r="GL38" s="115"/>
      <c r="GM38" s="115"/>
      <c r="GN38" s="115"/>
      <c r="GO38" s="115"/>
      <c r="GP38" s="115"/>
      <c r="GQ38" s="115"/>
      <c r="GR38" s="115"/>
      <c r="GS38" s="115"/>
      <c r="GT38" s="115"/>
      <c r="GU38" s="115"/>
      <c r="GV38" s="115"/>
      <c r="GW38" s="115"/>
      <c r="GX38" s="115"/>
      <c r="GY38" s="115"/>
      <c r="GZ38" s="115"/>
      <c r="HA38" s="115"/>
      <c r="HB38" s="115"/>
      <c r="HC38" s="115"/>
      <c r="HD38" s="115"/>
      <c r="HE38" s="115"/>
      <c r="HF38" s="115"/>
      <c r="HG38" s="115"/>
    </row>
    <row r="39" spans="1:215" s="101" customFormat="1" ht="25" x14ac:dyDescent="0.25">
      <c r="A39" s="92" t="str" cm="1">
        <f t="array" aca="1" ref="A39:A40" ca="1">_xlfn._xlws.FILTER(CURRENCY, (CURRENCY_VALUE &gt; 5))</f>
        <v>XRP</v>
      </c>
      <c r="B39" s="105" cm="1">
        <f t="array" aca="1" ref="B39:B40" ca="1">INDEX(PRICES,MATCH(_xlfn._xlws.FILTER(CURRENCY,(CURRENCY_VALUE&gt;5)),PRICES_SYMBOL,0))</f>
        <v>0.61392024999999995</v>
      </c>
      <c r="C39" s="92"/>
      <c r="D39" s="103" cm="1">
        <f t="array" aca="1" ref="D39:D40" ca="1">_xlfn._xlws.FILTER(CURRENT_QUANTITY, (CURRENCY_VALUE &gt; 5))</f>
        <v>12273.445639000001</v>
      </c>
      <c r="E39" s="92"/>
      <c r="F39" s="93" cm="1">
        <f t="array" aca="1" ref="F39:F40" ca="1">_xlfn._xlws.FILTER(CURRENCY_VALUE, (CURRENCY_VALUE &gt; 5))</f>
        <v>7534.91681505629</v>
      </c>
      <c r="G39" s="92"/>
      <c r="H39" s="93" cm="1">
        <f t="array" aca="1" ref="H39:H40" ca="1">_xlfn._xlws.FILTER(CURRENT_COST_BASIS, (CURRENCY_VALUE &gt; 5))</f>
        <v>7082.42</v>
      </c>
      <c r="I39" s="97"/>
      <c r="J39" s="100" cm="1">
        <f t="array" aca="1" ref="J39:J40" ca="1">_xlfn._xlws.FILTER(UNREALIZED_RETURN, (CURRENCY_VALUE &gt; 5))</f>
        <v>452.49681505628996</v>
      </c>
      <c r="K39" s="99" cm="1">
        <f t="array" aca="1" ref="K39:K40" ca="1">_xlfn._xlws.FILTER(UNREALIZED_RETURN, (CURRENCY_VALUE &gt; 5)) / _xlfn._xlws.FILTER(CURRENT_COST_BASIS, (CURRENCY_VALUE &gt; 5))</f>
        <v>6.3890141372057854E-2</v>
      </c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5"/>
      <c r="BX39" s="115"/>
      <c r="BY39" s="115"/>
      <c r="BZ39" s="115"/>
      <c r="CA39" s="115"/>
      <c r="CB39" s="115"/>
      <c r="CC39" s="115"/>
      <c r="CD39" s="115"/>
      <c r="CE39" s="115"/>
      <c r="CF39" s="115"/>
      <c r="CG39" s="115"/>
      <c r="CH39" s="115"/>
      <c r="CI39" s="115"/>
      <c r="CJ39" s="115"/>
      <c r="CK39" s="115"/>
      <c r="CL39" s="115"/>
      <c r="CM39" s="115"/>
      <c r="CN39" s="115"/>
      <c r="CO39" s="115"/>
      <c r="CP39" s="115"/>
      <c r="CQ39" s="115"/>
      <c r="CR39" s="115"/>
      <c r="CS39" s="115"/>
      <c r="CT39" s="115"/>
      <c r="CU39" s="115"/>
      <c r="CV39" s="115"/>
      <c r="CW39" s="115"/>
      <c r="CX39" s="115"/>
      <c r="CY39" s="115"/>
      <c r="CZ39" s="115"/>
      <c r="DA39" s="115"/>
      <c r="DB39" s="115"/>
      <c r="DC39" s="115"/>
      <c r="DD39" s="115"/>
      <c r="DE39" s="115"/>
      <c r="DF39" s="115"/>
      <c r="DG39" s="115"/>
      <c r="DH39" s="115"/>
      <c r="DI39" s="115"/>
      <c r="DJ39" s="115"/>
      <c r="DK39" s="115"/>
      <c r="DL39" s="115"/>
      <c r="DM39" s="115"/>
      <c r="DN39" s="115"/>
      <c r="DO39" s="115"/>
      <c r="DP39" s="115"/>
      <c r="DQ39" s="115"/>
      <c r="DR39" s="115"/>
      <c r="DS39" s="115"/>
      <c r="DT39" s="115"/>
      <c r="DU39" s="115"/>
      <c r="DV39" s="115"/>
      <c r="DW39" s="115"/>
      <c r="DX39" s="115"/>
      <c r="DY39" s="115"/>
      <c r="DZ39" s="115"/>
      <c r="EA39" s="115"/>
      <c r="EB39" s="115"/>
      <c r="EC39" s="115"/>
      <c r="ED39" s="115"/>
      <c r="EE39" s="115"/>
      <c r="EF39" s="115"/>
      <c r="EG39" s="115"/>
      <c r="EH39" s="115"/>
      <c r="EI39" s="115"/>
      <c r="EJ39" s="115"/>
      <c r="EK39" s="115"/>
      <c r="EL39" s="115"/>
      <c r="EM39" s="115"/>
      <c r="EN39" s="115"/>
      <c r="EO39" s="115"/>
      <c r="EP39" s="115"/>
      <c r="EQ39" s="115"/>
      <c r="ER39" s="115"/>
      <c r="ES39" s="115"/>
      <c r="ET39" s="115"/>
      <c r="EU39" s="115"/>
      <c r="EV39" s="115"/>
      <c r="EW39" s="115"/>
      <c r="EX39" s="115"/>
      <c r="EY39" s="115"/>
      <c r="EZ39" s="115"/>
      <c r="FA39" s="115"/>
      <c r="FB39" s="115"/>
      <c r="FC39" s="115"/>
      <c r="FD39" s="115"/>
      <c r="FE39" s="115"/>
      <c r="FF39" s="115"/>
      <c r="FG39" s="115"/>
      <c r="FH39" s="115"/>
      <c r="FI39" s="115"/>
      <c r="FJ39" s="115"/>
      <c r="FK39" s="115"/>
      <c r="FL39" s="115"/>
      <c r="FM39" s="115"/>
      <c r="FN39" s="115"/>
      <c r="FO39" s="115"/>
      <c r="FP39" s="115"/>
      <c r="FQ39" s="115"/>
      <c r="FR39" s="115"/>
      <c r="FS39" s="115"/>
      <c r="FT39" s="115"/>
      <c r="FU39" s="115"/>
      <c r="FV39" s="115"/>
      <c r="FW39" s="115"/>
      <c r="FX39" s="115"/>
      <c r="FY39" s="115"/>
      <c r="FZ39" s="115"/>
      <c r="GA39" s="115"/>
      <c r="GB39" s="115"/>
      <c r="GC39" s="115"/>
      <c r="GD39" s="115"/>
      <c r="GE39" s="115"/>
      <c r="GF39" s="115"/>
      <c r="GG39" s="115"/>
      <c r="GH39" s="115"/>
      <c r="GI39" s="115"/>
      <c r="GJ39" s="115"/>
      <c r="GK39" s="115"/>
      <c r="GL39" s="115"/>
      <c r="GM39" s="115"/>
      <c r="GN39" s="115"/>
      <c r="GO39" s="115"/>
      <c r="GP39" s="115"/>
      <c r="GQ39" s="115"/>
      <c r="GR39" s="115"/>
      <c r="GS39" s="115"/>
      <c r="GT39" s="115"/>
      <c r="GU39" s="115"/>
      <c r="GV39" s="115"/>
      <c r="GW39" s="115"/>
      <c r="GX39" s="115"/>
      <c r="GY39" s="115"/>
      <c r="GZ39" s="115"/>
      <c r="HA39" s="115"/>
      <c r="HB39" s="115"/>
      <c r="HC39" s="115"/>
      <c r="HD39" s="115"/>
      <c r="HE39" s="115"/>
      <c r="HF39" s="115"/>
      <c r="HG39" s="115"/>
    </row>
    <row r="40" spans="1:215" s="101" customFormat="1" ht="30" customHeight="1" x14ac:dyDescent="0.25">
      <c r="A40" s="92" t="str">
        <f ca="1"/>
        <v>HBAR</v>
      </c>
      <c r="B40" s="105">
        <f ca="1"/>
        <v>0.10069435</v>
      </c>
      <c r="C40" s="92"/>
      <c r="D40" s="103">
        <f ca="1"/>
        <v>81520.145294549991</v>
      </c>
      <c r="E40" s="92"/>
      <c r="F40" s="93">
        <f ca="1"/>
        <v>8208.6180423402693</v>
      </c>
      <c r="G40" s="92"/>
      <c r="H40" s="93">
        <f ca="1"/>
        <v>5000</v>
      </c>
      <c r="I40" s="97"/>
      <c r="J40" s="100">
        <f ca="1"/>
        <v>3208.6180423402693</v>
      </c>
      <c r="K40" s="99">
        <f ca="1"/>
        <v>0.64172360846805387</v>
      </c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5"/>
      <c r="CL40" s="115"/>
      <c r="CM40" s="115"/>
      <c r="CN40" s="115"/>
      <c r="CO40" s="115"/>
      <c r="CP40" s="115"/>
      <c r="CQ40" s="115"/>
      <c r="CR40" s="115"/>
      <c r="CS40" s="115"/>
      <c r="CT40" s="115"/>
      <c r="CU40" s="115"/>
      <c r="CV40" s="115"/>
      <c r="CW40" s="115"/>
      <c r="CX40" s="115"/>
      <c r="CY40" s="115"/>
      <c r="CZ40" s="115"/>
      <c r="DA40" s="115"/>
      <c r="DB40" s="115"/>
      <c r="DC40" s="115"/>
      <c r="DD40" s="115"/>
      <c r="DE40" s="115"/>
      <c r="DF40" s="115"/>
      <c r="DG40" s="115"/>
      <c r="DH40" s="115"/>
      <c r="DI40" s="115"/>
      <c r="DJ40" s="115"/>
      <c r="DK40" s="115"/>
      <c r="DL40" s="115"/>
      <c r="DM40" s="115"/>
      <c r="DN40" s="115"/>
      <c r="DO40" s="115"/>
      <c r="DP40" s="115"/>
      <c r="DQ40" s="115"/>
      <c r="DR40" s="115"/>
      <c r="DS40" s="115"/>
      <c r="DT40" s="115"/>
      <c r="DU40" s="115"/>
      <c r="DV40" s="115"/>
      <c r="DW40" s="115"/>
      <c r="DX40" s="115"/>
      <c r="DY40" s="115"/>
      <c r="DZ40" s="115"/>
      <c r="EA40" s="115"/>
      <c r="EB40" s="115"/>
      <c r="EC40" s="115"/>
      <c r="ED40" s="115"/>
      <c r="EE40" s="115"/>
      <c r="EF40" s="115"/>
      <c r="EG40" s="115"/>
      <c r="EH40" s="115"/>
      <c r="EI40" s="115"/>
      <c r="EJ40" s="115"/>
      <c r="EK40" s="115"/>
      <c r="EL40" s="115"/>
      <c r="EM40" s="115"/>
      <c r="EN40" s="115"/>
      <c r="EO40" s="115"/>
      <c r="EP40" s="115"/>
      <c r="EQ40" s="115"/>
      <c r="ER40" s="115"/>
      <c r="ES40" s="115"/>
      <c r="ET40" s="115"/>
      <c r="EU40" s="115"/>
      <c r="EV40" s="115"/>
      <c r="EW40" s="115"/>
      <c r="EX40" s="115"/>
      <c r="EY40" s="115"/>
      <c r="EZ40" s="115"/>
      <c r="FA40" s="115"/>
      <c r="FB40" s="115"/>
      <c r="FC40" s="115"/>
      <c r="FD40" s="115"/>
      <c r="FE40" s="115"/>
      <c r="FF40" s="115"/>
      <c r="FG40" s="115"/>
      <c r="FH40" s="115"/>
      <c r="FI40" s="115"/>
      <c r="FJ40" s="115"/>
      <c r="FK40" s="115"/>
      <c r="FL40" s="115"/>
      <c r="FM40" s="115"/>
      <c r="FN40" s="115"/>
      <c r="FO40" s="115"/>
      <c r="FP40" s="115"/>
      <c r="FQ40" s="115"/>
      <c r="FR40" s="115"/>
      <c r="FS40" s="115"/>
      <c r="FT40" s="115"/>
      <c r="FU40" s="115"/>
      <c r="FV40" s="115"/>
      <c r="FW40" s="115"/>
      <c r="FX40" s="115"/>
      <c r="FY40" s="115"/>
      <c r="FZ40" s="115"/>
      <c r="GA40" s="115"/>
      <c r="GB40" s="115"/>
      <c r="GC40" s="115"/>
      <c r="GD40" s="115"/>
      <c r="GE40" s="115"/>
      <c r="GF40" s="115"/>
      <c r="GG40" s="115"/>
      <c r="GH40" s="115"/>
      <c r="GI40" s="115"/>
      <c r="GJ40" s="115"/>
      <c r="GK40" s="115"/>
      <c r="GL40" s="115"/>
      <c r="GM40" s="115"/>
      <c r="GN40" s="115"/>
      <c r="GO40" s="115"/>
      <c r="GP40" s="115"/>
      <c r="GQ40" s="115"/>
      <c r="GR40" s="115"/>
      <c r="GS40" s="115"/>
      <c r="GT40" s="115"/>
      <c r="GU40" s="115"/>
      <c r="GV40" s="115"/>
      <c r="GW40" s="115"/>
      <c r="GX40" s="115"/>
      <c r="GY40" s="115"/>
      <c r="GZ40" s="115"/>
      <c r="HA40" s="115"/>
      <c r="HB40" s="115"/>
      <c r="HC40" s="115"/>
      <c r="HD40" s="115"/>
      <c r="HE40" s="115"/>
      <c r="HF40" s="115"/>
      <c r="HG40" s="115"/>
    </row>
    <row r="42" spans="1:215" x14ac:dyDescent="0.2">
      <c r="M42" s="39" t="s">
        <v>92</v>
      </c>
    </row>
  </sheetData>
  <mergeCells count="10">
    <mergeCell ref="J37:K37"/>
    <mergeCell ref="G5:H6"/>
    <mergeCell ref="I5:I6"/>
    <mergeCell ref="J5:J6"/>
    <mergeCell ref="A1:E3"/>
    <mergeCell ref="A5:B6"/>
    <mergeCell ref="A7:B9"/>
    <mergeCell ref="D7:E9"/>
    <mergeCell ref="M9:N10"/>
    <mergeCell ref="D5:E6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55"/>
  <sheetViews>
    <sheetView zoomScale="92" workbookViewId="0">
      <pane ySplit="1" topLeftCell="A135" activePane="bottomLeft" state="frozen"/>
      <selection activeCell="D1" sqref="D1"/>
      <selection pane="bottomLeft" activeCell="I59" sqref="I59"/>
    </sheetView>
  </sheetViews>
  <sheetFormatPr baseColWidth="10" defaultRowHeight="16" x14ac:dyDescent="0.2"/>
  <cols>
    <col min="1" max="1" width="15.5703125" style="2" customWidth="1"/>
    <col min="2" max="2" width="21.5703125" style="6" customWidth="1"/>
    <col min="3" max="3" width="20.85546875" style="4" customWidth="1"/>
    <col min="4" max="4" width="22.5703125" style="4" customWidth="1"/>
    <col min="5" max="5" width="28.85546875" style="5" customWidth="1"/>
    <col min="6" max="6" width="17" style="7" customWidth="1"/>
    <col min="7" max="7" width="19" style="7" customWidth="1"/>
    <col min="8" max="8" width="23.7109375" style="8" customWidth="1"/>
    <col min="9" max="9" width="15.5703125" style="1" customWidth="1"/>
    <col min="10" max="10" width="16" style="1" customWidth="1"/>
    <col min="11" max="11" width="23" style="9" customWidth="1"/>
    <col min="12" max="12" width="24.28515625" style="3" customWidth="1"/>
    <col min="13" max="13" width="28.28515625" style="3" customWidth="1"/>
  </cols>
  <sheetData>
    <row r="1" spans="1:13" ht="19" customHeight="1" x14ac:dyDescent="0.2">
      <c r="A1" s="29" t="s">
        <v>17</v>
      </c>
      <c r="B1" s="30" t="s">
        <v>18</v>
      </c>
      <c r="C1" s="31" t="s">
        <v>19</v>
      </c>
      <c r="D1" s="31" t="s">
        <v>20</v>
      </c>
      <c r="E1" s="32" t="s">
        <v>21</v>
      </c>
      <c r="F1" s="33" t="s">
        <v>22</v>
      </c>
      <c r="G1" s="33" t="s">
        <v>23</v>
      </c>
      <c r="H1" s="34" t="s">
        <v>24</v>
      </c>
      <c r="I1" s="35" t="s">
        <v>25</v>
      </c>
      <c r="J1" s="35" t="s">
        <v>26</v>
      </c>
      <c r="K1" s="36" t="s">
        <v>27</v>
      </c>
      <c r="L1" s="37" t="s">
        <v>28</v>
      </c>
      <c r="M1" s="38" t="s">
        <v>29</v>
      </c>
    </row>
    <row r="2" spans="1:13" s="40" customFormat="1" x14ac:dyDescent="0.2">
      <c r="A2" s="41">
        <v>45345.194444444453</v>
      </c>
      <c r="B2" s="42" t="s">
        <v>30</v>
      </c>
      <c r="C2" s="43">
        <v>3616.6573899999999</v>
      </c>
      <c r="D2" s="43" t="s">
        <v>15</v>
      </c>
      <c r="E2" s="44">
        <v>1970.64</v>
      </c>
      <c r="F2" s="45">
        <v>3616.6573899999999</v>
      </c>
      <c r="G2" s="45" t="s">
        <v>15</v>
      </c>
      <c r="H2" s="46">
        <v>1970.64</v>
      </c>
      <c r="I2" s="47"/>
      <c r="J2" s="47"/>
      <c r="K2" s="48"/>
      <c r="L2" s="49"/>
      <c r="M2" s="50"/>
    </row>
    <row r="3" spans="1:13" s="40" customFormat="1" x14ac:dyDescent="0.2">
      <c r="A3" s="41">
        <v>45345.19027777778</v>
      </c>
      <c r="B3" s="42" t="s">
        <v>31</v>
      </c>
      <c r="C3" s="43">
        <v>3616.6573899999999</v>
      </c>
      <c r="D3" s="43" t="s">
        <v>15</v>
      </c>
      <c r="E3" s="44">
        <v>1970.64</v>
      </c>
      <c r="F3" s="45"/>
      <c r="G3" s="45"/>
      <c r="H3" s="46"/>
      <c r="I3" s="47">
        <v>29.36</v>
      </c>
      <c r="J3" s="47" t="s">
        <v>32</v>
      </c>
      <c r="K3" s="48">
        <v>29.36</v>
      </c>
      <c r="L3" s="49"/>
      <c r="M3" s="50"/>
    </row>
    <row r="4" spans="1:13" x14ac:dyDescent="0.2">
      <c r="A4" s="10">
        <v>45327.971851851849</v>
      </c>
      <c r="B4" s="11" t="s">
        <v>31</v>
      </c>
      <c r="C4" s="12">
        <v>10.87677555</v>
      </c>
      <c r="D4" s="12" t="s">
        <v>16</v>
      </c>
      <c r="E4" s="13">
        <v>0.74</v>
      </c>
      <c r="F4" s="14"/>
      <c r="G4" s="14"/>
      <c r="H4" s="15"/>
      <c r="I4" s="16">
        <v>1.4769900000000001E-3</v>
      </c>
      <c r="J4" s="16" t="s">
        <v>16</v>
      </c>
      <c r="K4" s="17">
        <v>0</v>
      </c>
      <c r="L4" s="18"/>
      <c r="M4" s="19">
        <v>0</v>
      </c>
    </row>
    <row r="5" spans="1:13" x14ac:dyDescent="0.2">
      <c r="A5" s="10">
        <v>45320.480104166672</v>
      </c>
      <c r="B5" s="11" t="s">
        <v>31</v>
      </c>
      <c r="C5" s="12">
        <v>72.684001640000005</v>
      </c>
      <c r="D5" s="12" t="s">
        <v>16</v>
      </c>
      <c r="E5" s="13">
        <v>5.33</v>
      </c>
      <c r="F5" s="14"/>
      <c r="G5" s="14"/>
      <c r="H5" s="15"/>
      <c r="I5" s="16">
        <v>1.38708E-3</v>
      </c>
      <c r="J5" s="16" t="s">
        <v>16</v>
      </c>
      <c r="K5" s="17">
        <v>0</v>
      </c>
      <c r="L5" s="18"/>
      <c r="M5" s="19">
        <v>0</v>
      </c>
    </row>
    <row r="6" spans="1:13" x14ac:dyDescent="0.2">
      <c r="A6" s="10">
        <v>45281.831469907411</v>
      </c>
      <c r="B6" s="11" t="s">
        <v>31</v>
      </c>
      <c r="C6" s="12">
        <v>34.129637819999999</v>
      </c>
      <c r="D6" s="12" t="s">
        <v>16</v>
      </c>
      <c r="E6" s="13">
        <v>2.97</v>
      </c>
      <c r="F6" s="14"/>
      <c r="G6" s="14"/>
      <c r="H6" s="15"/>
      <c r="I6" s="16">
        <v>1.12359E-3</v>
      </c>
      <c r="J6" s="16" t="s">
        <v>16</v>
      </c>
      <c r="K6" s="17">
        <v>0</v>
      </c>
      <c r="L6" s="18"/>
      <c r="M6" s="19">
        <v>0</v>
      </c>
    </row>
    <row r="7" spans="1:13" x14ac:dyDescent="0.2">
      <c r="A7" s="10">
        <v>45268.5000462963</v>
      </c>
      <c r="B7" s="11" t="s">
        <v>30</v>
      </c>
      <c r="C7" s="12">
        <v>2.5099999999999998E-4</v>
      </c>
      <c r="D7" s="12" t="s">
        <v>33</v>
      </c>
      <c r="E7" s="13">
        <v>0</v>
      </c>
      <c r="F7" s="14">
        <v>2.5099999999999998E-4</v>
      </c>
      <c r="G7" s="14" t="s">
        <v>33</v>
      </c>
      <c r="H7" s="15">
        <v>0</v>
      </c>
      <c r="I7" s="16"/>
      <c r="J7" s="16"/>
      <c r="K7" s="17"/>
      <c r="L7" s="18">
        <v>0</v>
      </c>
      <c r="M7" s="19"/>
    </row>
    <row r="8" spans="1:13" x14ac:dyDescent="0.2">
      <c r="A8" s="10">
        <v>45266.919039351851</v>
      </c>
      <c r="B8" s="11" t="s">
        <v>31</v>
      </c>
      <c r="C8" s="12">
        <v>48.302981090000003</v>
      </c>
      <c r="D8" s="12" t="s">
        <v>16</v>
      </c>
      <c r="E8" s="13">
        <v>3.18</v>
      </c>
      <c r="F8" s="14"/>
      <c r="G8" s="14"/>
      <c r="H8" s="15"/>
      <c r="I8" s="16">
        <v>1.4703800000000001E-3</v>
      </c>
      <c r="J8" s="16" t="s">
        <v>16</v>
      </c>
      <c r="K8" s="17">
        <v>0</v>
      </c>
      <c r="L8" s="18"/>
      <c r="M8" s="19">
        <v>0</v>
      </c>
    </row>
    <row r="9" spans="1:13" x14ac:dyDescent="0.2">
      <c r="A9" s="10">
        <v>45254.750219907408</v>
      </c>
      <c r="B9" s="11" t="s">
        <v>30</v>
      </c>
      <c r="C9" s="12">
        <v>3.4547000000000001E-2</v>
      </c>
      <c r="D9" s="12" t="s">
        <v>33</v>
      </c>
      <c r="E9" s="13">
        <v>0</v>
      </c>
      <c r="F9" s="14">
        <v>3.4547000000000001E-2</v>
      </c>
      <c r="G9" s="14" t="s">
        <v>33</v>
      </c>
      <c r="H9" s="15">
        <v>0</v>
      </c>
      <c r="I9" s="16"/>
      <c r="J9" s="16"/>
      <c r="K9" s="17"/>
      <c r="L9" s="18">
        <v>0</v>
      </c>
      <c r="M9" s="19"/>
    </row>
    <row r="10" spans="1:13" x14ac:dyDescent="0.2">
      <c r="A10" s="10">
        <v>45250.833518518521</v>
      </c>
      <c r="B10" s="11" t="s">
        <v>30</v>
      </c>
      <c r="C10" s="12">
        <v>2.65E-6</v>
      </c>
      <c r="D10" s="12" t="s">
        <v>34</v>
      </c>
      <c r="E10" s="13">
        <v>0</v>
      </c>
      <c r="F10" s="14">
        <v>2.65E-6</v>
      </c>
      <c r="G10" s="14" t="s">
        <v>34</v>
      </c>
      <c r="H10" s="15">
        <v>0</v>
      </c>
      <c r="I10" s="16"/>
      <c r="J10" s="16"/>
      <c r="K10" s="17"/>
      <c r="L10" s="18">
        <v>0</v>
      </c>
      <c r="M10" s="19"/>
    </row>
    <row r="11" spans="1:13" x14ac:dyDescent="0.2">
      <c r="A11" s="10">
        <v>45247.933171296303</v>
      </c>
      <c r="B11" s="11" t="s">
        <v>31</v>
      </c>
      <c r="C11" s="12">
        <v>10.96719865</v>
      </c>
      <c r="D11" s="12" t="s">
        <v>16</v>
      </c>
      <c r="E11" s="13">
        <v>0.67</v>
      </c>
      <c r="F11" s="14"/>
      <c r="G11" s="14"/>
      <c r="H11" s="15"/>
      <c r="I11" s="16">
        <v>1.6597999999999999E-3</v>
      </c>
      <c r="J11" s="16" t="s">
        <v>16</v>
      </c>
      <c r="K11" s="17">
        <v>0</v>
      </c>
      <c r="L11" s="18"/>
      <c r="M11" s="19">
        <v>0</v>
      </c>
    </row>
    <row r="12" spans="1:13" x14ac:dyDescent="0.2">
      <c r="A12" s="10">
        <v>45246.916747685187</v>
      </c>
      <c r="B12" s="11" t="s">
        <v>30</v>
      </c>
      <c r="C12" s="12">
        <v>1.45E-4</v>
      </c>
      <c r="D12" s="12" t="s">
        <v>35</v>
      </c>
      <c r="E12" s="13">
        <v>0</v>
      </c>
      <c r="F12" s="14">
        <v>1.45E-4</v>
      </c>
      <c r="G12" s="14" t="s">
        <v>35</v>
      </c>
      <c r="H12" s="15">
        <v>0</v>
      </c>
      <c r="I12" s="16"/>
      <c r="J12" s="16"/>
      <c r="K12" s="17"/>
      <c r="L12" s="18">
        <v>0</v>
      </c>
      <c r="M12" s="19"/>
    </row>
    <row r="13" spans="1:13" x14ac:dyDescent="0.2">
      <c r="A13" s="10">
        <v>45243.922037037039</v>
      </c>
      <c r="B13" s="11" t="s">
        <v>31</v>
      </c>
      <c r="C13" s="12">
        <v>55.782606919999999</v>
      </c>
      <c r="D13" s="12" t="s">
        <v>16</v>
      </c>
      <c r="E13" s="13">
        <v>3.47</v>
      </c>
      <c r="F13" s="14"/>
      <c r="G13" s="14"/>
      <c r="H13" s="15"/>
      <c r="I13" s="16">
        <v>1.68936E-3</v>
      </c>
      <c r="J13" s="16" t="s">
        <v>16</v>
      </c>
      <c r="K13" s="17">
        <v>0</v>
      </c>
      <c r="L13" s="18"/>
      <c r="M13" s="19">
        <v>0</v>
      </c>
    </row>
    <row r="14" spans="1:13" x14ac:dyDescent="0.2">
      <c r="A14" s="10">
        <v>45236.666921296302</v>
      </c>
      <c r="B14" s="11" t="s">
        <v>30</v>
      </c>
      <c r="C14" s="12">
        <v>1.1867399999999999E-3</v>
      </c>
      <c r="D14" s="12" t="s">
        <v>34</v>
      </c>
      <c r="E14" s="13">
        <v>0</v>
      </c>
      <c r="F14" s="14">
        <v>1.1867399999999999E-3</v>
      </c>
      <c r="G14" s="14" t="s">
        <v>34</v>
      </c>
      <c r="H14" s="15">
        <v>0</v>
      </c>
      <c r="I14" s="16"/>
      <c r="J14" s="16"/>
      <c r="K14" s="17"/>
      <c r="L14" s="18">
        <v>0</v>
      </c>
      <c r="M14" s="19"/>
    </row>
    <row r="15" spans="1:13" x14ac:dyDescent="0.2">
      <c r="A15" s="10">
        <v>45234.106111111112</v>
      </c>
      <c r="B15" s="11" t="s">
        <v>30</v>
      </c>
      <c r="C15" s="12">
        <v>0.19414200000000001</v>
      </c>
      <c r="D15" s="12" t="s">
        <v>35</v>
      </c>
      <c r="E15" s="13">
        <v>0</v>
      </c>
      <c r="F15" s="14">
        <v>0.19414200000000001</v>
      </c>
      <c r="G15" s="14" t="s">
        <v>35</v>
      </c>
      <c r="H15" s="15">
        <v>0</v>
      </c>
      <c r="I15" s="16"/>
      <c r="J15" s="16"/>
      <c r="K15" s="17"/>
      <c r="L15" s="18">
        <v>0</v>
      </c>
      <c r="M15" s="19"/>
    </row>
    <row r="16" spans="1:13" x14ac:dyDescent="0.2">
      <c r="A16" s="10">
        <v>45230.472326388888</v>
      </c>
      <c r="B16" s="11" t="s">
        <v>36</v>
      </c>
      <c r="C16" s="12">
        <v>0.15995400000000001</v>
      </c>
      <c r="D16" s="12" t="s">
        <v>37</v>
      </c>
      <c r="E16" s="13">
        <v>0.16</v>
      </c>
      <c r="F16" s="14">
        <v>2.3085714300000002</v>
      </c>
      <c r="G16" s="14" t="s">
        <v>38</v>
      </c>
      <c r="H16" s="15">
        <v>0.16</v>
      </c>
      <c r="I16" s="16"/>
      <c r="J16" s="16"/>
      <c r="K16" s="17"/>
      <c r="L16" s="18">
        <v>0</v>
      </c>
      <c r="M16" s="19"/>
    </row>
    <row r="17" spans="1:13" x14ac:dyDescent="0.2">
      <c r="A17" s="10">
        <v>45224.691180555557</v>
      </c>
      <c r="B17" s="11" t="s">
        <v>31</v>
      </c>
      <c r="C17" s="12">
        <v>15.683454920000001</v>
      </c>
      <c r="D17" s="12" t="s">
        <v>16</v>
      </c>
      <c r="E17" s="13">
        <v>0.81</v>
      </c>
      <c r="F17" s="14"/>
      <c r="G17" s="14"/>
      <c r="H17" s="15"/>
      <c r="I17" s="16">
        <v>1.9652900000000002E-3</v>
      </c>
      <c r="J17" s="16" t="s">
        <v>16</v>
      </c>
      <c r="K17" s="17">
        <v>0</v>
      </c>
      <c r="L17" s="18"/>
      <c r="M17" s="19">
        <v>0</v>
      </c>
    </row>
    <row r="18" spans="1:13" x14ac:dyDescent="0.2">
      <c r="A18" s="10">
        <v>45219.758831018517</v>
      </c>
      <c r="B18" s="11" t="s">
        <v>31</v>
      </c>
      <c r="C18" s="12">
        <v>297.4689965</v>
      </c>
      <c r="D18" s="12" t="s">
        <v>16</v>
      </c>
      <c r="E18" s="13">
        <v>13.63</v>
      </c>
      <c r="F18" s="14"/>
      <c r="G18" s="14"/>
      <c r="H18" s="15"/>
      <c r="I18" s="16">
        <v>2.1617400000000001E-3</v>
      </c>
      <c r="J18" s="16" t="s">
        <v>16</v>
      </c>
      <c r="K18" s="17">
        <v>0</v>
      </c>
      <c r="L18" s="18"/>
      <c r="M18" s="19">
        <v>0</v>
      </c>
    </row>
    <row r="19" spans="1:13" x14ac:dyDescent="0.2">
      <c r="A19" s="10">
        <v>45146.037858796299</v>
      </c>
      <c r="B19" s="11" t="s">
        <v>30</v>
      </c>
      <c r="C19" s="12">
        <v>43801.362979999998</v>
      </c>
      <c r="D19" s="12" t="s">
        <v>16</v>
      </c>
      <c r="E19" s="13">
        <v>0</v>
      </c>
      <c r="F19" s="14">
        <v>43801.36297917</v>
      </c>
      <c r="G19" s="14" t="s">
        <v>16</v>
      </c>
      <c r="H19" s="15">
        <v>0</v>
      </c>
      <c r="I19" s="16">
        <v>1.80624E-3</v>
      </c>
      <c r="J19" s="16" t="s">
        <v>16</v>
      </c>
      <c r="K19" s="17">
        <v>0</v>
      </c>
      <c r="L19" s="18">
        <v>0</v>
      </c>
      <c r="M19" s="19">
        <v>0</v>
      </c>
    </row>
    <row r="20" spans="1:13" x14ac:dyDescent="0.2">
      <c r="A20" s="10">
        <v>45146.037858796299</v>
      </c>
      <c r="B20" s="11" t="s">
        <v>30</v>
      </c>
      <c r="C20" s="12"/>
      <c r="D20" s="12"/>
      <c r="E20" s="13"/>
      <c r="F20" s="14"/>
      <c r="G20" s="14"/>
      <c r="H20" s="15"/>
      <c r="I20" s="16">
        <v>1</v>
      </c>
      <c r="J20" s="16" t="s">
        <v>16</v>
      </c>
      <c r="K20" s="17">
        <v>0.06</v>
      </c>
      <c r="L20" s="18"/>
      <c r="M20" s="19">
        <v>0</v>
      </c>
    </row>
    <row r="21" spans="1:13" x14ac:dyDescent="0.2">
      <c r="A21" s="10">
        <v>45146.036030092589</v>
      </c>
      <c r="B21" s="11" t="s">
        <v>31</v>
      </c>
      <c r="C21" s="12">
        <v>470.261323</v>
      </c>
      <c r="D21" s="12" t="s">
        <v>16</v>
      </c>
      <c r="E21" s="13">
        <v>26.55</v>
      </c>
      <c r="F21" s="14"/>
      <c r="G21" s="14"/>
      <c r="H21" s="15"/>
      <c r="I21" s="16">
        <v>1.80624E-3</v>
      </c>
      <c r="J21" s="16" t="s">
        <v>16</v>
      </c>
      <c r="K21" s="17">
        <v>0</v>
      </c>
      <c r="L21" s="18"/>
      <c r="M21" s="19">
        <v>0</v>
      </c>
    </row>
    <row r="22" spans="1:13" x14ac:dyDescent="0.2">
      <c r="A22" s="10">
        <v>45146.03597222222</v>
      </c>
      <c r="B22" s="11" t="s">
        <v>39</v>
      </c>
      <c r="C22" s="12"/>
      <c r="D22" s="12" t="s">
        <v>32</v>
      </c>
      <c r="E22" s="13"/>
      <c r="F22" s="14">
        <v>84.666836000000004</v>
      </c>
      <c r="G22" s="14" t="s">
        <v>16</v>
      </c>
      <c r="H22" s="15">
        <v>4.9800000000000004</v>
      </c>
      <c r="I22" s="16">
        <v>1</v>
      </c>
      <c r="J22" s="16" t="s">
        <v>16</v>
      </c>
      <c r="K22" s="17">
        <v>0.06</v>
      </c>
      <c r="L22" s="18">
        <v>0.01</v>
      </c>
      <c r="M22" s="19">
        <v>0</v>
      </c>
    </row>
    <row r="23" spans="1:13" x14ac:dyDescent="0.2">
      <c r="A23" s="10">
        <v>45146.032858796287</v>
      </c>
      <c r="B23" s="11" t="s">
        <v>36</v>
      </c>
      <c r="C23" s="12">
        <v>43834.383661319996</v>
      </c>
      <c r="D23" s="12" t="s">
        <v>16</v>
      </c>
      <c r="E23" s="13">
        <v>2563.87</v>
      </c>
      <c r="F23" s="14">
        <v>1.44312946</v>
      </c>
      <c r="G23" s="14" t="s">
        <v>40</v>
      </c>
      <c r="H23" s="15">
        <v>2055.84</v>
      </c>
      <c r="I23" s="16"/>
      <c r="J23" s="16"/>
      <c r="K23" s="17"/>
      <c r="L23" s="18">
        <v>508.03</v>
      </c>
      <c r="M23" s="19"/>
    </row>
    <row r="24" spans="1:13" x14ac:dyDescent="0.2">
      <c r="A24" s="10">
        <v>45146.030590277784</v>
      </c>
      <c r="B24" s="11" t="s">
        <v>31</v>
      </c>
      <c r="C24" s="12">
        <v>53.646153849999997</v>
      </c>
      <c r="D24" s="12" t="s">
        <v>16</v>
      </c>
      <c r="E24" s="13">
        <v>3.17</v>
      </c>
      <c r="F24" s="14">
        <v>3.17</v>
      </c>
      <c r="G24" s="14" t="s">
        <v>32</v>
      </c>
      <c r="H24" s="15"/>
      <c r="I24" s="16"/>
      <c r="J24" s="16"/>
      <c r="K24" s="17"/>
      <c r="L24" s="18"/>
      <c r="M24" s="19"/>
    </row>
    <row r="25" spans="1:13" x14ac:dyDescent="0.2">
      <c r="A25" s="10">
        <v>45146.027060185188</v>
      </c>
      <c r="B25" s="11" t="s">
        <v>30</v>
      </c>
      <c r="C25" s="12">
        <v>1.44312946</v>
      </c>
      <c r="D25" s="12" t="s">
        <v>40</v>
      </c>
      <c r="E25" s="13">
        <v>0</v>
      </c>
      <c r="F25" s="14">
        <v>1.44312946</v>
      </c>
      <c r="G25" s="14" t="s">
        <v>40</v>
      </c>
      <c r="H25" s="15">
        <v>0</v>
      </c>
      <c r="I25" s="16">
        <v>3.0227999999999999E-4</v>
      </c>
      <c r="J25" s="16" t="s">
        <v>40</v>
      </c>
      <c r="K25" s="17">
        <v>0.36</v>
      </c>
      <c r="L25" s="18">
        <v>0</v>
      </c>
      <c r="M25" s="19">
        <v>0.2</v>
      </c>
    </row>
    <row r="26" spans="1:13" x14ac:dyDescent="0.2">
      <c r="A26" s="10">
        <v>45141.109305555547</v>
      </c>
      <c r="B26" s="11" t="s">
        <v>39</v>
      </c>
      <c r="C26" s="12">
        <v>3.17</v>
      </c>
      <c r="D26" s="12" t="s">
        <v>32</v>
      </c>
      <c r="E26" s="13"/>
      <c r="F26" s="14">
        <v>1.1001E-4</v>
      </c>
      <c r="G26" s="14" t="s">
        <v>41</v>
      </c>
      <c r="H26" s="15">
        <v>3.24</v>
      </c>
      <c r="I26" s="16"/>
      <c r="J26" s="16"/>
      <c r="K26" s="17"/>
      <c r="L26" s="18">
        <v>-7.0000000000000007E-2</v>
      </c>
      <c r="M26" s="19"/>
    </row>
    <row r="27" spans="1:13" x14ac:dyDescent="0.2">
      <c r="A27" s="10">
        <v>45140.752222222232</v>
      </c>
      <c r="B27" s="11" t="s">
        <v>39</v>
      </c>
      <c r="C27" s="12"/>
      <c r="D27" s="12" t="s">
        <v>32</v>
      </c>
      <c r="E27" s="13"/>
      <c r="F27" s="14">
        <v>3.2610999999999998E-3</v>
      </c>
      <c r="G27" s="14" t="s">
        <v>41</v>
      </c>
      <c r="H27" s="15">
        <v>95.98</v>
      </c>
      <c r="I27" s="16">
        <v>2.669E-5</v>
      </c>
      <c r="J27" s="16" t="s">
        <v>41</v>
      </c>
      <c r="K27" s="17">
        <v>0.79</v>
      </c>
      <c r="L27" s="18">
        <v>-1.02</v>
      </c>
      <c r="M27" s="19">
        <v>0</v>
      </c>
    </row>
    <row r="28" spans="1:13" x14ac:dyDescent="0.2">
      <c r="A28" s="10">
        <v>45140.749502314808</v>
      </c>
      <c r="B28" s="11" t="s">
        <v>31</v>
      </c>
      <c r="C28" s="12">
        <v>3.3977999999999999E-3</v>
      </c>
      <c r="D28" s="12" t="s">
        <v>41</v>
      </c>
      <c r="E28" s="13">
        <v>100</v>
      </c>
      <c r="F28" s="14">
        <v>100</v>
      </c>
      <c r="G28" s="14" t="s">
        <v>32</v>
      </c>
      <c r="H28" s="15"/>
      <c r="I28" s="16"/>
      <c r="J28" s="16"/>
      <c r="K28" s="17"/>
      <c r="L28" s="18"/>
      <c r="M28" s="19"/>
    </row>
    <row r="29" spans="1:13" x14ac:dyDescent="0.2">
      <c r="A29" s="10">
        <v>45131.465405092589</v>
      </c>
      <c r="B29" s="11" t="s">
        <v>30</v>
      </c>
      <c r="C29" s="12">
        <v>1418.7446259999999</v>
      </c>
      <c r="D29" s="12" t="s">
        <v>15</v>
      </c>
      <c r="E29" s="13">
        <v>0</v>
      </c>
      <c r="F29" s="14">
        <v>1418.7446259999999</v>
      </c>
      <c r="G29" s="14" t="s">
        <v>15</v>
      </c>
      <c r="H29" s="15">
        <v>0</v>
      </c>
      <c r="I29" s="16"/>
      <c r="J29" s="16"/>
      <c r="K29" s="17"/>
      <c r="L29" s="18">
        <v>0</v>
      </c>
      <c r="M29" s="19"/>
    </row>
    <row r="30" spans="1:13" x14ac:dyDescent="0.2">
      <c r="A30" s="10">
        <v>45131.44159722222</v>
      </c>
      <c r="B30" s="11" t="s">
        <v>31</v>
      </c>
      <c r="C30" s="12">
        <v>1418.7446259999999</v>
      </c>
      <c r="D30" s="12" t="s">
        <v>15</v>
      </c>
      <c r="E30" s="13">
        <v>1000</v>
      </c>
      <c r="F30" s="14">
        <v>1000</v>
      </c>
      <c r="G30" s="14" t="s">
        <v>32</v>
      </c>
      <c r="H30" s="15"/>
      <c r="I30" s="16"/>
      <c r="J30" s="16"/>
      <c r="K30" s="17"/>
      <c r="L30" s="18"/>
      <c r="M30" s="19"/>
    </row>
    <row r="31" spans="1:13" x14ac:dyDescent="0.2">
      <c r="A31" s="10">
        <v>45124.809259259258</v>
      </c>
      <c r="B31" s="11" t="s">
        <v>30</v>
      </c>
      <c r="C31" s="12">
        <v>922.76831300000003</v>
      </c>
      <c r="D31" s="12" t="s">
        <v>15</v>
      </c>
      <c r="E31" s="13">
        <v>0</v>
      </c>
      <c r="F31" s="14">
        <v>922.76831300000003</v>
      </c>
      <c r="G31" s="14" t="s">
        <v>15</v>
      </c>
      <c r="H31" s="15">
        <v>0</v>
      </c>
      <c r="I31" s="16"/>
      <c r="J31" s="16"/>
      <c r="K31" s="17"/>
      <c r="L31" s="18">
        <v>0</v>
      </c>
      <c r="M31" s="19"/>
    </row>
    <row r="32" spans="1:13" x14ac:dyDescent="0.2">
      <c r="A32" s="10">
        <v>45124.807025462957</v>
      </c>
      <c r="B32" s="11" t="s">
        <v>36</v>
      </c>
      <c r="C32" s="12">
        <v>922.76831300000003</v>
      </c>
      <c r="D32" s="12" t="s">
        <v>15</v>
      </c>
      <c r="E32" s="13">
        <v>674.82</v>
      </c>
      <c r="F32" s="14">
        <v>2236.4582850000002</v>
      </c>
      <c r="G32" s="14" t="s">
        <v>35</v>
      </c>
      <c r="H32" s="15">
        <v>784.86</v>
      </c>
      <c r="I32" s="16"/>
      <c r="J32" s="16"/>
      <c r="K32" s="17"/>
      <c r="L32" s="18">
        <v>-110.04</v>
      </c>
      <c r="M32" s="19"/>
    </row>
    <row r="33" spans="1:13" x14ac:dyDescent="0.2">
      <c r="A33" s="10">
        <v>45124.787141203713</v>
      </c>
      <c r="B33" s="11" t="s">
        <v>31</v>
      </c>
      <c r="C33" s="12">
        <v>32.43394</v>
      </c>
      <c r="D33" s="12" t="s">
        <v>35</v>
      </c>
      <c r="E33" s="13">
        <v>9.9600000000000009</v>
      </c>
      <c r="F33" s="14"/>
      <c r="G33" s="14"/>
      <c r="H33" s="15"/>
      <c r="I33" s="16"/>
      <c r="J33" s="16"/>
      <c r="K33" s="17"/>
      <c r="L33" s="18"/>
      <c r="M33" s="19"/>
    </row>
    <row r="34" spans="1:13" x14ac:dyDescent="0.2">
      <c r="A34" s="10">
        <v>45124.787048611113</v>
      </c>
      <c r="B34" s="11" t="s">
        <v>30</v>
      </c>
      <c r="C34" s="12">
        <v>2204.0243150000001</v>
      </c>
      <c r="D34" s="12" t="s">
        <v>35</v>
      </c>
      <c r="E34" s="13">
        <v>0</v>
      </c>
      <c r="F34" s="14">
        <v>2236.622304</v>
      </c>
      <c r="G34" s="14" t="s">
        <v>35</v>
      </c>
      <c r="H34" s="15">
        <v>0</v>
      </c>
      <c r="I34" s="16">
        <v>0.166909</v>
      </c>
      <c r="J34" s="16" t="s">
        <v>35</v>
      </c>
      <c r="K34" s="17">
        <v>0.06</v>
      </c>
      <c r="L34" s="18">
        <v>0</v>
      </c>
      <c r="M34" s="19">
        <v>0</v>
      </c>
    </row>
    <row r="35" spans="1:13" x14ac:dyDescent="0.2">
      <c r="A35" s="10">
        <v>45124.783113425918</v>
      </c>
      <c r="B35" s="11" t="s">
        <v>30</v>
      </c>
      <c r="C35" s="12">
        <v>919.04330900000002</v>
      </c>
      <c r="D35" s="12" t="s">
        <v>15</v>
      </c>
      <c r="E35" s="13">
        <v>0</v>
      </c>
      <c r="F35" s="14">
        <v>919.04330900000002</v>
      </c>
      <c r="G35" s="14" t="s">
        <v>15</v>
      </c>
      <c r="H35" s="15">
        <v>0</v>
      </c>
      <c r="I35" s="16"/>
      <c r="J35" s="16"/>
      <c r="K35" s="17"/>
      <c r="L35" s="18">
        <v>0</v>
      </c>
      <c r="M35" s="19"/>
    </row>
    <row r="36" spans="1:13" x14ac:dyDescent="0.2">
      <c r="A36" s="10">
        <v>45124.777662037042</v>
      </c>
      <c r="B36" s="11" t="s">
        <v>30</v>
      </c>
      <c r="C36" s="12">
        <v>22</v>
      </c>
      <c r="D36" s="12" t="s">
        <v>15</v>
      </c>
      <c r="E36" s="13">
        <v>0</v>
      </c>
      <c r="F36" s="14">
        <v>22</v>
      </c>
      <c r="G36" s="14" t="s">
        <v>15</v>
      </c>
      <c r="H36" s="15">
        <v>0</v>
      </c>
      <c r="I36" s="16"/>
      <c r="J36" s="16"/>
      <c r="K36" s="17"/>
      <c r="L36" s="18">
        <v>0</v>
      </c>
      <c r="M36" s="19"/>
    </row>
    <row r="37" spans="1:13" x14ac:dyDescent="0.2">
      <c r="A37" s="10">
        <v>45124.775393518517</v>
      </c>
      <c r="B37" s="11" t="s">
        <v>36</v>
      </c>
      <c r="C37" s="12">
        <v>941.04330900000002</v>
      </c>
      <c r="D37" s="12" t="s">
        <v>15</v>
      </c>
      <c r="E37" s="13">
        <v>681.5</v>
      </c>
      <c r="F37" s="14">
        <v>75.606707</v>
      </c>
      <c r="G37" s="14" t="s">
        <v>33</v>
      </c>
      <c r="H37" s="15">
        <v>746.63</v>
      </c>
      <c r="I37" s="16"/>
      <c r="J37" s="16"/>
      <c r="K37" s="17"/>
      <c r="L37" s="18">
        <v>-65.13</v>
      </c>
      <c r="M37" s="19"/>
    </row>
    <row r="38" spans="1:13" x14ac:dyDescent="0.2">
      <c r="A38" s="10">
        <v>45124.773773148147</v>
      </c>
      <c r="B38" s="11" t="s">
        <v>30</v>
      </c>
      <c r="C38" s="12">
        <v>74.602784999999997</v>
      </c>
      <c r="D38" s="12" t="s">
        <v>33</v>
      </c>
      <c r="E38" s="13">
        <v>0</v>
      </c>
      <c r="F38" s="14">
        <v>74.604799999999997</v>
      </c>
      <c r="G38" s="14" t="s">
        <v>33</v>
      </c>
      <c r="H38" s="15">
        <v>0</v>
      </c>
      <c r="I38" s="16">
        <v>2.065E-3</v>
      </c>
      <c r="J38" s="16" t="s">
        <v>33</v>
      </c>
      <c r="K38" s="17">
        <v>0</v>
      </c>
      <c r="L38" s="18">
        <v>0</v>
      </c>
      <c r="M38" s="19">
        <v>0</v>
      </c>
    </row>
    <row r="39" spans="1:13" x14ac:dyDescent="0.2">
      <c r="A39" s="10">
        <v>45124.773773148147</v>
      </c>
      <c r="B39" s="11" t="s">
        <v>30</v>
      </c>
      <c r="C39" s="12"/>
      <c r="D39" s="12"/>
      <c r="E39" s="13"/>
      <c r="F39" s="14"/>
      <c r="G39" s="14"/>
      <c r="H39" s="15"/>
      <c r="I39" s="16">
        <v>2.065E-3</v>
      </c>
      <c r="J39" s="16" t="s">
        <v>33</v>
      </c>
      <c r="K39" s="17">
        <v>0.02</v>
      </c>
      <c r="L39" s="18"/>
      <c r="M39" s="19">
        <v>0</v>
      </c>
    </row>
    <row r="40" spans="1:13" x14ac:dyDescent="0.2">
      <c r="A40" s="10">
        <v>45124.772534722222</v>
      </c>
      <c r="B40" s="11" t="s">
        <v>30</v>
      </c>
      <c r="C40" s="12">
        <v>1</v>
      </c>
      <c r="D40" s="12" t="s">
        <v>33</v>
      </c>
      <c r="E40" s="13">
        <v>0</v>
      </c>
      <c r="F40" s="14">
        <v>1.0025999999999999</v>
      </c>
      <c r="G40" s="14" t="s">
        <v>33</v>
      </c>
      <c r="H40" s="15">
        <v>0</v>
      </c>
      <c r="I40" s="16">
        <v>2.6050000000000001E-3</v>
      </c>
      <c r="J40" s="16" t="s">
        <v>33</v>
      </c>
      <c r="K40" s="17">
        <v>0</v>
      </c>
      <c r="L40" s="18">
        <v>0</v>
      </c>
      <c r="M40" s="19">
        <v>0</v>
      </c>
    </row>
    <row r="41" spans="1:13" x14ac:dyDescent="0.2">
      <c r="A41" s="10">
        <v>45124.772534722222</v>
      </c>
      <c r="B41" s="11" t="s">
        <v>30</v>
      </c>
      <c r="C41" s="12"/>
      <c r="D41" s="12"/>
      <c r="E41" s="13"/>
      <c r="F41" s="14"/>
      <c r="G41" s="14"/>
      <c r="H41" s="15"/>
      <c r="I41" s="16">
        <v>2.6050000000000001E-3</v>
      </c>
      <c r="J41" s="16" t="s">
        <v>33</v>
      </c>
      <c r="K41" s="17">
        <v>0.03</v>
      </c>
      <c r="L41" s="18"/>
      <c r="M41" s="19">
        <v>0</v>
      </c>
    </row>
    <row r="42" spans="1:13" x14ac:dyDescent="0.2">
      <c r="A42" s="10">
        <v>45124.756597222222</v>
      </c>
      <c r="B42" s="11" t="s">
        <v>31</v>
      </c>
      <c r="C42" s="12">
        <v>971.85601499999996</v>
      </c>
      <c r="D42" s="12" t="s">
        <v>15</v>
      </c>
      <c r="E42" s="13">
        <v>725.94</v>
      </c>
      <c r="F42" s="14"/>
      <c r="G42" s="14"/>
      <c r="H42" s="15"/>
      <c r="I42" s="16"/>
      <c r="J42" s="16"/>
      <c r="K42" s="17"/>
      <c r="L42" s="18"/>
      <c r="M42" s="19"/>
    </row>
    <row r="43" spans="1:13" x14ac:dyDescent="0.2">
      <c r="A43" s="10">
        <v>45124.755266203712</v>
      </c>
      <c r="B43" s="11" t="s">
        <v>39</v>
      </c>
      <c r="C43" s="12">
        <v>941.2</v>
      </c>
      <c r="D43" s="12" t="s">
        <v>32</v>
      </c>
      <c r="E43" s="13"/>
      <c r="F43" s="14">
        <v>105.2927045</v>
      </c>
      <c r="G43" s="14" t="s">
        <v>42</v>
      </c>
      <c r="H43" s="15">
        <v>941.2</v>
      </c>
      <c r="I43" s="16">
        <v>1.3099100000000001E-3</v>
      </c>
      <c r="J43" s="16" t="s">
        <v>40</v>
      </c>
      <c r="K43" s="17">
        <v>3.53</v>
      </c>
      <c r="L43" s="18">
        <v>-247.1</v>
      </c>
      <c r="M43" s="19">
        <v>-1.01</v>
      </c>
    </row>
    <row r="44" spans="1:13" x14ac:dyDescent="0.2">
      <c r="A44" s="10">
        <v>45120.656944444447</v>
      </c>
      <c r="B44" s="11" t="s">
        <v>30</v>
      </c>
      <c r="C44" s="12">
        <v>41.127263999999997</v>
      </c>
      <c r="D44" s="12" t="s">
        <v>33</v>
      </c>
      <c r="E44" s="13">
        <v>0</v>
      </c>
      <c r="F44" s="14">
        <v>41.127263999999997</v>
      </c>
      <c r="G44" s="14" t="s">
        <v>33</v>
      </c>
      <c r="H44" s="15">
        <v>0</v>
      </c>
      <c r="I44" s="16"/>
      <c r="J44" s="16"/>
      <c r="K44" s="17"/>
      <c r="L44" s="18">
        <v>0</v>
      </c>
      <c r="M44" s="19"/>
    </row>
    <row r="45" spans="1:13" x14ac:dyDescent="0.2">
      <c r="A45" s="10">
        <v>45120.615624999999</v>
      </c>
      <c r="B45" s="11" t="s">
        <v>36</v>
      </c>
      <c r="C45" s="12">
        <v>41.127263999999997</v>
      </c>
      <c r="D45" s="12" t="s">
        <v>33</v>
      </c>
      <c r="E45" s="13">
        <v>373.09</v>
      </c>
      <c r="F45" s="14">
        <v>10480.330599770001</v>
      </c>
      <c r="G45" s="14" t="s">
        <v>43</v>
      </c>
      <c r="H45" s="15">
        <v>496.16</v>
      </c>
      <c r="I45" s="16">
        <v>28.193308819999999</v>
      </c>
      <c r="J45" s="16" t="s">
        <v>43</v>
      </c>
      <c r="K45" s="17">
        <v>1.33</v>
      </c>
      <c r="L45" s="18">
        <v>-124.07</v>
      </c>
      <c r="M45" s="19">
        <v>-0.33</v>
      </c>
    </row>
    <row r="46" spans="1:13" x14ac:dyDescent="0.2">
      <c r="A46" s="10">
        <v>45116.625775462962</v>
      </c>
      <c r="B46" s="11" t="s">
        <v>39</v>
      </c>
      <c r="C46" s="12"/>
      <c r="D46" s="12" t="s">
        <v>32</v>
      </c>
      <c r="E46" s="13"/>
      <c r="F46" s="14">
        <v>22.76346173</v>
      </c>
      <c r="G46" s="14" t="s">
        <v>43</v>
      </c>
      <c r="H46" s="15">
        <v>1.36</v>
      </c>
      <c r="I46" s="16">
        <v>30.233383910000001</v>
      </c>
      <c r="J46" s="16" t="s">
        <v>43</v>
      </c>
      <c r="K46" s="17">
        <v>1.43</v>
      </c>
      <c r="L46" s="18">
        <v>-1.36</v>
      </c>
      <c r="M46" s="19">
        <v>-0.28000000000000003</v>
      </c>
    </row>
    <row r="47" spans="1:13" x14ac:dyDescent="0.2">
      <c r="A47" s="10">
        <v>45116.610625000001</v>
      </c>
      <c r="B47" s="11" t="s">
        <v>30</v>
      </c>
      <c r="C47" s="12">
        <v>0.16642000000000001</v>
      </c>
      <c r="D47" s="12" t="s">
        <v>33</v>
      </c>
      <c r="E47" s="13">
        <v>0</v>
      </c>
      <c r="F47" s="14">
        <v>0.16642000000000001</v>
      </c>
      <c r="G47" s="14" t="s">
        <v>33</v>
      </c>
      <c r="H47" s="15">
        <v>0</v>
      </c>
      <c r="I47" s="16">
        <v>5.0000000000000001E-3</v>
      </c>
      <c r="J47" s="16" t="s">
        <v>33</v>
      </c>
      <c r="K47" s="17">
        <v>0.05</v>
      </c>
      <c r="L47" s="18">
        <v>0</v>
      </c>
      <c r="M47" s="19">
        <v>-0.01</v>
      </c>
    </row>
    <row r="48" spans="1:13" x14ac:dyDescent="0.2">
      <c r="A48" s="10">
        <v>45116.609988425917</v>
      </c>
      <c r="B48" s="11" t="s">
        <v>30</v>
      </c>
      <c r="C48" s="12">
        <v>34.313771000000003</v>
      </c>
      <c r="D48" s="12" t="s">
        <v>33</v>
      </c>
      <c r="E48" s="13">
        <v>0</v>
      </c>
      <c r="F48" s="14">
        <v>34.313771000000003</v>
      </c>
      <c r="G48" s="14" t="s">
        <v>33</v>
      </c>
      <c r="H48" s="15">
        <v>0</v>
      </c>
      <c r="I48" s="16">
        <v>5.0000000000000001E-3</v>
      </c>
      <c r="J48" s="16" t="s">
        <v>33</v>
      </c>
      <c r="K48" s="17">
        <v>0.05</v>
      </c>
      <c r="L48" s="18">
        <v>0</v>
      </c>
      <c r="M48" s="19">
        <v>-0.01</v>
      </c>
    </row>
    <row r="49" spans="1:13" x14ac:dyDescent="0.2">
      <c r="A49" s="10">
        <v>45097.803483796299</v>
      </c>
      <c r="B49" s="11" t="s">
        <v>30</v>
      </c>
      <c r="C49" s="12">
        <v>44.590986000000001</v>
      </c>
      <c r="D49" s="12" t="s">
        <v>15</v>
      </c>
      <c r="E49" s="13">
        <v>0</v>
      </c>
      <c r="F49" s="14">
        <v>44.590986000000001</v>
      </c>
      <c r="G49" s="14" t="s">
        <v>15</v>
      </c>
      <c r="H49" s="15">
        <v>0</v>
      </c>
      <c r="I49" s="16">
        <v>2.0316010000000002</v>
      </c>
      <c r="J49" s="16" t="s">
        <v>15</v>
      </c>
      <c r="K49" s="17">
        <v>0.87</v>
      </c>
      <c r="L49" s="18">
        <v>0</v>
      </c>
      <c r="M49" s="19">
        <v>0.13</v>
      </c>
    </row>
    <row r="50" spans="1:13" x14ac:dyDescent="0.2">
      <c r="A50" s="10">
        <v>45096.837106481478</v>
      </c>
      <c r="B50" s="11" t="s">
        <v>39</v>
      </c>
      <c r="C50" s="12"/>
      <c r="D50" s="12" t="s">
        <v>32</v>
      </c>
      <c r="E50" s="13"/>
      <c r="F50" s="14">
        <v>11.674170999999999</v>
      </c>
      <c r="G50" s="14" t="s">
        <v>33</v>
      </c>
      <c r="H50" s="15">
        <v>126.43</v>
      </c>
      <c r="I50" s="16">
        <v>5.0000000000000001E-3</v>
      </c>
      <c r="J50" s="16" t="s">
        <v>33</v>
      </c>
      <c r="K50" s="17">
        <v>0.05</v>
      </c>
      <c r="L50" s="18">
        <v>-26.54</v>
      </c>
      <c r="M50" s="19">
        <v>-0.01</v>
      </c>
    </row>
    <row r="51" spans="1:13" x14ac:dyDescent="0.2">
      <c r="A51" s="10">
        <v>45087.117835648147</v>
      </c>
      <c r="B51" s="11" t="s">
        <v>31</v>
      </c>
      <c r="C51" s="12">
        <v>130.24433859999999</v>
      </c>
      <c r="D51" s="12" t="s">
        <v>16</v>
      </c>
      <c r="E51" s="13">
        <v>6.31</v>
      </c>
      <c r="F51" s="14"/>
      <c r="G51" s="14"/>
      <c r="H51" s="15"/>
      <c r="I51" s="16">
        <v>2.1522300000000002E-3</v>
      </c>
      <c r="J51" s="16" t="s">
        <v>16</v>
      </c>
      <c r="K51" s="17">
        <v>0</v>
      </c>
      <c r="L51" s="18"/>
      <c r="M51" s="19">
        <v>0</v>
      </c>
    </row>
    <row r="52" spans="1:13" x14ac:dyDescent="0.2">
      <c r="A52" s="10">
        <v>45080.62127314815</v>
      </c>
      <c r="B52" s="11" t="s">
        <v>31</v>
      </c>
      <c r="C52" s="12">
        <v>46.169621999999997</v>
      </c>
      <c r="D52" s="12" t="s">
        <v>33</v>
      </c>
      <c r="E52" s="13">
        <v>500</v>
      </c>
      <c r="F52" s="14">
        <v>500</v>
      </c>
      <c r="G52" s="14" t="s">
        <v>32</v>
      </c>
      <c r="H52" s="15"/>
      <c r="I52" s="16"/>
      <c r="J52" s="16"/>
      <c r="K52" s="17"/>
      <c r="L52" s="18"/>
      <c r="M52" s="19"/>
    </row>
    <row r="53" spans="1:13" x14ac:dyDescent="0.2">
      <c r="A53" s="10">
        <v>45080.620810185188</v>
      </c>
      <c r="B53" s="11" t="s">
        <v>31</v>
      </c>
      <c r="C53" s="12">
        <v>10561.52075424</v>
      </c>
      <c r="D53" s="12" t="s">
        <v>43</v>
      </c>
      <c r="E53" s="13">
        <v>500</v>
      </c>
      <c r="F53" s="14">
        <v>500</v>
      </c>
      <c r="G53" s="14" t="s">
        <v>32</v>
      </c>
      <c r="H53" s="15"/>
      <c r="I53" s="16"/>
      <c r="J53" s="16"/>
      <c r="K53" s="17"/>
      <c r="L53" s="18"/>
      <c r="M53" s="19"/>
    </row>
    <row r="54" spans="1:13" x14ac:dyDescent="0.2">
      <c r="A54" s="10">
        <v>45067.315312500003</v>
      </c>
      <c r="B54" s="11" t="s">
        <v>31</v>
      </c>
      <c r="C54" s="12">
        <v>58.46972882</v>
      </c>
      <c r="D54" s="12" t="s">
        <v>16</v>
      </c>
      <c r="E54" s="13">
        <v>3.1</v>
      </c>
      <c r="F54" s="14"/>
      <c r="G54" s="14"/>
      <c r="H54" s="15"/>
      <c r="I54" s="16">
        <v>1.92783E-3</v>
      </c>
      <c r="J54" s="16" t="s">
        <v>16</v>
      </c>
      <c r="K54" s="17">
        <v>0</v>
      </c>
      <c r="L54" s="18"/>
      <c r="M54" s="19">
        <v>0</v>
      </c>
    </row>
    <row r="55" spans="1:13" x14ac:dyDescent="0.2">
      <c r="A55" s="10">
        <v>45062.631377314807</v>
      </c>
      <c r="B55" s="11" t="s">
        <v>31</v>
      </c>
      <c r="C55" s="12">
        <v>2.36</v>
      </c>
      <c r="D55" s="12" t="s">
        <v>38</v>
      </c>
      <c r="E55" s="13">
        <v>0.16</v>
      </c>
      <c r="F55" s="14"/>
      <c r="G55" s="14"/>
      <c r="H55" s="15"/>
      <c r="I55" s="16"/>
      <c r="J55" s="16"/>
      <c r="K55" s="17"/>
      <c r="L55" s="18"/>
      <c r="M55" s="19"/>
    </row>
    <row r="56" spans="1:13" x14ac:dyDescent="0.2">
      <c r="A56" s="10">
        <v>45058.339050925933</v>
      </c>
      <c r="B56" s="11" t="s">
        <v>31</v>
      </c>
      <c r="C56" s="12">
        <v>283.87965309999998</v>
      </c>
      <c r="D56" s="12" t="s">
        <v>16</v>
      </c>
      <c r="E56" s="13">
        <v>14.59</v>
      </c>
      <c r="F56" s="14"/>
      <c r="G56" s="14"/>
      <c r="H56" s="15"/>
      <c r="I56" s="16">
        <v>2.0073999999999999E-3</v>
      </c>
      <c r="J56" s="16" t="s">
        <v>16</v>
      </c>
      <c r="K56" s="17">
        <v>0</v>
      </c>
      <c r="L56" s="18"/>
      <c r="M56" s="19">
        <v>0</v>
      </c>
    </row>
    <row r="57" spans="1:13" x14ac:dyDescent="0.2">
      <c r="A57" s="10">
        <v>45058.196527777778</v>
      </c>
      <c r="B57" s="11" t="s">
        <v>31</v>
      </c>
      <c r="C57" s="12">
        <v>46.622587000000003</v>
      </c>
      <c r="D57" s="12" t="s">
        <v>15</v>
      </c>
      <c r="E57" s="13">
        <v>20</v>
      </c>
      <c r="F57" s="14">
        <v>20</v>
      </c>
      <c r="G57" s="14" t="s">
        <v>32</v>
      </c>
      <c r="H57" s="15"/>
      <c r="I57" s="16"/>
      <c r="J57" s="16"/>
      <c r="K57" s="17"/>
      <c r="L57" s="18"/>
      <c r="M57" s="19"/>
    </row>
    <row r="58" spans="1:13" x14ac:dyDescent="0.2">
      <c r="A58" s="10">
        <v>45054.774907407409</v>
      </c>
      <c r="B58" s="11" t="s">
        <v>31</v>
      </c>
      <c r="C58" s="12">
        <v>113.28700000000001</v>
      </c>
      <c r="D58" s="12" t="s">
        <v>15</v>
      </c>
      <c r="E58" s="13">
        <v>51.02</v>
      </c>
      <c r="F58" s="14"/>
      <c r="G58" s="14"/>
      <c r="H58" s="15"/>
      <c r="I58" s="16"/>
      <c r="J58" s="16"/>
      <c r="K58" s="17"/>
      <c r="L58" s="18"/>
      <c r="M58" s="19"/>
    </row>
    <row r="59" spans="1:13" x14ac:dyDescent="0.2">
      <c r="A59" s="10">
        <v>45034.605578703697</v>
      </c>
      <c r="B59" s="11" t="s">
        <v>30</v>
      </c>
      <c r="C59" s="12">
        <v>105.2927045</v>
      </c>
      <c r="D59" s="12" t="s">
        <v>42</v>
      </c>
      <c r="E59" s="13">
        <v>0</v>
      </c>
      <c r="F59" s="14">
        <v>105.2927045</v>
      </c>
      <c r="G59" s="14" t="s">
        <v>42</v>
      </c>
      <c r="H59" s="15">
        <v>0</v>
      </c>
      <c r="I59" s="16">
        <v>0.60699495999999997</v>
      </c>
      <c r="J59" s="16" t="s">
        <v>42</v>
      </c>
      <c r="K59" s="17">
        <v>5.4</v>
      </c>
      <c r="L59" s="18">
        <v>0</v>
      </c>
      <c r="M59" s="19">
        <v>-0.14000000000000001</v>
      </c>
    </row>
    <row r="60" spans="1:13" x14ac:dyDescent="0.2">
      <c r="A60" s="10">
        <v>45034.600636574083</v>
      </c>
      <c r="B60" s="11" t="s">
        <v>36</v>
      </c>
      <c r="C60" s="12">
        <v>105.89969945999999</v>
      </c>
      <c r="D60" s="12" t="s">
        <v>42</v>
      </c>
      <c r="E60" s="13">
        <v>941.34</v>
      </c>
      <c r="F60" s="14">
        <v>4215.5891810000003</v>
      </c>
      <c r="G60" s="14" t="s">
        <v>44</v>
      </c>
      <c r="H60" s="15">
        <v>941.58</v>
      </c>
      <c r="I60" s="16"/>
      <c r="J60" s="16"/>
      <c r="K60" s="17"/>
      <c r="L60" s="18">
        <v>-0.24</v>
      </c>
      <c r="M60" s="19"/>
    </row>
    <row r="61" spans="1:13" x14ac:dyDescent="0.2">
      <c r="A61" s="10">
        <v>45034.597361111111</v>
      </c>
      <c r="B61" s="11" t="s">
        <v>31</v>
      </c>
      <c r="C61" s="12">
        <v>4205.5225110000001</v>
      </c>
      <c r="D61" s="12" t="s">
        <v>44</v>
      </c>
      <c r="E61" s="13">
        <v>939.3</v>
      </c>
      <c r="F61" s="14"/>
      <c r="G61" s="14"/>
      <c r="H61" s="15"/>
      <c r="I61" s="16"/>
      <c r="J61" s="16"/>
      <c r="K61" s="17"/>
      <c r="L61" s="18"/>
      <c r="M61" s="19"/>
    </row>
    <row r="62" spans="1:13" x14ac:dyDescent="0.2">
      <c r="A62" s="10">
        <v>45021.817060185182</v>
      </c>
      <c r="B62" s="11" t="s">
        <v>39</v>
      </c>
      <c r="C62" s="12"/>
      <c r="D62" s="12" t="s">
        <v>32</v>
      </c>
      <c r="E62" s="13"/>
      <c r="F62" s="14">
        <v>452.25930699999998</v>
      </c>
      <c r="G62" s="14" t="s">
        <v>44</v>
      </c>
      <c r="H62" s="15">
        <v>100</v>
      </c>
      <c r="I62" s="16">
        <v>2E-3</v>
      </c>
      <c r="J62" s="16" t="s">
        <v>44</v>
      </c>
      <c r="K62" s="17">
        <v>0</v>
      </c>
      <c r="L62" s="18">
        <v>-1</v>
      </c>
      <c r="M62" s="19">
        <v>0</v>
      </c>
    </row>
    <row r="63" spans="1:13" x14ac:dyDescent="0.2">
      <c r="A63" s="10">
        <v>45021.816307870373</v>
      </c>
      <c r="B63" s="11" t="s">
        <v>31</v>
      </c>
      <c r="C63" s="12">
        <v>452.26130699999999</v>
      </c>
      <c r="D63" s="12" t="s">
        <v>44</v>
      </c>
      <c r="E63" s="13">
        <v>100</v>
      </c>
      <c r="F63" s="14">
        <v>100</v>
      </c>
      <c r="G63" s="14" t="s">
        <v>32</v>
      </c>
      <c r="H63" s="15"/>
      <c r="I63" s="16"/>
      <c r="J63" s="16"/>
      <c r="K63" s="17"/>
      <c r="L63" s="18"/>
      <c r="M63" s="19"/>
    </row>
    <row r="64" spans="1:13" x14ac:dyDescent="0.2">
      <c r="A64" s="10">
        <v>45021.780960648153</v>
      </c>
      <c r="B64" s="11" t="s">
        <v>39</v>
      </c>
      <c r="C64" s="12">
        <v>108.45</v>
      </c>
      <c r="D64" s="12" t="s">
        <v>32</v>
      </c>
      <c r="E64" s="13"/>
      <c r="F64" s="14">
        <v>218.05908600000001</v>
      </c>
      <c r="G64" s="14" t="s">
        <v>15</v>
      </c>
      <c r="H64" s="15">
        <v>95.33</v>
      </c>
      <c r="I64" s="16">
        <v>1.949411</v>
      </c>
      <c r="J64" s="16" t="s">
        <v>15</v>
      </c>
      <c r="K64" s="17">
        <v>0.85</v>
      </c>
      <c r="L64" s="18">
        <v>12.15</v>
      </c>
      <c r="M64" s="19">
        <v>0.12</v>
      </c>
    </row>
    <row r="65" spans="1:13" x14ac:dyDescent="0.2">
      <c r="A65" s="10">
        <v>45016.125775462962</v>
      </c>
      <c r="B65" s="11" t="s">
        <v>39</v>
      </c>
      <c r="C65" s="12"/>
      <c r="D65" s="12" t="s">
        <v>32</v>
      </c>
      <c r="E65" s="13"/>
      <c r="F65" s="14">
        <v>232</v>
      </c>
      <c r="G65" s="14" t="s">
        <v>32</v>
      </c>
      <c r="H65" s="15"/>
      <c r="I65" s="16"/>
      <c r="J65" s="16"/>
      <c r="K65" s="17"/>
      <c r="L65" s="18"/>
      <c r="M65" s="19"/>
    </row>
    <row r="66" spans="1:13" x14ac:dyDescent="0.2">
      <c r="A66" s="10">
        <v>45014.83798611111</v>
      </c>
      <c r="B66" s="11" t="s">
        <v>39</v>
      </c>
      <c r="C66" s="12"/>
      <c r="D66" s="12" t="s">
        <v>32</v>
      </c>
      <c r="E66" s="13"/>
      <c r="F66" s="14">
        <v>35.840000000000003</v>
      </c>
      <c r="G66" s="14" t="s">
        <v>32</v>
      </c>
      <c r="H66" s="15"/>
      <c r="I66" s="16"/>
      <c r="J66" s="16"/>
      <c r="K66" s="17"/>
      <c r="L66" s="18"/>
      <c r="M66" s="19"/>
    </row>
    <row r="67" spans="1:13" x14ac:dyDescent="0.2">
      <c r="A67" s="10">
        <v>45014.812800925924</v>
      </c>
      <c r="B67" s="11" t="s">
        <v>31</v>
      </c>
      <c r="C67" s="12">
        <v>6.4506019400000003</v>
      </c>
      <c r="D67" s="12" t="s">
        <v>16</v>
      </c>
      <c r="E67" s="13">
        <v>0.38</v>
      </c>
      <c r="F67" s="14"/>
      <c r="G67" s="14"/>
      <c r="H67" s="15"/>
      <c r="I67" s="16">
        <v>1.6043400000000001E-3</v>
      </c>
      <c r="J67" s="16" t="s">
        <v>16</v>
      </c>
      <c r="K67" s="17">
        <v>0</v>
      </c>
      <c r="L67" s="18"/>
      <c r="M67" s="19">
        <v>0</v>
      </c>
    </row>
    <row r="68" spans="1:13" x14ac:dyDescent="0.2">
      <c r="A68" s="10">
        <v>45014.775520833333</v>
      </c>
      <c r="B68" s="11" t="s">
        <v>39</v>
      </c>
      <c r="C68" s="12">
        <v>267.83999999999997</v>
      </c>
      <c r="D68" s="12" t="s">
        <v>32</v>
      </c>
      <c r="E68" s="13"/>
      <c r="F68" s="14">
        <v>267.84058800000003</v>
      </c>
      <c r="G68" s="14" t="s">
        <v>37</v>
      </c>
      <c r="H68" s="15">
        <v>270.66000000000003</v>
      </c>
      <c r="I68" s="16"/>
      <c r="J68" s="16"/>
      <c r="K68" s="17"/>
      <c r="L68" s="18">
        <v>-2.82</v>
      </c>
      <c r="M68" s="19"/>
    </row>
    <row r="69" spans="1:13" x14ac:dyDescent="0.2">
      <c r="A69" s="10">
        <v>45014.774351851847</v>
      </c>
      <c r="B69" s="11" t="s">
        <v>36</v>
      </c>
      <c r="C69" s="12">
        <v>267.84058800000003</v>
      </c>
      <c r="D69" s="12" t="s">
        <v>37</v>
      </c>
      <c r="E69" s="13">
        <v>270.66000000000003</v>
      </c>
      <c r="F69" s="14">
        <v>1151.259779</v>
      </c>
      <c r="G69" s="14" t="s">
        <v>44</v>
      </c>
      <c r="H69" s="15">
        <v>229.5</v>
      </c>
      <c r="I69" s="16"/>
      <c r="J69" s="16"/>
      <c r="K69" s="17"/>
      <c r="L69" s="18">
        <v>41.16</v>
      </c>
      <c r="M69" s="19"/>
    </row>
    <row r="70" spans="1:13" x14ac:dyDescent="0.2">
      <c r="A70" s="10">
        <v>45014.769108796303</v>
      </c>
      <c r="B70" s="11" t="s">
        <v>30</v>
      </c>
      <c r="C70" s="12">
        <v>2178.4989999999998</v>
      </c>
      <c r="D70" s="12" t="s">
        <v>15</v>
      </c>
      <c r="E70" s="13">
        <v>0</v>
      </c>
      <c r="F70" s="14">
        <v>2178.4989999999998</v>
      </c>
      <c r="G70" s="14" t="s">
        <v>15</v>
      </c>
      <c r="H70" s="15">
        <v>0</v>
      </c>
      <c r="I70" s="16">
        <v>1E-3</v>
      </c>
      <c r="J70" s="16" t="s">
        <v>15</v>
      </c>
      <c r="K70" s="17">
        <v>0</v>
      </c>
      <c r="L70" s="18">
        <v>0</v>
      </c>
      <c r="M70" s="19">
        <v>0</v>
      </c>
    </row>
    <row r="71" spans="1:13" x14ac:dyDescent="0.2">
      <c r="A71" s="10">
        <v>45013.163495370369</v>
      </c>
      <c r="B71" s="11" t="s">
        <v>36</v>
      </c>
      <c r="C71" s="12">
        <v>1151.259779</v>
      </c>
      <c r="D71" s="12" t="s">
        <v>44</v>
      </c>
      <c r="E71" s="13">
        <v>229.5</v>
      </c>
      <c r="F71" s="14">
        <v>231.88</v>
      </c>
      <c r="G71" s="14" t="s">
        <v>37</v>
      </c>
      <c r="H71" s="15">
        <v>231.88</v>
      </c>
      <c r="I71" s="16"/>
      <c r="J71" s="16"/>
      <c r="K71" s="17"/>
      <c r="L71" s="18">
        <v>-2.38</v>
      </c>
      <c r="M71" s="19"/>
    </row>
    <row r="72" spans="1:13" x14ac:dyDescent="0.2">
      <c r="A72" s="10">
        <v>45013.15766203704</v>
      </c>
      <c r="B72" s="11" t="s">
        <v>30</v>
      </c>
      <c r="C72" s="12">
        <v>2065.9989999999998</v>
      </c>
      <c r="D72" s="12" t="s">
        <v>15</v>
      </c>
      <c r="E72" s="13">
        <v>0</v>
      </c>
      <c r="F72" s="14">
        <v>2065.9989999999998</v>
      </c>
      <c r="G72" s="14" t="s">
        <v>15</v>
      </c>
      <c r="H72" s="15">
        <v>0</v>
      </c>
      <c r="I72" s="16">
        <v>1E-3</v>
      </c>
      <c r="J72" s="16" t="s">
        <v>15</v>
      </c>
      <c r="K72" s="17">
        <v>0</v>
      </c>
      <c r="L72" s="18">
        <v>0</v>
      </c>
      <c r="M72" s="19">
        <v>0</v>
      </c>
    </row>
    <row r="73" spans="1:13" x14ac:dyDescent="0.2">
      <c r="A73" s="10">
        <v>45013.153425925928</v>
      </c>
      <c r="B73" s="11" t="s">
        <v>36</v>
      </c>
      <c r="C73" s="12">
        <v>2066.6995160000001</v>
      </c>
      <c r="D73" s="12" t="s">
        <v>15</v>
      </c>
      <c r="E73" s="13">
        <v>992.3</v>
      </c>
      <c r="F73" s="14">
        <v>1000.12</v>
      </c>
      <c r="G73" s="14" t="s">
        <v>37</v>
      </c>
      <c r="H73" s="15">
        <v>1000.12</v>
      </c>
      <c r="I73" s="16"/>
      <c r="J73" s="16"/>
      <c r="K73" s="17"/>
      <c r="L73" s="18">
        <v>-7.95</v>
      </c>
      <c r="M73" s="19"/>
    </row>
    <row r="74" spans="1:13" x14ac:dyDescent="0.2">
      <c r="A74" s="10">
        <v>45013.012407407397</v>
      </c>
      <c r="B74" s="11" t="s">
        <v>30</v>
      </c>
      <c r="C74" s="12">
        <v>1000.12</v>
      </c>
      <c r="D74" s="12" t="s">
        <v>37</v>
      </c>
      <c r="E74" s="13">
        <v>0</v>
      </c>
      <c r="F74" s="14">
        <v>1000.12</v>
      </c>
      <c r="G74" s="14" t="s">
        <v>37</v>
      </c>
      <c r="H74" s="15">
        <v>0</v>
      </c>
      <c r="I74" s="16"/>
      <c r="J74" s="16"/>
      <c r="K74" s="17"/>
      <c r="L74" s="18">
        <v>0</v>
      </c>
      <c r="M74" s="19"/>
    </row>
    <row r="75" spans="1:13" x14ac:dyDescent="0.2">
      <c r="A75" s="10">
        <v>45013.009166666663</v>
      </c>
      <c r="B75" s="11" t="s">
        <v>31</v>
      </c>
      <c r="C75" s="12">
        <v>1232</v>
      </c>
      <c r="D75" s="12" t="s">
        <v>37</v>
      </c>
      <c r="E75" s="13">
        <v>1232</v>
      </c>
      <c r="F75" s="14">
        <v>1232</v>
      </c>
      <c r="G75" s="14" t="s">
        <v>32</v>
      </c>
      <c r="H75" s="15"/>
      <c r="I75" s="16"/>
      <c r="J75" s="16"/>
      <c r="K75" s="17"/>
      <c r="L75" s="18"/>
      <c r="M75" s="19"/>
    </row>
    <row r="76" spans="1:13" x14ac:dyDescent="0.2">
      <c r="A76" s="10">
        <v>45012.985312500001</v>
      </c>
      <c r="B76" s="11" t="s">
        <v>39</v>
      </c>
      <c r="C76" s="12"/>
      <c r="D76" s="12" t="s">
        <v>32</v>
      </c>
      <c r="E76" s="13"/>
      <c r="F76" s="14">
        <v>3510.7833270000001</v>
      </c>
      <c r="G76" s="14" t="s">
        <v>44</v>
      </c>
      <c r="H76" s="15">
        <v>795.03</v>
      </c>
      <c r="I76" s="16">
        <v>2E-3</v>
      </c>
      <c r="J76" s="16" t="s">
        <v>44</v>
      </c>
      <c r="K76" s="17">
        <v>0</v>
      </c>
      <c r="L76" s="18">
        <v>-90.77</v>
      </c>
      <c r="M76" s="19">
        <v>0</v>
      </c>
    </row>
    <row r="77" spans="1:13" x14ac:dyDescent="0.2">
      <c r="A77" s="10">
        <v>45012.983819444453</v>
      </c>
      <c r="B77" s="11" t="s">
        <v>39</v>
      </c>
      <c r="C77" s="12"/>
      <c r="D77" s="12" t="s">
        <v>32</v>
      </c>
      <c r="E77" s="13"/>
      <c r="F77" s="14">
        <v>49.862876999999997</v>
      </c>
      <c r="G77" s="14" t="s">
        <v>44</v>
      </c>
      <c r="H77" s="15">
        <v>12.49</v>
      </c>
      <c r="I77" s="16">
        <v>2E-3</v>
      </c>
      <c r="J77" s="16" t="s">
        <v>44</v>
      </c>
      <c r="K77" s="17">
        <v>0</v>
      </c>
      <c r="L77" s="18">
        <v>-2.4900000000000002</v>
      </c>
      <c r="M77" s="19">
        <v>0</v>
      </c>
    </row>
    <row r="78" spans="1:13" x14ac:dyDescent="0.2">
      <c r="A78" s="10">
        <v>45012.979745370372</v>
      </c>
      <c r="B78" s="11" t="s">
        <v>30</v>
      </c>
      <c r="C78" s="12">
        <v>2236.789213</v>
      </c>
      <c r="D78" s="12" t="s">
        <v>35</v>
      </c>
      <c r="E78" s="13">
        <v>0</v>
      </c>
      <c r="F78" s="14">
        <v>2236.789213</v>
      </c>
      <c r="G78" s="14" t="s">
        <v>35</v>
      </c>
      <c r="H78" s="15">
        <v>0</v>
      </c>
      <c r="I78" s="16">
        <v>0.18002099999999999</v>
      </c>
      <c r="J78" s="16" t="s">
        <v>35</v>
      </c>
      <c r="K78" s="17">
        <v>0.06</v>
      </c>
      <c r="L78" s="18">
        <v>0</v>
      </c>
      <c r="M78" s="19">
        <v>0</v>
      </c>
    </row>
    <row r="79" spans="1:13" x14ac:dyDescent="0.2">
      <c r="A79" s="10">
        <v>45012.976747685178</v>
      </c>
      <c r="B79" s="11" t="s">
        <v>36</v>
      </c>
      <c r="C79" s="12">
        <v>559.04847700000005</v>
      </c>
      <c r="D79" s="12" t="s">
        <v>35</v>
      </c>
      <c r="E79" s="13">
        <v>192.92</v>
      </c>
      <c r="F79" s="14">
        <v>2140.2126904000002</v>
      </c>
      <c r="G79" s="14" t="s">
        <v>45</v>
      </c>
      <c r="H79" s="15">
        <v>200</v>
      </c>
      <c r="I79" s="16"/>
      <c r="J79" s="16"/>
      <c r="K79" s="17"/>
      <c r="L79" s="18">
        <v>-7.08</v>
      </c>
      <c r="M79" s="19"/>
    </row>
    <row r="80" spans="1:13" x14ac:dyDescent="0.2">
      <c r="A80" s="10">
        <v>45012.975914351853</v>
      </c>
      <c r="B80" s="11" t="s">
        <v>36</v>
      </c>
      <c r="C80" s="12">
        <v>1770.1630250000001</v>
      </c>
      <c r="D80" s="12" t="s">
        <v>44</v>
      </c>
      <c r="E80" s="13">
        <v>363.23</v>
      </c>
      <c r="F80" s="14">
        <v>314.03690116000001</v>
      </c>
      <c r="G80" s="14" t="s">
        <v>46</v>
      </c>
      <c r="H80" s="15">
        <v>389.68</v>
      </c>
      <c r="I80" s="16"/>
      <c r="J80" s="16"/>
      <c r="K80" s="17"/>
      <c r="L80" s="18">
        <v>-26.45</v>
      </c>
      <c r="M80" s="19"/>
    </row>
    <row r="81" spans="1:13" x14ac:dyDescent="0.2">
      <c r="A81" s="10">
        <v>45012.975208333337</v>
      </c>
      <c r="B81" s="11" t="s">
        <v>36</v>
      </c>
      <c r="C81" s="12">
        <v>1677.9207570000001</v>
      </c>
      <c r="D81" s="12" t="s">
        <v>35</v>
      </c>
      <c r="E81" s="13">
        <v>593.23</v>
      </c>
      <c r="F81" s="14">
        <v>288.75017883999999</v>
      </c>
      <c r="G81" s="14" t="s">
        <v>47</v>
      </c>
      <c r="H81" s="15">
        <v>765.76</v>
      </c>
      <c r="I81" s="16"/>
      <c r="J81" s="16"/>
      <c r="K81" s="17"/>
      <c r="L81" s="18">
        <v>-172.53</v>
      </c>
      <c r="M81" s="19"/>
    </row>
    <row r="82" spans="1:13" x14ac:dyDescent="0.2">
      <c r="A82" s="10">
        <v>45012.952685185177</v>
      </c>
      <c r="B82" s="11" t="s">
        <v>30</v>
      </c>
      <c r="C82" s="12">
        <v>36189.670160000001</v>
      </c>
      <c r="D82" s="12" t="s">
        <v>16</v>
      </c>
      <c r="E82" s="13">
        <v>0</v>
      </c>
      <c r="F82" s="14">
        <v>36189.670155619999</v>
      </c>
      <c r="G82" s="14" t="s">
        <v>16</v>
      </c>
      <c r="H82" s="15">
        <v>0</v>
      </c>
      <c r="I82" s="16">
        <v>1.7383399999999999E-3</v>
      </c>
      <c r="J82" s="16" t="s">
        <v>16</v>
      </c>
      <c r="K82" s="17">
        <v>0</v>
      </c>
      <c r="L82" s="18">
        <v>0</v>
      </c>
      <c r="M82" s="19">
        <v>0</v>
      </c>
    </row>
    <row r="83" spans="1:13" x14ac:dyDescent="0.2">
      <c r="A83" s="10">
        <v>45012.952685185177</v>
      </c>
      <c r="B83" s="11" t="s">
        <v>30</v>
      </c>
      <c r="C83" s="12"/>
      <c r="D83" s="12"/>
      <c r="E83" s="13"/>
      <c r="F83" s="14"/>
      <c r="G83" s="14"/>
      <c r="H83" s="15"/>
      <c r="I83" s="16">
        <v>1</v>
      </c>
      <c r="J83" s="16" t="s">
        <v>16</v>
      </c>
      <c r="K83" s="17">
        <v>0.04</v>
      </c>
      <c r="L83" s="18"/>
      <c r="M83" s="19">
        <v>0.01</v>
      </c>
    </row>
    <row r="84" spans="1:13" x14ac:dyDescent="0.2">
      <c r="A84" s="10">
        <v>45012.951249999998</v>
      </c>
      <c r="B84" s="11" t="s">
        <v>30</v>
      </c>
      <c r="C84" s="12">
        <v>33.938571189999998</v>
      </c>
      <c r="D84" s="12" t="s">
        <v>16</v>
      </c>
      <c r="E84" s="13">
        <v>0</v>
      </c>
      <c r="F84" s="14">
        <v>33.938571189999998</v>
      </c>
      <c r="G84" s="14" t="s">
        <v>16</v>
      </c>
      <c r="H84" s="15">
        <v>0</v>
      </c>
      <c r="I84" s="16">
        <v>1.7383399999999999E-3</v>
      </c>
      <c r="J84" s="16" t="s">
        <v>16</v>
      </c>
      <c r="K84" s="17">
        <v>0</v>
      </c>
      <c r="L84" s="18">
        <v>0</v>
      </c>
      <c r="M84" s="19">
        <v>0</v>
      </c>
    </row>
    <row r="85" spans="1:13" x14ac:dyDescent="0.2">
      <c r="A85" s="10">
        <v>45012.951249999998</v>
      </c>
      <c r="B85" s="11" t="s">
        <v>30</v>
      </c>
      <c r="C85" s="12"/>
      <c r="D85" s="12"/>
      <c r="E85" s="13"/>
      <c r="F85" s="14"/>
      <c r="G85" s="14"/>
      <c r="H85" s="15"/>
      <c r="I85" s="16">
        <v>1</v>
      </c>
      <c r="J85" s="16" t="s">
        <v>16</v>
      </c>
      <c r="K85" s="17">
        <v>0.08</v>
      </c>
      <c r="L85" s="18"/>
      <c r="M85" s="19">
        <v>-0.02</v>
      </c>
    </row>
    <row r="86" spans="1:13" x14ac:dyDescent="0.2">
      <c r="A86" s="10">
        <v>45012.942002314812</v>
      </c>
      <c r="B86" s="11" t="s">
        <v>30</v>
      </c>
      <c r="C86" s="12">
        <v>1.44405183</v>
      </c>
      <c r="D86" s="12" t="s">
        <v>40</v>
      </c>
      <c r="E86" s="13">
        <v>0</v>
      </c>
      <c r="F86" s="14">
        <v>1.44405183</v>
      </c>
      <c r="G86" s="14" t="s">
        <v>40</v>
      </c>
      <c r="H86" s="15">
        <v>0</v>
      </c>
      <c r="I86" s="16">
        <v>5.2499999999999997E-4</v>
      </c>
      <c r="J86" s="16" t="s">
        <v>40</v>
      </c>
      <c r="K86" s="17">
        <v>0.62</v>
      </c>
      <c r="L86" s="18">
        <v>0</v>
      </c>
      <c r="M86" s="19">
        <v>0.28000000000000003</v>
      </c>
    </row>
    <row r="87" spans="1:13" x14ac:dyDescent="0.2">
      <c r="A87" s="10">
        <v>45012.936249999999</v>
      </c>
      <c r="B87" s="11" t="s">
        <v>30</v>
      </c>
      <c r="C87" s="12">
        <v>1.0055999999999999E-3</v>
      </c>
      <c r="D87" s="12" t="s">
        <v>40</v>
      </c>
      <c r="E87" s="13">
        <v>0</v>
      </c>
      <c r="F87" s="14">
        <v>1.0055999999999999E-3</v>
      </c>
      <c r="G87" s="14" t="s">
        <v>40</v>
      </c>
      <c r="H87" s="15">
        <v>0</v>
      </c>
      <c r="I87" s="16">
        <v>5.04E-4</v>
      </c>
      <c r="J87" s="16" t="s">
        <v>40</v>
      </c>
      <c r="K87" s="17">
        <v>0.86</v>
      </c>
      <c r="L87" s="18">
        <v>0</v>
      </c>
      <c r="M87" s="19">
        <v>0.43</v>
      </c>
    </row>
    <row r="88" spans="1:13" x14ac:dyDescent="0.2">
      <c r="A88" s="10">
        <v>45012.126516203702</v>
      </c>
      <c r="B88" s="11" t="s">
        <v>36</v>
      </c>
      <c r="C88" s="12">
        <v>805.48410699999999</v>
      </c>
      <c r="D88" s="12" t="s">
        <v>15</v>
      </c>
      <c r="E88" s="13">
        <v>361.53</v>
      </c>
      <c r="F88" s="14">
        <v>10581.61742294</v>
      </c>
      <c r="G88" s="14" t="s">
        <v>43</v>
      </c>
      <c r="H88" s="15">
        <v>400</v>
      </c>
      <c r="I88" s="16"/>
      <c r="J88" s="16"/>
      <c r="K88" s="17"/>
      <c r="L88" s="18">
        <v>-38.47</v>
      </c>
      <c r="M88" s="19"/>
    </row>
    <row r="89" spans="1:13" x14ac:dyDescent="0.2">
      <c r="A89" s="10">
        <v>45010.526365740741</v>
      </c>
      <c r="B89" s="11" t="s">
        <v>36</v>
      </c>
      <c r="C89" s="12">
        <v>314.03690116000001</v>
      </c>
      <c r="D89" s="12" t="s">
        <v>46</v>
      </c>
      <c r="E89" s="13">
        <v>389.68</v>
      </c>
      <c r="F89" s="14">
        <v>0.22934595999999999</v>
      </c>
      <c r="G89" s="14" t="s">
        <v>40</v>
      </c>
      <c r="H89" s="15">
        <v>401.05</v>
      </c>
      <c r="I89" s="16"/>
      <c r="J89" s="16"/>
      <c r="K89" s="17"/>
      <c r="L89" s="18">
        <v>-11.37</v>
      </c>
      <c r="M89" s="19"/>
    </row>
    <row r="90" spans="1:13" x14ac:dyDescent="0.2">
      <c r="A90" s="10">
        <v>45010.509675925918</v>
      </c>
      <c r="B90" s="11" t="s">
        <v>31</v>
      </c>
      <c r="C90" s="12">
        <v>219.93842599999999</v>
      </c>
      <c r="D90" s="12" t="s">
        <v>15</v>
      </c>
      <c r="E90" s="13">
        <v>100</v>
      </c>
      <c r="F90" s="14">
        <v>100</v>
      </c>
      <c r="G90" s="14" t="s">
        <v>32</v>
      </c>
      <c r="H90" s="15"/>
      <c r="I90" s="16"/>
      <c r="J90" s="16"/>
      <c r="K90" s="17"/>
      <c r="L90" s="18"/>
      <c r="M90" s="19"/>
    </row>
    <row r="91" spans="1:13" x14ac:dyDescent="0.2">
      <c r="A91" s="10">
        <v>45010.299270833333</v>
      </c>
      <c r="B91" s="11" t="s">
        <v>31</v>
      </c>
      <c r="C91" s="12">
        <v>5.6839099999999997E-2</v>
      </c>
      <c r="D91" s="12" t="s">
        <v>40</v>
      </c>
      <c r="E91" s="13">
        <v>100</v>
      </c>
      <c r="F91" s="14">
        <v>100</v>
      </c>
      <c r="G91" s="14" t="s">
        <v>32</v>
      </c>
      <c r="H91" s="15"/>
      <c r="I91" s="16"/>
      <c r="J91" s="16"/>
      <c r="K91" s="17"/>
      <c r="L91" s="18"/>
      <c r="M91" s="19"/>
    </row>
    <row r="92" spans="1:13" x14ac:dyDescent="0.2">
      <c r="A92" s="10">
        <v>45010.036354166667</v>
      </c>
      <c r="B92" s="11" t="s">
        <v>30</v>
      </c>
      <c r="C92" s="12">
        <v>3.613E-4</v>
      </c>
      <c r="D92" s="12" t="s">
        <v>34</v>
      </c>
      <c r="E92" s="13">
        <v>0</v>
      </c>
      <c r="F92" s="14">
        <v>3.613E-4</v>
      </c>
      <c r="G92" s="14" t="s">
        <v>34</v>
      </c>
      <c r="H92" s="15">
        <v>0</v>
      </c>
      <c r="I92" s="16"/>
      <c r="J92" s="16"/>
      <c r="K92" s="17"/>
      <c r="L92" s="18">
        <v>0</v>
      </c>
      <c r="M92" s="19"/>
    </row>
    <row r="93" spans="1:13" x14ac:dyDescent="0.2">
      <c r="A93" s="10">
        <v>45010.036319444444</v>
      </c>
      <c r="B93" s="11" t="s">
        <v>30</v>
      </c>
      <c r="C93" s="12">
        <v>0.19140599999999999</v>
      </c>
      <c r="D93" s="12" t="s">
        <v>35</v>
      </c>
      <c r="E93" s="13">
        <v>0</v>
      </c>
      <c r="F93" s="14">
        <v>0.19140599999999999</v>
      </c>
      <c r="G93" s="14" t="s">
        <v>35</v>
      </c>
      <c r="H93" s="15">
        <v>0</v>
      </c>
      <c r="I93" s="16"/>
      <c r="J93" s="16"/>
      <c r="K93" s="17"/>
      <c r="L93" s="18">
        <v>0</v>
      </c>
      <c r="M93" s="19"/>
    </row>
    <row r="94" spans="1:13" x14ac:dyDescent="0.2">
      <c r="A94" s="10">
        <v>45009.832152777781</v>
      </c>
      <c r="B94" s="11" t="s">
        <v>30</v>
      </c>
      <c r="C94" s="12">
        <v>4.1019999999999997E-3</v>
      </c>
      <c r="D94" s="12" t="s">
        <v>33</v>
      </c>
      <c r="E94" s="13">
        <v>0</v>
      </c>
      <c r="F94" s="14">
        <v>4.1019999999999997E-3</v>
      </c>
      <c r="G94" s="14" t="s">
        <v>33</v>
      </c>
      <c r="H94" s="15">
        <v>0</v>
      </c>
      <c r="I94" s="16"/>
      <c r="J94" s="16"/>
      <c r="K94" s="17"/>
      <c r="L94" s="18">
        <v>0</v>
      </c>
      <c r="M94" s="19"/>
    </row>
    <row r="95" spans="1:13" x14ac:dyDescent="0.2">
      <c r="A95" s="10">
        <v>45006.881168981483</v>
      </c>
      <c r="B95" s="11" t="s">
        <v>36</v>
      </c>
      <c r="C95" s="12">
        <v>215.65512081</v>
      </c>
      <c r="D95" s="12" t="s">
        <v>47</v>
      </c>
      <c r="E95" s="13">
        <v>571.37</v>
      </c>
      <c r="F95" s="14">
        <v>79.47655039</v>
      </c>
      <c r="G95" s="14" t="s">
        <v>42</v>
      </c>
      <c r="H95" s="15">
        <v>549.34</v>
      </c>
      <c r="I95" s="16"/>
      <c r="J95" s="16"/>
      <c r="K95" s="17"/>
      <c r="L95" s="18">
        <v>22.03</v>
      </c>
      <c r="M95" s="19"/>
    </row>
    <row r="96" spans="1:13" x14ac:dyDescent="0.2">
      <c r="A96" s="10">
        <v>45006.659201388888</v>
      </c>
      <c r="B96" s="11" t="s">
        <v>31</v>
      </c>
      <c r="C96" s="12">
        <v>10581.617422920001</v>
      </c>
      <c r="D96" s="12" t="s">
        <v>43</v>
      </c>
      <c r="E96" s="13">
        <v>400.28</v>
      </c>
      <c r="F96" s="14">
        <v>400</v>
      </c>
      <c r="G96" s="14" t="s">
        <v>32</v>
      </c>
      <c r="H96" s="15"/>
      <c r="I96" s="16"/>
      <c r="J96" s="16"/>
      <c r="K96" s="17"/>
      <c r="L96" s="18"/>
      <c r="M96" s="19"/>
    </row>
    <row r="97" spans="1:13" x14ac:dyDescent="0.2">
      <c r="A97" s="10">
        <v>45006.657962962963</v>
      </c>
      <c r="B97" s="11" t="s">
        <v>36</v>
      </c>
      <c r="C97" s="12">
        <v>73.095058030000004</v>
      </c>
      <c r="D97" s="12" t="s">
        <v>47</v>
      </c>
      <c r="E97" s="13">
        <v>194.39</v>
      </c>
      <c r="F97" s="14">
        <v>33.367037410000002</v>
      </c>
      <c r="G97" s="14" t="s">
        <v>48</v>
      </c>
      <c r="H97" s="15">
        <v>200</v>
      </c>
      <c r="I97" s="16"/>
      <c r="J97" s="16"/>
      <c r="K97" s="17"/>
      <c r="L97" s="18">
        <v>-5.61</v>
      </c>
      <c r="M97" s="19"/>
    </row>
    <row r="98" spans="1:13" x14ac:dyDescent="0.2">
      <c r="A98" s="10">
        <v>45006.656597222223</v>
      </c>
      <c r="B98" s="11" t="s">
        <v>31</v>
      </c>
      <c r="C98" s="12">
        <v>1372.386448</v>
      </c>
      <c r="D98" s="12" t="s">
        <v>15</v>
      </c>
      <c r="E98" s="13">
        <v>600</v>
      </c>
      <c r="F98" s="14">
        <v>600</v>
      </c>
      <c r="G98" s="14" t="s">
        <v>32</v>
      </c>
      <c r="H98" s="15"/>
      <c r="I98" s="16"/>
      <c r="J98" s="16"/>
      <c r="K98" s="17"/>
      <c r="L98" s="18"/>
      <c r="M98" s="19"/>
    </row>
    <row r="99" spans="1:13" x14ac:dyDescent="0.2">
      <c r="A99" s="10">
        <v>45006.644641203697</v>
      </c>
      <c r="B99" s="11" t="s">
        <v>31</v>
      </c>
      <c r="C99" s="12">
        <v>33.367037410000002</v>
      </c>
      <c r="D99" s="12" t="s">
        <v>48</v>
      </c>
      <c r="E99" s="13">
        <v>200</v>
      </c>
      <c r="F99" s="14">
        <v>200</v>
      </c>
      <c r="G99" s="14" t="s">
        <v>32</v>
      </c>
      <c r="H99" s="15"/>
      <c r="I99" s="16"/>
      <c r="J99" s="16"/>
      <c r="K99" s="17"/>
      <c r="L99" s="18"/>
      <c r="M99" s="19"/>
    </row>
    <row r="100" spans="1:13" x14ac:dyDescent="0.2">
      <c r="A100" s="10">
        <v>45006.643321759257</v>
      </c>
      <c r="B100" s="11" t="s">
        <v>31</v>
      </c>
      <c r="C100" s="12">
        <v>2140.2126904000002</v>
      </c>
      <c r="D100" s="12" t="s">
        <v>45</v>
      </c>
      <c r="E100" s="13">
        <v>200</v>
      </c>
      <c r="F100" s="14">
        <v>200</v>
      </c>
      <c r="G100" s="14" t="s">
        <v>32</v>
      </c>
      <c r="H100" s="15"/>
      <c r="I100" s="16"/>
      <c r="J100" s="16"/>
      <c r="K100" s="17"/>
      <c r="L100" s="18"/>
      <c r="M100" s="19"/>
    </row>
    <row r="101" spans="1:13" x14ac:dyDescent="0.2">
      <c r="A101" s="10">
        <v>45005.719236111108</v>
      </c>
      <c r="B101" s="11" t="s">
        <v>31</v>
      </c>
      <c r="C101" s="12">
        <v>317.43499760999998</v>
      </c>
      <c r="D101" s="12" t="s">
        <v>16</v>
      </c>
      <c r="E101" s="13">
        <v>20</v>
      </c>
      <c r="F101" s="14">
        <v>20</v>
      </c>
      <c r="G101" s="14" t="s">
        <v>32</v>
      </c>
      <c r="H101" s="15"/>
      <c r="I101" s="16"/>
      <c r="J101" s="16"/>
      <c r="K101" s="17"/>
      <c r="L101" s="18"/>
      <c r="M101" s="19"/>
    </row>
    <row r="102" spans="1:13" x14ac:dyDescent="0.2">
      <c r="A102" s="10">
        <v>45003.275046296287</v>
      </c>
      <c r="B102" s="11" t="s">
        <v>31</v>
      </c>
      <c r="C102" s="12">
        <v>5.483242E-2</v>
      </c>
      <c r="D102" s="12" t="s">
        <v>40</v>
      </c>
      <c r="E102" s="13">
        <v>100</v>
      </c>
      <c r="F102" s="14">
        <v>100</v>
      </c>
      <c r="G102" s="14" t="s">
        <v>32</v>
      </c>
      <c r="H102" s="15"/>
      <c r="I102" s="16"/>
      <c r="J102" s="16"/>
      <c r="K102" s="17"/>
      <c r="L102" s="18"/>
      <c r="M102" s="19"/>
    </row>
    <row r="103" spans="1:13" x14ac:dyDescent="0.2">
      <c r="A103" s="10">
        <v>44998.836458333331</v>
      </c>
      <c r="B103" s="11" t="s">
        <v>31</v>
      </c>
      <c r="C103" s="12">
        <v>309.67942733000001</v>
      </c>
      <c r="D103" s="12" t="s">
        <v>16</v>
      </c>
      <c r="E103" s="13">
        <v>20</v>
      </c>
      <c r="F103" s="14">
        <v>20</v>
      </c>
      <c r="G103" s="14" t="s">
        <v>32</v>
      </c>
      <c r="H103" s="15"/>
      <c r="I103" s="16"/>
      <c r="J103" s="16"/>
      <c r="K103" s="17"/>
      <c r="L103" s="18"/>
      <c r="M103" s="19"/>
    </row>
    <row r="104" spans="1:13" x14ac:dyDescent="0.2">
      <c r="A104" s="10">
        <v>44996.272118055553</v>
      </c>
      <c r="B104" s="11" t="s">
        <v>31</v>
      </c>
      <c r="C104" s="12">
        <v>6.8026279999999995E-2</v>
      </c>
      <c r="D104" s="12" t="s">
        <v>40</v>
      </c>
      <c r="E104" s="13">
        <v>100</v>
      </c>
      <c r="F104" s="14">
        <v>100</v>
      </c>
      <c r="G104" s="14" t="s">
        <v>32</v>
      </c>
      <c r="H104" s="15"/>
      <c r="I104" s="16"/>
      <c r="J104" s="16"/>
      <c r="K104" s="17"/>
      <c r="L104" s="18"/>
      <c r="M104" s="19"/>
    </row>
    <row r="105" spans="1:13" x14ac:dyDescent="0.2">
      <c r="A105" s="10">
        <v>44995.768275462957</v>
      </c>
      <c r="B105" s="11" t="s">
        <v>31</v>
      </c>
      <c r="C105" s="12">
        <v>10127.87723785</v>
      </c>
      <c r="D105" s="12" t="s">
        <v>16</v>
      </c>
      <c r="E105" s="13">
        <v>600</v>
      </c>
      <c r="F105" s="14">
        <v>600</v>
      </c>
      <c r="G105" s="14" t="s">
        <v>32</v>
      </c>
      <c r="H105" s="15"/>
      <c r="I105" s="16"/>
      <c r="J105" s="16"/>
      <c r="K105" s="17"/>
      <c r="L105" s="18"/>
      <c r="M105" s="19"/>
    </row>
    <row r="106" spans="1:13" x14ac:dyDescent="0.2">
      <c r="A106" s="10">
        <v>44991.707337962973</v>
      </c>
      <c r="B106" s="11" t="s">
        <v>31</v>
      </c>
      <c r="C106" s="12">
        <v>311.96112242999999</v>
      </c>
      <c r="D106" s="12" t="s">
        <v>16</v>
      </c>
      <c r="E106" s="13">
        <v>20</v>
      </c>
      <c r="F106" s="14">
        <v>20</v>
      </c>
      <c r="G106" s="14" t="s">
        <v>32</v>
      </c>
      <c r="H106" s="15"/>
      <c r="I106" s="16"/>
      <c r="J106" s="16"/>
      <c r="K106" s="17"/>
      <c r="L106" s="18"/>
      <c r="M106" s="19"/>
    </row>
    <row r="107" spans="1:13" x14ac:dyDescent="0.2">
      <c r="A107" s="10">
        <v>44989.183298611111</v>
      </c>
      <c r="B107" s="11" t="s">
        <v>31</v>
      </c>
      <c r="C107" s="12">
        <v>6.3290739999999998E-2</v>
      </c>
      <c r="D107" s="12" t="s">
        <v>40</v>
      </c>
      <c r="E107" s="13">
        <v>100</v>
      </c>
      <c r="F107" s="14">
        <v>100</v>
      </c>
      <c r="G107" s="14" t="s">
        <v>32</v>
      </c>
      <c r="H107" s="15"/>
      <c r="I107" s="16"/>
      <c r="J107" s="16"/>
      <c r="K107" s="17"/>
      <c r="L107" s="18"/>
      <c r="M107" s="19"/>
    </row>
    <row r="108" spans="1:13" x14ac:dyDescent="0.2">
      <c r="A108" s="10">
        <v>44988.631215277783</v>
      </c>
      <c r="B108" s="11" t="s">
        <v>36</v>
      </c>
      <c r="C108" s="12">
        <v>26.008521089999999</v>
      </c>
      <c r="D108" s="12" t="s">
        <v>42</v>
      </c>
      <c r="E108" s="13">
        <v>179.75</v>
      </c>
      <c r="F108" s="14">
        <v>15.414179000000001</v>
      </c>
      <c r="G108" s="14" t="s">
        <v>33</v>
      </c>
      <c r="H108" s="15">
        <v>200.34</v>
      </c>
      <c r="I108" s="16"/>
      <c r="J108" s="16"/>
      <c r="K108" s="17"/>
      <c r="L108" s="18">
        <v>-20.59</v>
      </c>
      <c r="M108" s="19"/>
    </row>
    <row r="109" spans="1:13" x14ac:dyDescent="0.2">
      <c r="A109" s="10">
        <v>44988.630995370368</v>
      </c>
      <c r="B109" s="11" t="s">
        <v>36</v>
      </c>
      <c r="C109" s="12">
        <v>53.468029299999998</v>
      </c>
      <c r="D109" s="12" t="s">
        <v>42</v>
      </c>
      <c r="E109" s="13">
        <v>369.59</v>
      </c>
      <c r="F109" s="14">
        <v>3.07045689</v>
      </c>
      <c r="G109" s="14" t="s">
        <v>49</v>
      </c>
      <c r="H109" s="15">
        <v>400.08</v>
      </c>
      <c r="I109" s="16"/>
      <c r="J109" s="16"/>
      <c r="K109" s="17"/>
      <c r="L109" s="18">
        <v>-30.49</v>
      </c>
      <c r="M109" s="19"/>
    </row>
    <row r="110" spans="1:13" x14ac:dyDescent="0.2">
      <c r="A110" s="10">
        <v>44987.098090277781</v>
      </c>
      <c r="B110" s="11" t="s">
        <v>36</v>
      </c>
      <c r="C110" s="12">
        <v>15.381562000000001</v>
      </c>
      <c r="D110" s="12" t="s">
        <v>33</v>
      </c>
      <c r="E110" s="13">
        <v>199.95</v>
      </c>
      <c r="F110" s="14">
        <v>2900.6526468500001</v>
      </c>
      <c r="G110" s="14" t="s">
        <v>16</v>
      </c>
      <c r="H110" s="15">
        <v>226.11</v>
      </c>
      <c r="I110" s="16"/>
      <c r="J110" s="16"/>
      <c r="K110" s="17"/>
      <c r="L110" s="18">
        <v>-26.16</v>
      </c>
      <c r="M110" s="19"/>
    </row>
    <row r="111" spans="1:13" x14ac:dyDescent="0.2">
      <c r="A111" s="10">
        <v>44987.096597222233</v>
      </c>
      <c r="B111" s="11" t="s">
        <v>36</v>
      </c>
      <c r="C111" s="12">
        <v>3.07045689</v>
      </c>
      <c r="D111" s="12" t="s">
        <v>49</v>
      </c>
      <c r="E111" s="13">
        <v>400.08</v>
      </c>
      <c r="F111" s="14">
        <v>1628.001628</v>
      </c>
      <c r="G111" s="14" t="s">
        <v>44</v>
      </c>
      <c r="H111" s="15">
        <v>421.22</v>
      </c>
      <c r="I111" s="16"/>
      <c r="J111" s="16"/>
      <c r="K111" s="17"/>
      <c r="L111" s="18">
        <v>-21.14</v>
      </c>
      <c r="M111" s="19"/>
    </row>
    <row r="112" spans="1:13" x14ac:dyDescent="0.2">
      <c r="A112" s="10">
        <v>44987.095312500001</v>
      </c>
      <c r="B112" s="11" t="s">
        <v>36</v>
      </c>
      <c r="C112" s="12">
        <v>12639.46303323</v>
      </c>
      <c r="D112" s="12" t="s">
        <v>16</v>
      </c>
      <c r="E112" s="13">
        <v>872.43</v>
      </c>
      <c r="F112" s="14">
        <v>120.123239</v>
      </c>
      <c r="G112" s="14" t="s">
        <v>42</v>
      </c>
      <c r="H112" s="15">
        <v>863.24</v>
      </c>
      <c r="I112" s="16"/>
      <c r="J112" s="16"/>
      <c r="K112" s="17"/>
      <c r="L112" s="18">
        <v>9.19</v>
      </c>
      <c r="M112" s="19"/>
    </row>
    <row r="113" spans="1:13" x14ac:dyDescent="0.2">
      <c r="A113" s="10">
        <v>44984.694976851853</v>
      </c>
      <c r="B113" s="11" t="s">
        <v>31</v>
      </c>
      <c r="C113" s="12">
        <v>274.33140336000002</v>
      </c>
      <c r="D113" s="12" t="s">
        <v>16</v>
      </c>
      <c r="E113" s="13">
        <v>20</v>
      </c>
      <c r="F113" s="14">
        <v>20</v>
      </c>
      <c r="G113" s="14" t="s">
        <v>32</v>
      </c>
      <c r="H113" s="15"/>
      <c r="I113" s="16"/>
      <c r="J113" s="16"/>
      <c r="K113" s="17"/>
      <c r="L113" s="18"/>
      <c r="M113" s="19"/>
    </row>
    <row r="114" spans="1:13" x14ac:dyDescent="0.2">
      <c r="A114" s="10">
        <v>44983.002835648149</v>
      </c>
      <c r="B114" s="11" t="s">
        <v>36</v>
      </c>
      <c r="C114" s="12">
        <v>9.3259999999999998E-5</v>
      </c>
      <c r="D114" s="12" t="s">
        <v>40</v>
      </c>
      <c r="E114" s="13">
        <v>0.15</v>
      </c>
      <c r="F114" s="14">
        <v>0.42198000000000002</v>
      </c>
      <c r="G114" s="14" t="s">
        <v>35</v>
      </c>
      <c r="H114" s="15">
        <v>0.14000000000000001</v>
      </c>
      <c r="I114" s="16"/>
      <c r="J114" s="16"/>
      <c r="K114" s="17"/>
      <c r="L114" s="18">
        <v>0.01</v>
      </c>
      <c r="M114" s="19"/>
    </row>
    <row r="115" spans="1:13" x14ac:dyDescent="0.2">
      <c r="A115" s="10">
        <v>44983.002500000002</v>
      </c>
      <c r="B115" s="11" t="s">
        <v>36</v>
      </c>
      <c r="C115" s="12">
        <v>985.44249100000002</v>
      </c>
      <c r="D115" s="12" t="s">
        <v>44</v>
      </c>
      <c r="E115" s="13">
        <v>246.75</v>
      </c>
      <c r="F115" s="14">
        <v>1.9211087099999999</v>
      </c>
      <c r="G115" s="14" t="s">
        <v>49</v>
      </c>
      <c r="H115" s="15">
        <v>242.27</v>
      </c>
      <c r="I115" s="16"/>
      <c r="J115" s="16"/>
      <c r="K115" s="17"/>
      <c r="L115" s="18">
        <v>4.4800000000000004</v>
      </c>
      <c r="M115" s="19"/>
    </row>
    <row r="116" spans="1:13" x14ac:dyDescent="0.2">
      <c r="A116" s="10">
        <v>44982.996921296297</v>
      </c>
      <c r="B116" s="11" t="s">
        <v>36</v>
      </c>
      <c r="C116" s="12">
        <v>838.19814699999995</v>
      </c>
      <c r="D116" s="12" t="s">
        <v>44</v>
      </c>
      <c r="E116" s="13">
        <v>209.96</v>
      </c>
      <c r="F116" s="14">
        <v>16.782613999999999</v>
      </c>
      <c r="G116" s="14" t="s">
        <v>33</v>
      </c>
      <c r="H116" s="15">
        <v>225.21</v>
      </c>
      <c r="I116" s="16"/>
      <c r="J116" s="16"/>
      <c r="K116" s="17"/>
      <c r="L116" s="18">
        <v>-15.25</v>
      </c>
      <c r="M116" s="19"/>
    </row>
    <row r="117" spans="1:13" x14ac:dyDescent="0.2">
      <c r="A117" s="10">
        <v>44982.6640625</v>
      </c>
      <c r="B117" s="11" t="s">
        <v>31</v>
      </c>
      <c r="C117" s="12">
        <v>1.5312399999999999</v>
      </c>
      <c r="D117" s="12" t="s">
        <v>33</v>
      </c>
      <c r="E117" s="13">
        <v>20</v>
      </c>
      <c r="F117" s="14">
        <v>20</v>
      </c>
      <c r="G117" s="14" t="s">
        <v>32</v>
      </c>
      <c r="H117" s="15"/>
      <c r="I117" s="16"/>
      <c r="J117" s="16"/>
      <c r="K117" s="17"/>
      <c r="L117" s="18"/>
      <c r="M117" s="19"/>
    </row>
    <row r="118" spans="1:13" x14ac:dyDescent="0.2">
      <c r="A118" s="10">
        <v>44982.663055555553</v>
      </c>
      <c r="B118" s="11" t="s">
        <v>31</v>
      </c>
      <c r="C118" s="12">
        <v>0.15222214000000001</v>
      </c>
      <c r="D118" s="12" t="s">
        <v>49</v>
      </c>
      <c r="E118" s="13">
        <v>20</v>
      </c>
      <c r="F118" s="14">
        <v>20</v>
      </c>
      <c r="G118" s="14" t="s">
        <v>32</v>
      </c>
      <c r="H118" s="15"/>
      <c r="I118" s="16"/>
      <c r="J118" s="16"/>
      <c r="K118" s="17"/>
      <c r="L118" s="18"/>
      <c r="M118" s="19"/>
    </row>
    <row r="119" spans="1:13" x14ac:dyDescent="0.2">
      <c r="A119" s="10">
        <v>44982.243877314817</v>
      </c>
      <c r="B119" s="11" t="s">
        <v>31</v>
      </c>
      <c r="C119" s="12">
        <v>6.234141E-2</v>
      </c>
      <c r="D119" s="12" t="s">
        <v>40</v>
      </c>
      <c r="E119" s="13">
        <v>100</v>
      </c>
      <c r="F119" s="14">
        <v>100</v>
      </c>
      <c r="G119" s="14" t="s">
        <v>32</v>
      </c>
      <c r="H119" s="15"/>
      <c r="I119" s="16"/>
      <c r="J119" s="16"/>
      <c r="K119" s="17"/>
      <c r="L119" s="18"/>
      <c r="M119" s="19"/>
    </row>
    <row r="120" spans="1:13" x14ac:dyDescent="0.2">
      <c r="A120" s="10">
        <v>44981.204039351847</v>
      </c>
      <c r="B120" s="11" t="s">
        <v>31</v>
      </c>
      <c r="C120" s="12">
        <v>12.42352354</v>
      </c>
      <c r="D120" s="12" t="s">
        <v>42</v>
      </c>
      <c r="E120" s="13">
        <v>100</v>
      </c>
      <c r="F120" s="14">
        <v>100</v>
      </c>
      <c r="G120" s="14" t="s">
        <v>32</v>
      </c>
      <c r="H120" s="15"/>
      <c r="I120" s="16"/>
      <c r="J120" s="16"/>
      <c r="K120" s="17"/>
      <c r="L120" s="18"/>
      <c r="M120" s="19"/>
    </row>
    <row r="121" spans="1:13" x14ac:dyDescent="0.2">
      <c r="A121" s="10">
        <v>44977.752233796287</v>
      </c>
      <c r="B121" s="11" t="s">
        <v>31</v>
      </c>
      <c r="C121" s="12">
        <v>227.92349100999999</v>
      </c>
      <c r="D121" s="12" t="s">
        <v>16</v>
      </c>
      <c r="E121" s="13">
        <v>20</v>
      </c>
      <c r="F121" s="14">
        <v>20</v>
      </c>
      <c r="G121" s="14" t="s">
        <v>32</v>
      </c>
      <c r="H121" s="15"/>
      <c r="I121" s="16"/>
      <c r="J121" s="16"/>
      <c r="K121" s="17"/>
      <c r="L121" s="18"/>
      <c r="M121" s="19"/>
    </row>
    <row r="122" spans="1:13" x14ac:dyDescent="0.2">
      <c r="A122" s="10">
        <v>44976.512546296297</v>
      </c>
      <c r="B122" s="11" t="s">
        <v>31</v>
      </c>
      <c r="C122" s="12">
        <v>0.11851100000000001</v>
      </c>
      <c r="D122" s="12" t="s">
        <v>40</v>
      </c>
      <c r="E122" s="13">
        <v>200.98</v>
      </c>
      <c r="F122" s="14"/>
      <c r="G122" s="14"/>
      <c r="H122" s="15"/>
      <c r="I122" s="16"/>
      <c r="J122" s="16"/>
      <c r="K122" s="17"/>
      <c r="L122" s="18"/>
      <c r="M122" s="19"/>
    </row>
    <row r="123" spans="1:13" x14ac:dyDescent="0.2">
      <c r="A123" s="10">
        <v>44975.981064814812</v>
      </c>
      <c r="B123" s="11" t="s">
        <v>39</v>
      </c>
      <c r="C123" s="12"/>
      <c r="D123" s="12" t="s">
        <v>32</v>
      </c>
      <c r="E123" s="13"/>
      <c r="F123" s="14">
        <v>2.9593999999999999E-2</v>
      </c>
      <c r="G123" s="14" t="s">
        <v>40</v>
      </c>
      <c r="H123" s="15">
        <v>52.49</v>
      </c>
      <c r="I123" s="16">
        <v>8.8209999999999997E-5</v>
      </c>
      <c r="J123" s="16" t="s">
        <v>40</v>
      </c>
      <c r="K123" s="17">
        <v>0.16</v>
      </c>
      <c r="L123" s="18">
        <v>-2.48</v>
      </c>
      <c r="M123" s="19">
        <v>-0.01</v>
      </c>
    </row>
    <row r="124" spans="1:13" x14ac:dyDescent="0.2">
      <c r="A124" s="10">
        <v>44975.27003472222</v>
      </c>
      <c r="B124" s="11" t="s">
        <v>31</v>
      </c>
      <c r="C124" s="12">
        <v>5.859031E-2</v>
      </c>
      <c r="D124" s="12" t="s">
        <v>40</v>
      </c>
      <c r="E124" s="13">
        <v>100</v>
      </c>
      <c r="F124" s="14">
        <v>100</v>
      </c>
      <c r="G124" s="14" t="s">
        <v>32</v>
      </c>
      <c r="H124" s="15"/>
      <c r="I124" s="16"/>
      <c r="J124" s="16"/>
      <c r="K124" s="17"/>
      <c r="L124" s="18"/>
      <c r="M124" s="19"/>
    </row>
    <row r="125" spans="1:13" x14ac:dyDescent="0.2">
      <c r="A125" s="10">
        <v>44974.826979166668</v>
      </c>
      <c r="B125" s="11" t="s">
        <v>31</v>
      </c>
      <c r="C125" s="12">
        <v>0.12271883</v>
      </c>
      <c r="D125" s="12" t="s">
        <v>40</v>
      </c>
      <c r="E125" s="13">
        <v>209.37</v>
      </c>
      <c r="F125" s="14"/>
      <c r="G125" s="14"/>
      <c r="H125" s="15"/>
      <c r="I125" s="16"/>
      <c r="J125" s="16"/>
      <c r="K125" s="17"/>
      <c r="L125" s="18"/>
      <c r="M125" s="19"/>
    </row>
    <row r="126" spans="1:13" x14ac:dyDescent="0.2">
      <c r="A126" s="10">
        <v>44974.197002314817</v>
      </c>
      <c r="B126" s="11" t="s">
        <v>31</v>
      </c>
      <c r="C126" s="12">
        <v>13.840589789999999</v>
      </c>
      <c r="D126" s="12" t="s">
        <v>42</v>
      </c>
      <c r="E126" s="13">
        <v>100</v>
      </c>
      <c r="F126" s="14">
        <v>100</v>
      </c>
      <c r="G126" s="14" t="s">
        <v>32</v>
      </c>
      <c r="H126" s="15"/>
      <c r="I126" s="16"/>
      <c r="J126" s="16"/>
      <c r="K126" s="17"/>
      <c r="L126" s="18"/>
      <c r="M126" s="19"/>
    </row>
    <row r="127" spans="1:13" x14ac:dyDescent="0.2">
      <c r="A127" s="10">
        <v>44970.813946759263</v>
      </c>
      <c r="B127" s="11" t="s">
        <v>31</v>
      </c>
      <c r="C127" s="12">
        <v>226.59986336</v>
      </c>
      <c r="D127" s="12" t="s">
        <v>16</v>
      </c>
      <c r="E127" s="13">
        <v>20</v>
      </c>
      <c r="F127" s="14">
        <v>20</v>
      </c>
      <c r="G127" s="14" t="s">
        <v>32</v>
      </c>
      <c r="H127" s="15"/>
      <c r="I127" s="16"/>
      <c r="J127" s="16"/>
      <c r="K127" s="17"/>
      <c r="L127" s="18"/>
      <c r="M127" s="19"/>
    </row>
    <row r="128" spans="1:13" x14ac:dyDescent="0.2">
      <c r="A128" s="10">
        <v>44968.093576388892</v>
      </c>
      <c r="B128" s="11" t="s">
        <v>36</v>
      </c>
      <c r="C128" s="12">
        <v>5.7539899999999999</v>
      </c>
      <c r="D128" s="12" t="s">
        <v>33</v>
      </c>
      <c r="E128" s="13">
        <v>80.53</v>
      </c>
      <c r="F128" s="14">
        <v>4.5437105100000004</v>
      </c>
      <c r="G128" s="14" t="s">
        <v>50</v>
      </c>
      <c r="H128" s="15">
        <v>60</v>
      </c>
      <c r="I128" s="16"/>
      <c r="J128" s="16"/>
      <c r="K128" s="17"/>
      <c r="L128" s="18">
        <v>20.53</v>
      </c>
      <c r="M128" s="19"/>
    </row>
    <row r="129" spans="1:13" x14ac:dyDescent="0.2">
      <c r="A129" s="10">
        <v>44968.091805555552</v>
      </c>
      <c r="B129" s="11" t="s">
        <v>36</v>
      </c>
      <c r="C129" s="12">
        <v>353.71018700000002</v>
      </c>
      <c r="D129" s="12" t="s">
        <v>44</v>
      </c>
      <c r="E129" s="13">
        <v>88.26</v>
      </c>
      <c r="F129" s="14">
        <v>4.4627800799999999</v>
      </c>
      <c r="G129" s="14" t="s">
        <v>34</v>
      </c>
      <c r="H129" s="15">
        <v>100.01</v>
      </c>
      <c r="I129" s="16"/>
      <c r="J129" s="16"/>
      <c r="K129" s="17"/>
      <c r="L129" s="18">
        <v>-11.75</v>
      </c>
      <c r="M129" s="19"/>
    </row>
    <row r="130" spans="1:13" x14ac:dyDescent="0.2">
      <c r="A130" s="10">
        <v>44968.091365740736</v>
      </c>
      <c r="B130" s="11" t="s">
        <v>36</v>
      </c>
      <c r="C130" s="12">
        <v>570.41654500000004</v>
      </c>
      <c r="D130" s="12" t="s">
        <v>44</v>
      </c>
      <c r="E130" s="13">
        <v>142.43</v>
      </c>
      <c r="F130" s="14">
        <v>119.36914477000001</v>
      </c>
      <c r="G130" s="14" t="s">
        <v>51</v>
      </c>
      <c r="H130" s="15">
        <v>150</v>
      </c>
      <c r="I130" s="16"/>
      <c r="J130" s="16"/>
      <c r="K130" s="17"/>
      <c r="L130" s="18">
        <v>-7.57</v>
      </c>
      <c r="M130" s="19"/>
    </row>
    <row r="131" spans="1:13" x14ac:dyDescent="0.2">
      <c r="A131" s="10">
        <v>44968.090486111112</v>
      </c>
      <c r="B131" s="11" t="s">
        <v>36</v>
      </c>
      <c r="C131" s="12">
        <v>23.956347149999999</v>
      </c>
      <c r="D131" s="12" t="s">
        <v>42</v>
      </c>
      <c r="E131" s="13">
        <v>165.21</v>
      </c>
      <c r="F131" s="14">
        <v>472.56975499999999</v>
      </c>
      <c r="G131" s="14" t="s">
        <v>35</v>
      </c>
      <c r="H131" s="15">
        <v>178.89</v>
      </c>
      <c r="I131" s="16"/>
      <c r="J131" s="16"/>
      <c r="K131" s="17"/>
      <c r="L131" s="18">
        <v>-13.68</v>
      </c>
      <c r="M131" s="19"/>
    </row>
    <row r="132" spans="1:13" x14ac:dyDescent="0.2">
      <c r="A132" s="10">
        <v>44968.089733796303</v>
      </c>
      <c r="B132" s="11" t="s">
        <v>36</v>
      </c>
      <c r="C132" s="12">
        <v>28.723336209999999</v>
      </c>
      <c r="D132" s="12" t="s">
        <v>42</v>
      </c>
      <c r="E132" s="13">
        <v>198.03</v>
      </c>
      <c r="F132" s="14">
        <v>2353.6324543000001</v>
      </c>
      <c r="G132" s="14" t="s">
        <v>45</v>
      </c>
      <c r="H132" s="15">
        <v>213.33</v>
      </c>
      <c r="I132" s="16"/>
      <c r="J132" s="16"/>
      <c r="K132" s="17"/>
      <c r="L132" s="18">
        <v>-15.3</v>
      </c>
      <c r="M132" s="19"/>
    </row>
    <row r="133" spans="1:13" x14ac:dyDescent="0.2">
      <c r="A133" s="10">
        <v>44968.077048611107</v>
      </c>
      <c r="B133" s="11" t="s">
        <v>31</v>
      </c>
      <c r="C133" s="12">
        <v>6.5716040000000003E-2</v>
      </c>
      <c r="D133" s="12" t="s">
        <v>40</v>
      </c>
      <c r="E133" s="13">
        <v>100</v>
      </c>
      <c r="F133" s="14">
        <v>100</v>
      </c>
      <c r="G133" s="14" t="s">
        <v>32</v>
      </c>
      <c r="H133" s="15"/>
      <c r="I133" s="16"/>
      <c r="J133" s="16"/>
      <c r="K133" s="17"/>
      <c r="L133" s="18"/>
      <c r="M133" s="19"/>
    </row>
    <row r="134" spans="1:13" x14ac:dyDescent="0.2">
      <c r="A134" s="10">
        <v>44967.088020833333</v>
      </c>
      <c r="B134" s="11" t="s">
        <v>31</v>
      </c>
      <c r="C134" s="12">
        <v>13.799135100000001</v>
      </c>
      <c r="D134" s="12" t="s">
        <v>42</v>
      </c>
      <c r="E134" s="13">
        <v>97.01</v>
      </c>
      <c r="F134" s="14">
        <v>97.01</v>
      </c>
      <c r="G134" s="14" t="s">
        <v>32</v>
      </c>
      <c r="H134" s="15"/>
      <c r="I134" s="16">
        <v>2.99</v>
      </c>
      <c r="J134" s="16" t="s">
        <v>32</v>
      </c>
      <c r="K134" s="17">
        <v>2.99</v>
      </c>
      <c r="L134" s="18"/>
      <c r="M134" s="19"/>
    </row>
    <row r="135" spans="1:13" x14ac:dyDescent="0.2">
      <c r="A135" s="10">
        <v>44966.559907407413</v>
      </c>
      <c r="B135" s="11" t="s">
        <v>31</v>
      </c>
      <c r="C135" s="12">
        <v>345.467266</v>
      </c>
      <c r="D135" s="12" t="s">
        <v>44</v>
      </c>
      <c r="E135" s="13">
        <v>97.01</v>
      </c>
      <c r="F135" s="14">
        <v>97.01</v>
      </c>
      <c r="G135" s="14" t="s">
        <v>32</v>
      </c>
      <c r="H135" s="15"/>
      <c r="I135" s="16">
        <v>2.99</v>
      </c>
      <c r="J135" s="16" t="s">
        <v>32</v>
      </c>
      <c r="K135" s="17">
        <v>2.99</v>
      </c>
      <c r="L135" s="18"/>
      <c r="M135" s="19"/>
    </row>
    <row r="136" spans="1:13" x14ac:dyDescent="0.2">
      <c r="A136" s="10">
        <v>44966.1406712963</v>
      </c>
      <c r="B136" s="11" t="s">
        <v>31</v>
      </c>
      <c r="C136" s="12">
        <v>2.63709192</v>
      </c>
      <c r="D136" s="12" t="s">
        <v>42</v>
      </c>
      <c r="E136" s="13">
        <v>18.510000000000002</v>
      </c>
      <c r="F136" s="14">
        <v>18.510000000000002</v>
      </c>
      <c r="G136" s="14" t="s">
        <v>32</v>
      </c>
      <c r="H136" s="15"/>
      <c r="I136" s="16">
        <v>1.49</v>
      </c>
      <c r="J136" s="16" t="s">
        <v>32</v>
      </c>
      <c r="K136" s="17">
        <v>1.49</v>
      </c>
      <c r="L136" s="18"/>
      <c r="M136" s="19"/>
    </row>
    <row r="137" spans="1:13" x14ac:dyDescent="0.2">
      <c r="A137" s="10">
        <v>44966.117291666669</v>
      </c>
      <c r="B137" s="11" t="s">
        <v>31</v>
      </c>
      <c r="C137" s="12">
        <v>13.39468619</v>
      </c>
      <c r="D137" s="12" t="s">
        <v>42</v>
      </c>
      <c r="E137" s="13">
        <v>97.01</v>
      </c>
      <c r="F137" s="14">
        <v>97.01</v>
      </c>
      <c r="G137" s="14" t="s">
        <v>32</v>
      </c>
      <c r="H137" s="15"/>
      <c r="I137" s="16">
        <v>2.99</v>
      </c>
      <c r="J137" s="16" t="s">
        <v>32</v>
      </c>
      <c r="K137" s="17">
        <v>2.99</v>
      </c>
      <c r="L137" s="18"/>
      <c r="M137" s="19"/>
    </row>
    <row r="138" spans="1:13" x14ac:dyDescent="0.2">
      <c r="A138" s="10">
        <v>44966.116851851853</v>
      </c>
      <c r="B138" s="11" t="s">
        <v>31</v>
      </c>
      <c r="C138" s="12">
        <v>1062.7997565000001</v>
      </c>
      <c r="D138" s="12" t="s">
        <v>45</v>
      </c>
      <c r="E138" s="13">
        <v>97.01</v>
      </c>
      <c r="F138" s="14">
        <v>97.01</v>
      </c>
      <c r="G138" s="14" t="s">
        <v>32</v>
      </c>
      <c r="H138" s="15"/>
      <c r="I138" s="16">
        <v>2.99</v>
      </c>
      <c r="J138" s="16" t="s">
        <v>32</v>
      </c>
      <c r="K138" s="17">
        <v>2.99</v>
      </c>
      <c r="L138" s="18"/>
      <c r="M138" s="19"/>
    </row>
    <row r="139" spans="1:13" x14ac:dyDescent="0.2">
      <c r="A139" s="10">
        <v>44963.714803240742</v>
      </c>
      <c r="B139" s="11" t="s">
        <v>31</v>
      </c>
      <c r="C139" s="12">
        <v>264.01674599</v>
      </c>
      <c r="D139" s="12" t="s">
        <v>16</v>
      </c>
      <c r="E139" s="13">
        <v>18.510000000000002</v>
      </c>
      <c r="F139" s="14">
        <v>18.510000000000002</v>
      </c>
      <c r="G139" s="14" t="s">
        <v>32</v>
      </c>
      <c r="H139" s="15"/>
      <c r="I139" s="16">
        <v>1.49</v>
      </c>
      <c r="J139" s="16" t="s">
        <v>32</v>
      </c>
      <c r="K139" s="17">
        <v>1.49</v>
      </c>
      <c r="L139" s="18"/>
      <c r="M139" s="19"/>
    </row>
    <row r="140" spans="1:13" x14ac:dyDescent="0.2">
      <c r="A140" s="10">
        <v>44963.270439814813</v>
      </c>
      <c r="B140" s="11" t="s">
        <v>31</v>
      </c>
      <c r="C140" s="12">
        <v>1.132712E-2</v>
      </c>
      <c r="D140" s="12" t="s">
        <v>40</v>
      </c>
      <c r="E140" s="13">
        <v>18.510000000000002</v>
      </c>
      <c r="F140" s="14">
        <v>18.510000000000002</v>
      </c>
      <c r="G140" s="14" t="s">
        <v>32</v>
      </c>
      <c r="H140" s="15"/>
      <c r="I140" s="16">
        <v>1.49</v>
      </c>
      <c r="J140" s="16" t="s">
        <v>32</v>
      </c>
      <c r="K140" s="17">
        <v>1.49</v>
      </c>
      <c r="L140" s="18"/>
      <c r="M140" s="19"/>
    </row>
    <row r="141" spans="1:13" x14ac:dyDescent="0.2">
      <c r="A141" s="10">
        <v>44958.88108796296</v>
      </c>
      <c r="B141" s="11" t="s">
        <v>31</v>
      </c>
      <c r="C141" s="12">
        <v>2.5693987200000001</v>
      </c>
      <c r="D141" s="12" t="s">
        <v>42</v>
      </c>
      <c r="E141" s="13">
        <v>18.510000000000002</v>
      </c>
      <c r="F141" s="14">
        <v>18.510000000000002</v>
      </c>
      <c r="G141" s="14" t="s">
        <v>32</v>
      </c>
      <c r="H141" s="15"/>
      <c r="I141" s="16">
        <v>1.49</v>
      </c>
      <c r="J141" s="16" t="s">
        <v>32</v>
      </c>
      <c r="K141" s="17">
        <v>1.49</v>
      </c>
      <c r="L141" s="18"/>
      <c r="M141" s="19"/>
    </row>
    <row r="142" spans="1:13" x14ac:dyDescent="0.2">
      <c r="A142" s="10">
        <v>44956.843090277784</v>
      </c>
      <c r="B142" s="11" t="s">
        <v>31</v>
      </c>
      <c r="C142" s="12">
        <v>288.44870791</v>
      </c>
      <c r="D142" s="12" t="s">
        <v>16</v>
      </c>
      <c r="E142" s="13">
        <v>18.510000000000002</v>
      </c>
      <c r="F142" s="14">
        <v>18.510000000000002</v>
      </c>
      <c r="G142" s="14" t="s">
        <v>32</v>
      </c>
      <c r="H142" s="15"/>
      <c r="I142" s="16">
        <v>1.49</v>
      </c>
      <c r="J142" s="16" t="s">
        <v>32</v>
      </c>
      <c r="K142" s="17">
        <v>1.49</v>
      </c>
      <c r="L142" s="18"/>
      <c r="M142" s="19"/>
    </row>
    <row r="143" spans="1:13" x14ac:dyDescent="0.2">
      <c r="A143" s="10">
        <v>44956.273356481477</v>
      </c>
      <c r="B143" s="11" t="s">
        <v>31</v>
      </c>
      <c r="C143" s="12">
        <v>1.127567E-2</v>
      </c>
      <c r="D143" s="12" t="s">
        <v>40</v>
      </c>
      <c r="E143" s="13">
        <v>18.510000000000002</v>
      </c>
      <c r="F143" s="14">
        <v>18.510000000000002</v>
      </c>
      <c r="G143" s="14" t="s">
        <v>32</v>
      </c>
      <c r="H143" s="15"/>
      <c r="I143" s="16">
        <v>1.49</v>
      </c>
      <c r="J143" s="16" t="s">
        <v>32</v>
      </c>
      <c r="K143" s="17">
        <v>1.49</v>
      </c>
      <c r="L143" s="18"/>
      <c r="M143" s="19"/>
    </row>
    <row r="144" spans="1:13" x14ac:dyDescent="0.2">
      <c r="A144" s="10">
        <v>44949.780578703707</v>
      </c>
      <c r="B144" s="11" t="s">
        <v>31</v>
      </c>
      <c r="C144" s="12">
        <v>265.38112391999999</v>
      </c>
      <c r="D144" s="12" t="s">
        <v>16</v>
      </c>
      <c r="E144" s="13">
        <v>18.510000000000002</v>
      </c>
      <c r="F144" s="14">
        <v>18.510000000000002</v>
      </c>
      <c r="G144" s="14" t="s">
        <v>32</v>
      </c>
      <c r="H144" s="15"/>
      <c r="I144" s="16">
        <v>1.49</v>
      </c>
      <c r="J144" s="16" t="s">
        <v>32</v>
      </c>
      <c r="K144" s="17">
        <v>1.49</v>
      </c>
      <c r="L144" s="18"/>
      <c r="M144" s="19"/>
    </row>
    <row r="145" spans="1:13" x14ac:dyDescent="0.2">
      <c r="A145" s="10">
        <v>44949.285208333327</v>
      </c>
      <c r="B145" s="11" t="s">
        <v>31</v>
      </c>
      <c r="C145" s="12">
        <v>1.1246539999999999E-2</v>
      </c>
      <c r="D145" s="12" t="s">
        <v>40</v>
      </c>
      <c r="E145" s="13">
        <v>18.510000000000002</v>
      </c>
      <c r="F145" s="14">
        <v>18.510000000000002</v>
      </c>
      <c r="G145" s="14" t="s">
        <v>32</v>
      </c>
      <c r="H145" s="15"/>
      <c r="I145" s="16">
        <v>1.49</v>
      </c>
      <c r="J145" s="16" t="s">
        <v>32</v>
      </c>
      <c r="K145" s="17">
        <v>1.49</v>
      </c>
      <c r="L145" s="18"/>
      <c r="M145" s="19"/>
    </row>
    <row r="146" spans="1:13" x14ac:dyDescent="0.2">
      <c r="A146" s="10">
        <v>44946.915717592587</v>
      </c>
      <c r="B146" s="11" t="s">
        <v>36</v>
      </c>
      <c r="C146" s="12">
        <v>3.5688500000000001E-3</v>
      </c>
      <c r="D146" s="12" t="s">
        <v>40</v>
      </c>
      <c r="E146" s="13">
        <v>5.99</v>
      </c>
      <c r="F146" s="14">
        <v>16.625104</v>
      </c>
      <c r="G146" s="14" t="s">
        <v>35</v>
      </c>
      <c r="H146" s="15">
        <v>7.23</v>
      </c>
      <c r="I146" s="16"/>
      <c r="J146" s="16"/>
      <c r="K146" s="17"/>
      <c r="L146" s="18">
        <v>-1.24</v>
      </c>
      <c r="M146" s="19"/>
    </row>
    <row r="147" spans="1:13" x14ac:dyDescent="0.2">
      <c r="A147" s="10">
        <v>44946.915196759262</v>
      </c>
      <c r="B147" s="11" t="s">
        <v>36</v>
      </c>
      <c r="C147" s="12">
        <v>7.1284349999999996E-2</v>
      </c>
      <c r="D147" s="12" t="s">
        <v>40</v>
      </c>
      <c r="E147" s="13">
        <v>119.94</v>
      </c>
      <c r="F147" s="14">
        <v>0.83455038999999998</v>
      </c>
      <c r="G147" s="14" t="s">
        <v>49</v>
      </c>
      <c r="H147" s="15">
        <v>137.72999999999999</v>
      </c>
      <c r="I147" s="16"/>
      <c r="J147" s="16"/>
      <c r="K147" s="17"/>
      <c r="L147" s="18">
        <v>-17.79</v>
      </c>
      <c r="M147" s="19"/>
    </row>
    <row r="148" spans="1:13" x14ac:dyDescent="0.2">
      <c r="A148" s="10">
        <v>44946.914641203701</v>
      </c>
      <c r="B148" s="11" t="s">
        <v>36</v>
      </c>
      <c r="C148" s="12">
        <v>0.17811527999999999</v>
      </c>
      <c r="D148" s="12" t="s">
        <v>40</v>
      </c>
      <c r="E148" s="13">
        <v>299.82</v>
      </c>
      <c r="F148" s="14">
        <v>3950.2304147499999</v>
      </c>
      <c r="G148" s="14" t="s">
        <v>16</v>
      </c>
      <c r="H148" s="15">
        <v>300.55</v>
      </c>
      <c r="I148" s="16"/>
      <c r="J148" s="16"/>
      <c r="K148" s="17"/>
      <c r="L148" s="18">
        <v>-0.73</v>
      </c>
      <c r="M148" s="19"/>
    </row>
    <row r="149" spans="1:13" x14ac:dyDescent="0.2">
      <c r="A149" s="10">
        <v>44946.913668981477</v>
      </c>
      <c r="B149" s="11" t="s">
        <v>31</v>
      </c>
      <c r="C149" s="12">
        <v>13143.4273417</v>
      </c>
      <c r="D149" s="12" t="s">
        <v>16</v>
      </c>
      <c r="E149" s="13">
        <v>1000</v>
      </c>
      <c r="F149" s="14">
        <v>1000</v>
      </c>
      <c r="G149" s="14" t="s">
        <v>32</v>
      </c>
      <c r="H149" s="15"/>
      <c r="I149" s="16"/>
      <c r="J149" s="16"/>
      <c r="K149" s="17"/>
      <c r="L149" s="18"/>
      <c r="M149" s="19"/>
    </row>
    <row r="150" spans="1:13" x14ac:dyDescent="0.2">
      <c r="A150" s="10">
        <v>44946.740925925929</v>
      </c>
      <c r="B150" s="11" t="s">
        <v>31</v>
      </c>
      <c r="C150" s="12">
        <v>4.4574515999999997</v>
      </c>
      <c r="D150" s="12" t="s">
        <v>34</v>
      </c>
      <c r="E150" s="13">
        <v>100</v>
      </c>
      <c r="F150" s="14">
        <v>100</v>
      </c>
      <c r="G150" s="14" t="s">
        <v>32</v>
      </c>
      <c r="H150" s="15"/>
      <c r="I150" s="16"/>
      <c r="J150" s="16"/>
      <c r="K150" s="17"/>
      <c r="L150" s="18"/>
      <c r="M150" s="19"/>
    </row>
    <row r="151" spans="1:13" x14ac:dyDescent="0.2">
      <c r="A151" s="10">
        <v>44942.810347222221</v>
      </c>
      <c r="B151" s="11" t="s">
        <v>31</v>
      </c>
      <c r="C151" s="12">
        <v>372.58940273000002</v>
      </c>
      <c r="D151" s="12" t="s">
        <v>16</v>
      </c>
      <c r="E151" s="13">
        <v>20</v>
      </c>
      <c r="F151" s="14">
        <v>20</v>
      </c>
      <c r="G151" s="14" t="s">
        <v>32</v>
      </c>
      <c r="H151" s="15"/>
      <c r="I151" s="16"/>
      <c r="J151" s="16"/>
      <c r="K151" s="17"/>
      <c r="L151" s="18"/>
      <c r="M151" s="19"/>
    </row>
    <row r="152" spans="1:13" x14ac:dyDescent="0.2">
      <c r="A152" s="10">
        <v>44942.33761574074</v>
      </c>
      <c r="B152" s="11" t="s">
        <v>31</v>
      </c>
      <c r="C152" s="12">
        <v>1.27051E-2</v>
      </c>
      <c r="D152" s="12" t="s">
        <v>40</v>
      </c>
      <c r="E152" s="13">
        <v>20</v>
      </c>
      <c r="F152" s="14">
        <v>20</v>
      </c>
      <c r="G152" s="14" t="s">
        <v>32</v>
      </c>
      <c r="H152" s="15"/>
      <c r="I152" s="16"/>
      <c r="J152" s="16"/>
      <c r="K152" s="17"/>
      <c r="L152" s="18"/>
      <c r="M152" s="19"/>
    </row>
    <row r="153" spans="1:13" x14ac:dyDescent="0.2">
      <c r="A153" s="10">
        <v>44938.640636574077</v>
      </c>
      <c r="B153" s="11" t="s">
        <v>31</v>
      </c>
      <c r="C153" s="12">
        <v>3.00987E-3</v>
      </c>
      <c r="D153" s="12" t="s">
        <v>40</v>
      </c>
      <c r="E153" s="13">
        <v>4.16</v>
      </c>
      <c r="F153" s="14"/>
      <c r="G153" s="14"/>
      <c r="H153" s="15"/>
      <c r="I153" s="16"/>
      <c r="J153" s="16"/>
      <c r="K153" s="17"/>
      <c r="L153" s="18"/>
      <c r="M153" s="19"/>
    </row>
    <row r="154" spans="1:13" x14ac:dyDescent="0.2">
      <c r="A154" s="10">
        <v>44938.639490740738</v>
      </c>
      <c r="B154" s="11" t="s">
        <v>39</v>
      </c>
      <c r="C154" s="12"/>
      <c r="D154" s="12" t="s">
        <v>32</v>
      </c>
      <c r="E154" s="13"/>
      <c r="F154" s="14">
        <v>1.44287E-3</v>
      </c>
      <c r="G154" s="14" t="s">
        <v>40</v>
      </c>
      <c r="H154" s="15">
        <v>1.9</v>
      </c>
      <c r="I154" s="16">
        <v>3.7800000000000003E-4</v>
      </c>
      <c r="J154" s="16" t="s">
        <v>40</v>
      </c>
      <c r="K154" s="17">
        <v>0.5</v>
      </c>
      <c r="L154" s="18">
        <v>-0.04</v>
      </c>
      <c r="M154" s="19">
        <v>0.16</v>
      </c>
    </row>
    <row r="155" spans="1:13" x14ac:dyDescent="0.2">
      <c r="A155" s="10">
        <v>44938.635694444441</v>
      </c>
      <c r="B155" s="11" t="s">
        <v>39</v>
      </c>
      <c r="C155" s="12"/>
      <c r="D155" s="12" t="s">
        <v>32</v>
      </c>
      <c r="E155" s="13"/>
      <c r="F155" s="14">
        <v>3.6103799999999998E-3</v>
      </c>
      <c r="G155" s="14" t="s">
        <v>40</v>
      </c>
      <c r="H155" s="15">
        <v>4.76</v>
      </c>
      <c r="I155" s="16">
        <v>4.6200000000000001E-4</v>
      </c>
      <c r="J155" s="16" t="s">
        <v>40</v>
      </c>
      <c r="K155" s="17">
        <v>0.61</v>
      </c>
      <c r="L155" s="18">
        <v>0.16</v>
      </c>
      <c r="M155" s="19">
        <v>0.11</v>
      </c>
    </row>
    <row r="156" spans="1:13" x14ac:dyDescent="0.2">
      <c r="A156" s="10">
        <v>44937.765243055554</v>
      </c>
      <c r="B156" s="11" t="s">
        <v>36</v>
      </c>
      <c r="C156" s="12">
        <v>873.76772683000002</v>
      </c>
      <c r="D156" s="12" t="s">
        <v>16</v>
      </c>
      <c r="E156" s="13">
        <v>38.97</v>
      </c>
      <c r="F156" s="14">
        <v>128.04097300000001</v>
      </c>
      <c r="G156" s="14" t="s">
        <v>35</v>
      </c>
      <c r="H156" s="15">
        <v>55.65</v>
      </c>
      <c r="I156" s="16"/>
      <c r="J156" s="16"/>
      <c r="K156" s="17"/>
      <c r="L156" s="18">
        <v>-16.68</v>
      </c>
      <c r="M156" s="19"/>
    </row>
    <row r="157" spans="1:13" x14ac:dyDescent="0.2">
      <c r="A157" s="10">
        <v>44937.765011574083</v>
      </c>
      <c r="B157" s="11" t="s">
        <v>36</v>
      </c>
      <c r="C157" s="12">
        <v>655.50684043000001</v>
      </c>
      <c r="D157" s="12" t="s">
        <v>16</v>
      </c>
      <c r="E157" s="13">
        <v>29.23</v>
      </c>
      <c r="F157" s="14">
        <v>2.6812049999999998</v>
      </c>
      <c r="G157" s="14" t="s">
        <v>33</v>
      </c>
      <c r="H157" s="15">
        <v>35.47</v>
      </c>
      <c r="I157" s="16"/>
      <c r="J157" s="16"/>
      <c r="K157" s="17"/>
      <c r="L157" s="18">
        <v>-6.24</v>
      </c>
      <c r="M157" s="19"/>
    </row>
    <row r="158" spans="1:13" x14ac:dyDescent="0.2">
      <c r="A158" s="10">
        <v>44937.764467592591</v>
      </c>
      <c r="B158" s="11" t="s">
        <v>36</v>
      </c>
      <c r="C158" s="12">
        <v>656.21331996000004</v>
      </c>
      <c r="D158" s="12" t="s">
        <v>16</v>
      </c>
      <c r="E158" s="13">
        <v>29.24</v>
      </c>
      <c r="F158" s="14">
        <v>374.7470457</v>
      </c>
      <c r="G158" s="14" t="s">
        <v>45</v>
      </c>
      <c r="H158" s="15">
        <v>32.9</v>
      </c>
      <c r="I158" s="16"/>
      <c r="J158" s="16"/>
      <c r="K158" s="17"/>
      <c r="L158" s="18">
        <v>-3.66</v>
      </c>
      <c r="M158" s="19"/>
    </row>
    <row r="159" spans="1:13" x14ac:dyDescent="0.2">
      <c r="A159" s="10">
        <v>44935.668703703697</v>
      </c>
      <c r="B159" s="11" t="s">
        <v>31</v>
      </c>
      <c r="C159" s="12">
        <v>443.1084391</v>
      </c>
      <c r="D159" s="12" t="s">
        <v>16</v>
      </c>
      <c r="E159" s="13">
        <v>20</v>
      </c>
      <c r="F159" s="14">
        <v>20</v>
      </c>
      <c r="G159" s="14" t="s">
        <v>32</v>
      </c>
      <c r="H159" s="15"/>
      <c r="I159" s="16"/>
      <c r="J159" s="16"/>
      <c r="K159" s="17"/>
      <c r="L159" s="18"/>
      <c r="M159" s="19"/>
    </row>
    <row r="160" spans="1:13" x14ac:dyDescent="0.2">
      <c r="A160" s="10">
        <v>44935.279189814813</v>
      </c>
      <c r="B160" s="11" t="s">
        <v>31</v>
      </c>
      <c r="C160" s="12">
        <v>1.5181109999999999E-2</v>
      </c>
      <c r="D160" s="12" t="s">
        <v>40</v>
      </c>
      <c r="E160" s="13">
        <v>20</v>
      </c>
      <c r="F160" s="14">
        <v>20</v>
      </c>
      <c r="G160" s="14" t="s">
        <v>32</v>
      </c>
      <c r="H160" s="15"/>
      <c r="I160" s="16"/>
      <c r="J160" s="16"/>
      <c r="K160" s="17"/>
      <c r="L160" s="18"/>
      <c r="M160" s="19"/>
    </row>
    <row r="161" spans="1:13" x14ac:dyDescent="0.2">
      <c r="A161" s="10">
        <v>44935.196388888893</v>
      </c>
      <c r="B161" s="11" t="s">
        <v>31</v>
      </c>
      <c r="C161" s="12">
        <v>0.16864407000000001</v>
      </c>
      <c r="D161" s="12" t="s">
        <v>49</v>
      </c>
      <c r="E161" s="13">
        <v>20</v>
      </c>
      <c r="F161" s="14">
        <v>20</v>
      </c>
      <c r="G161" s="14" t="s">
        <v>32</v>
      </c>
      <c r="H161" s="15"/>
      <c r="I161" s="16"/>
      <c r="J161" s="16"/>
      <c r="K161" s="17"/>
      <c r="L161" s="18"/>
      <c r="M161" s="19"/>
    </row>
    <row r="162" spans="1:13" x14ac:dyDescent="0.2">
      <c r="A162" s="10">
        <v>44928.243923611109</v>
      </c>
      <c r="B162" s="11" t="s">
        <v>31</v>
      </c>
      <c r="C162" s="12">
        <v>5.8256000000000002E-2</v>
      </c>
      <c r="D162" s="12" t="s">
        <v>40</v>
      </c>
      <c r="E162" s="13">
        <v>70.03</v>
      </c>
      <c r="F162" s="14"/>
      <c r="G162" s="14"/>
      <c r="H162" s="15"/>
      <c r="I162" s="16"/>
      <c r="J162" s="16"/>
      <c r="K162" s="17"/>
      <c r="L162" s="18"/>
      <c r="M162" s="19"/>
    </row>
    <row r="163" spans="1:13" x14ac:dyDescent="0.2">
      <c r="A163" s="10">
        <v>44928.23741898148</v>
      </c>
      <c r="B163" s="11" t="s">
        <v>31</v>
      </c>
      <c r="C163" s="12">
        <v>0.18579030999999999</v>
      </c>
      <c r="D163" s="12" t="s">
        <v>49</v>
      </c>
      <c r="E163" s="13">
        <v>20</v>
      </c>
      <c r="F163" s="14">
        <v>20</v>
      </c>
      <c r="G163" s="14" t="s">
        <v>32</v>
      </c>
      <c r="H163" s="15"/>
      <c r="I163" s="16"/>
      <c r="J163" s="16"/>
      <c r="K163" s="17"/>
      <c r="L163" s="18"/>
      <c r="M163" s="19"/>
    </row>
    <row r="164" spans="1:13" x14ac:dyDescent="0.2">
      <c r="A164" s="10">
        <v>44928.206944444442</v>
      </c>
      <c r="B164" s="11" t="s">
        <v>31</v>
      </c>
      <c r="C164" s="12">
        <v>1.6572420000000001E-2</v>
      </c>
      <c r="D164" s="12" t="s">
        <v>40</v>
      </c>
      <c r="E164" s="13">
        <v>20</v>
      </c>
      <c r="F164" s="14">
        <v>20</v>
      </c>
      <c r="G164" s="14" t="s">
        <v>32</v>
      </c>
      <c r="H164" s="15"/>
      <c r="I164" s="16"/>
      <c r="J164" s="16"/>
      <c r="K164" s="17"/>
      <c r="L164" s="18"/>
      <c r="M164" s="19"/>
    </row>
    <row r="165" spans="1:13" x14ac:dyDescent="0.2">
      <c r="A165" s="10">
        <v>44926.193657407413</v>
      </c>
      <c r="B165" s="11" t="s">
        <v>31</v>
      </c>
      <c r="C165" s="12">
        <v>8.3765999999999993E-2</v>
      </c>
      <c r="D165" s="12" t="s">
        <v>40</v>
      </c>
      <c r="E165" s="13">
        <v>100.03</v>
      </c>
      <c r="F165" s="14"/>
      <c r="G165" s="14"/>
      <c r="H165" s="15"/>
      <c r="I165" s="16"/>
      <c r="J165" s="16"/>
      <c r="K165" s="17"/>
      <c r="L165" s="18"/>
      <c r="M165" s="19"/>
    </row>
    <row r="166" spans="1:13" x14ac:dyDescent="0.2">
      <c r="A166" s="10">
        <v>44925.771817129629</v>
      </c>
      <c r="B166" s="11" t="s">
        <v>39</v>
      </c>
      <c r="C166" s="12"/>
      <c r="D166" s="12" t="s">
        <v>32</v>
      </c>
      <c r="E166" s="13"/>
      <c r="F166" s="14">
        <v>8.3696000000000007E-2</v>
      </c>
      <c r="G166" s="14" t="s">
        <v>40</v>
      </c>
      <c r="H166" s="15">
        <v>103.37</v>
      </c>
      <c r="I166" s="16">
        <v>6.3239999999999998E-5</v>
      </c>
      <c r="J166" s="16" t="s">
        <v>40</v>
      </c>
      <c r="K166" s="17">
        <v>0.08</v>
      </c>
      <c r="L166" s="18">
        <v>-3.37</v>
      </c>
      <c r="M166" s="19">
        <v>0</v>
      </c>
    </row>
    <row r="167" spans="1:13" x14ac:dyDescent="0.2">
      <c r="A167" s="10">
        <v>44925.218368055554</v>
      </c>
      <c r="B167" s="11" t="s">
        <v>39</v>
      </c>
      <c r="C167" s="12"/>
      <c r="D167" s="12" t="s">
        <v>32</v>
      </c>
      <c r="E167" s="13"/>
      <c r="F167" s="14">
        <v>4.1825000000000001E-2</v>
      </c>
      <c r="G167" s="14" t="s">
        <v>40</v>
      </c>
      <c r="H167" s="15">
        <v>51.66</v>
      </c>
      <c r="I167" s="16">
        <v>6.3810000000000001E-5</v>
      </c>
      <c r="J167" s="16" t="s">
        <v>40</v>
      </c>
      <c r="K167" s="17">
        <v>0.08</v>
      </c>
      <c r="L167" s="18">
        <v>-1.68</v>
      </c>
      <c r="M167" s="19">
        <v>0</v>
      </c>
    </row>
    <row r="168" spans="1:13" x14ac:dyDescent="0.2">
      <c r="A168" s="10">
        <v>44922.081736111111</v>
      </c>
      <c r="B168" s="11" t="s">
        <v>31</v>
      </c>
      <c r="C168" s="12">
        <v>0.16192743000000001</v>
      </c>
      <c r="D168" s="12" t="s">
        <v>40</v>
      </c>
      <c r="E168" s="13">
        <v>200</v>
      </c>
      <c r="F168" s="14">
        <v>200</v>
      </c>
      <c r="G168" s="14" t="s">
        <v>32</v>
      </c>
      <c r="H168" s="15"/>
      <c r="I168" s="16"/>
      <c r="J168" s="16"/>
      <c r="K168" s="17"/>
      <c r="L168" s="18"/>
      <c r="M168" s="19"/>
    </row>
    <row r="169" spans="1:13" x14ac:dyDescent="0.2">
      <c r="A169" s="10">
        <v>44922.032222222217</v>
      </c>
      <c r="B169" s="11" t="s">
        <v>39</v>
      </c>
      <c r="C169" s="12"/>
      <c r="D169" s="12" t="s">
        <v>32</v>
      </c>
      <c r="E169" s="13"/>
      <c r="F169" s="14">
        <v>8.1725000000000006E-2</v>
      </c>
      <c r="G169" s="14" t="s">
        <v>40</v>
      </c>
      <c r="H169" s="15">
        <v>100.74</v>
      </c>
      <c r="I169" s="16">
        <v>6.622E-5</v>
      </c>
      <c r="J169" s="16" t="s">
        <v>40</v>
      </c>
      <c r="K169" s="17">
        <v>0.08</v>
      </c>
      <c r="L169" s="18">
        <v>-0.81</v>
      </c>
      <c r="M169" s="19">
        <v>0</v>
      </c>
    </row>
    <row r="170" spans="1:13" x14ac:dyDescent="0.2">
      <c r="A170" s="10">
        <v>44922.010659722233</v>
      </c>
      <c r="B170" s="11" t="s">
        <v>39</v>
      </c>
      <c r="C170" s="12"/>
      <c r="D170" s="12" t="s">
        <v>32</v>
      </c>
      <c r="E170" s="13"/>
      <c r="F170" s="14">
        <v>4.0683999999999998E-2</v>
      </c>
      <c r="G170" s="14" t="s">
        <v>40</v>
      </c>
      <c r="H170" s="15">
        <v>50.15</v>
      </c>
      <c r="I170" s="16">
        <v>6.6379999999999998E-5</v>
      </c>
      <c r="J170" s="16" t="s">
        <v>40</v>
      </c>
      <c r="K170" s="17">
        <v>0.08</v>
      </c>
      <c r="L170" s="18">
        <v>-0.16</v>
      </c>
      <c r="M170" s="19">
        <v>0</v>
      </c>
    </row>
    <row r="171" spans="1:13" x14ac:dyDescent="0.2">
      <c r="A171" s="10">
        <v>44921.241469907407</v>
      </c>
      <c r="B171" s="11" t="s">
        <v>31</v>
      </c>
      <c r="C171" s="12">
        <v>0.18544404</v>
      </c>
      <c r="D171" s="12" t="s">
        <v>49</v>
      </c>
      <c r="E171" s="13">
        <v>20</v>
      </c>
      <c r="F171" s="14">
        <v>20</v>
      </c>
      <c r="G171" s="14" t="s">
        <v>32</v>
      </c>
      <c r="H171" s="15"/>
      <c r="I171" s="16"/>
      <c r="J171" s="16"/>
      <c r="K171" s="17"/>
      <c r="L171" s="18"/>
      <c r="M171" s="19"/>
    </row>
    <row r="172" spans="1:13" x14ac:dyDescent="0.2">
      <c r="A172" s="10">
        <v>44921.197256944448</v>
      </c>
      <c r="B172" s="11" t="s">
        <v>31</v>
      </c>
      <c r="C172" s="12">
        <v>1.631107E-2</v>
      </c>
      <c r="D172" s="12" t="s">
        <v>40</v>
      </c>
      <c r="E172" s="13">
        <v>20</v>
      </c>
      <c r="F172" s="14">
        <v>20</v>
      </c>
      <c r="G172" s="14" t="s">
        <v>32</v>
      </c>
      <c r="H172" s="15"/>
      <c r="I172" s="16"/>
      <c r="J172" s="16"/>
      <c r="K172" s="17"/>
      <c r="L172" s="18"/>
      <c r="M172" s="19"/>
    </row>
    <row r="173" spans="1:13" x14ac:dyDescent="0.2">
      <c r="A173" s="10">
        <v>44917.569907407407</v>
      </c>
      <c r="B173" s="11" t="s">
        <v>31</v>
      </c>
      <c r="C173" s="12">
        <v>0.12354800000000001</v>
      </c>
      <c r="D173" s="12" t="s">
        <v>40</v>
      </c>
      <c r="E173" s="13">
        <v>150.02000000000001</v>
      </c>
      <c r="F173" s="14"/>
      <c r="G173" s="14"/>
      <c r="H173" s="15"/>
      <c r="I173" s="16"/>
      <c r="J173" s="16"/>
      <c r="K173" s="17"/>
      <c r="L173" s="18"/>
      <c r="M173" s="19"/>
    </row>
    <row r="174" spans="1:13" x14ac:dyDescent="0.2">
      <c r="A174" s="10">
        <v>44916.661793981482</v>
      </c>
      <c r="B174" s="11" t="s">
        <v>39</v>
      </c>
      <c r="C174" s="12"/>
      <c r="D174" s="12" t="s">
        <v>32</v>
      </c>
      <c r="E174" s="13"/>
      <c r="F174" s="14">
        <v>8.2324999999999995E-2</v>
      </c>
      <c r="G174" s="14" t="s">
        <v>40</v>
      </c>
      <c r="H174" s="15">
        <v>101.48</v>
      </c>
      <c r="I174" s="16">
        <v>6.5539999999999999E-5</v>
      </c>
      <c r="J174" s="16" t="s">
        <v>40</v>
      </c>
      <c r="K174" s="17">
        <v>0.08</v>
      </c>
      <c r="L174" s="18">
        <v>-1.48</v>
      </c>
      <c r="M174" s="19">
        <v>0</v>
      </c>
    </row>
    <row r="175" spans="1:13" x14ac:dyDescent="0.2">
      <c r="A175" s="10">
        <v>44916.62090277778</v>
      </c>
      <c r="B175" s="11" t="s">
        <v>39</v>
      </c>
      <c r="C175" s="12"/>
      <c r="D175" s="12" t="s">
        <v>32</v>
      </c>
      <c r="E175" s="13"/>
      <c r="F175" s="14">
        <v>4.1085000000000003E-2</v>
      </c>
      <c r="G175" s="14" t="s">
        <v>40</v>
      </c>
      <c r="H175" s="15">
        <v>50.96</v>
      </c>
      <c r="I175" s="16">
        <v>6.546E-5</v>
      </c>
      <c r="J175" s="16" t="s">
        <v>40</v>
      </c>
      <c r="K175" s="17">
        <v>0.08</v>
      </c>
      <c r="L175" s="18">
        <v>-0.99</v>
      </c>
      <c r="M175" s="19">
        <v>0</v>
      </c>
    </row>
    <row r="176" spans="1:13" x14ac:dyDescent="0.2">
      <c r="A176" s="10">
        <v>44914.284791666672</v>
      </c>
      <c r="B176" s="11" t="s">
        <v>31</v>
      </c>
      <c r="C176" s="12">
        <v>0.18022097000000001</v>
      </c>
      <c r="D176" s="12" t="s">
        <v>49</v>
      </c>
      <c r="E176" s="13">
        <v>20</v>
      </c>
      <c r="F176" s="14">
        <v>20</v>
      </c>
      <c r="G176" s="14" t="s">
        <v>32</v>
      </c>
      <c r="H176" s="15"/>
      <c r="I176" s="16"/>
      <c r="J176" s="16"/>
      <c r="K176" s="17"/>
      <c r="L176" s="18"/>
      <c r="M176" s="19"/>
    </row>
    <row r="177" spans="1:13" x14ac:dyDescent="0.2">
      <c r="A177" s="10">
        <v>44914.218194444453</v>
      </c>
      <c r="B177" s="11" t="s">
        <v>31</v>
      </c>
      <c r="C177" s="12">
        <v>1.6844990000000001E-2</v>
      </c>
      <c r="D177" s="12" t="s">
        <v>40</v>
      </c>
      <c r="E177" s="13">
        <v>20</v>
      </c>
      <c r="F177" s="14">
        <v>20</v>
      </c>
      <c r="G177" s="14" t="s">
        <v>32</v>
      </c>
      <c r="H177" s="15"/>
      <c r="I177" s="16"/>
      <c r="J177" s="16"/>
      <c r="K177" s="17"/>
      <c r="L177" s="18"/>
      <c r="M177" s="19"/>
    </row>
    <row r="178" spans="1:13" x14ac:dyDescent="0.2">
      <c r="A178" s="10">
        <v>44907.206875000003</v>
      </c>
      <c r="B178" s="11" t="s">
        <v>31</v>
      </c>
      <c r="C178" s="12">
        <v>0.17153694</v>
      </c>
      <c r="D178" s="12" t="s">
        <v>49</v>
      </c>
      <c r="E178" s="13">
        <v>20</v>
      </c>
      <c r="F178" s="14">
        <v>20</v>
      </c>
      <c r="G178" s="14" t="s">
        <v>32</v>
      </c>
      <c r="H178" s="15"/>
      <c r="I178" s="16"/>
      <c r="J178" s="16"/>
      <c r="K178" s="17"/>
      <c r="L178" s="18"/>
      <c r="M178" s="19"/>
    </row>
    <row r="179" spans="1:13" x14ac:dyDescent="0.2">
      <c r="A179" s="10">
        <v>44907.203414351847</v>
      </c>
      <c r="B179" s="11" t="s">
        <v>31</v>
      </c>
      <c r="C179" s="12">
        <v>1.5972259999999999E-2</v>
      </c>
      <c r="D179" s="12" t="s">
        <v>40</v>
      </c>
      <c r="E179" s="13">
        <v>20</v>
      </c>
      <c r="F179" s="14">
        <v>20</v>
      </c>
      <c r="G179" s="14" t="s">
        <v>32</v>
      </c>
      <c r="H179" s="15"/>
      <c r="I179" s="16"/>
      <c r="J179" s="16"/>
      <c r="K179" s="17"/>
      <c r="L179" s="18"/>
      <c r="M179" s="19"/>
    </row>
    <row r="180" spans="1:13" x14ac:dyDescent="0.2">
      <c r="A180" s="10">
        <v>44902.821516203701</v>
      </c>
      <c r="B180" s="11" t="s">
        <v>31</v>
      </c>
      <c r="C180" s="12">
        <v>0.54</v>
      </c>
      <c r="D180" s="12" t="s">
        <v>40</v>
      </c>
      <c r="E180" s="13">
        <v>665.63</v>
      </c>
      <c r="F180" s="14"/>
      <c r="G180" s="14"/>
      <c r="H180" s="15"/>
      <c r="I180" s="16"/>
      <c r="J180" s="16"/>
      <c r="K180" s="17"/>
      <c r="L180" s="18"/>
      <c r="M180" s="19"/>
    </row>
    <row r="181" spans="1:13" x14ac:dyDescent="0.2">
      <c r="A181" s="10">
        <v>44901.087407407409</v>
      </c>
      <c r="B181" s="11" t="s">
        <v>39</v>
      </c>
      <c r="C181" s="12"/>
      <c r="D181" s="12" t="s">
        <v>32</v>
      </c>
      <c r="E181" s="13"/>
      <c r="F181" s="14">
        <v>0.31627699999999997</v>
      </c>
      <c r="G181" s="14" t="s">
        <v>40</v>
      </c>
      <c r="H181" s="15">
        <v>381.94</v>
      </c>
      <c r="I181" s="16">
        <v>3.1500000000000001E-4</v>
      </c>
      <c r="J181" s="16" t="s">
        <v>40</v>
      </c>
      <c r="K181" s="17">
        <v>0.38</v>
      </c>
      <c r="L181" s="18">
        <v>18.190000000000001</v>
      </c>
      <c r="M181" s="19">
        <v>0.02</v>
      </c>
    </row>
    <row r="182" spans="1:13" x14ac:dyDescent="0.2">
      <c r="A182" s="10">
        <v>44901.058159722219</v>
      </c>
      <c r="B182" s="11" t="s">
        <v>39</v>
      </c>
      <c r="C182" s="12"/>
      <c r="D182" s="12" t="s">
        <v>32</v>
      </c>
      <c r="E182" s="13"/>
      <c r="F182" s="14">
        <v>7.8914999999999999E-2</v>
      </c>
      <c r="G182" s="14" t="s">
        <v>40</v>
      </c>
      <c r="H182" s="15">
        <v>95.63</v>
      </c>
      <c r="I182" s="16">
        <v>2.52E-4</v>
      </c>
      <c r="J182" s="16" t="s">
        <v>40</v>
      </c>
      <c r="K182" s="17">
        <v>0.3</v>
      </c>
      <c r="L182" s="18">
        <v>4.46</v>
      </c>
      <c r="M182" s="19">
        <v>0.02</v>
      </c>
    </row>
    <row r="183" spans="1:13" x14ac:dyDescent="0.2">
      <c r="A183" s="10">
        <v>44901.023090277777</v>
      </c>
      <c r="B183" s="11" t="s">
        <v>39</v>
      </c>
      <c r="C183" s="12"/>
      <c r="D183" s="12" t="s">
        <v>32</v>
      </c>
      <c r="E183" s="13"/>
      <c r="F183" s="14">
        <v>3.9595999999999999E-2</v>
      </c>
      <c r="G183" s="14" t="s">
        <v>40</v>
      </c>
      <c r="H183" s="15">
        <v>49.67</v>
      </c>
      <c r="I183" s="16">
        <v>3.1500000000000001E-4</v>
      </c>
      <c r="J183" s="16" t="s">
        <v>40</v>
      </c>
      <c r="K183" s="17">
        <v>0.39</v>
      </c>
      <c r="L183" s="18">
        <v>0.34</v>
      </c>
      <c r="M183" s="19">
        <v>0.02</v>
      </c>
    </row>
    <row r="184" spans="1:13" x14ac:dyDescent="0.2">
      <c r="A184" s="10">
        <v>44900.337013888893</v>
      </c>
      <c r="B184" s="11" t="s">
        <v>31</v>
      </c>
      <c r="C184" s="12">
        <v>0.15407246999999999</v>
      </c>
      <c r="D184" s="12" t="s">
        <v>49</v>
      </c>
      <c r="E184" s="13">
        <v>20</v>
      </c>
      <c r="F184" s="14">
        <v>20</v>
      </c>
      <c r="G184" s="14" t="s">
        <v>32</v>
      </c>
      <c r="H184" s="15"/>
      <c r="I184" s="16"/>
      <c r="J184" s="16"/>
      <c r="K184" s="17"/>
      <c r="L184" s="18"/>
      <c r="M184" s="19"/>
    </row>
    <row r="185" spans="1:13" x14ac:dyDescent="0.2">
      <c r="A185" s="10">
        <v>44900.319224537037</v>
      </c>
      <c r="B185" s="11" t="s">
        <v>31</v>
      </c>
      <c r="C185" s="12">
        <v>2.64100863</v>
      </c>
      <c r="D185" s="12" t="s">
        <v>42</v>
      </c>
      <c r="E185" s="13">
        <v>20</v>
      </c>
      <c r="F185" s="14">
        <v>20</v>
      </c>
      <c r="G185" s="14" t="s">
        <v>32</v>
      </c>
      <c r="H185" s="15"/>
      <c r="I185" s="16"/>
      <c r="J185" s="16"/>
      <c r="K185" s="17"/>
      <c r="L185" s="18"/>
      <c r="M185" s="19"/>
    </row>
    <row r="186" spans="1:13" x14ac:dyDescent="0.2">
      <c r="A186" s="10">
        <v>44900.274699074071</v>
      </c>
      <c r="B186" s="11" t="s">
        <v>31</v>
      </c>
      <c r="C186" s="12">
        <v>1.5361929999999999E-2</v>
      </c>
      <c r="D186" s="12" t="s">
        <v>40</v>
      </c>
      <c r="E186" s="13">
        <v>20</v>
      </c>
      <c r="F186" s="14">
        <v>20</v>
      </c>
      <c r="G186" s="14" t="s">
        <v>32</v>
      </c>
      <c r="H186" s="15"/>
      <c r="I186" s="16"/>
      <c r="J186" s="16"/>
      <c r="K186" s="17"/>
      <c r="L186" s="18"/>
      <c r="M186" s="19"/>
    </row>
    <row r="187" spans="1:13" x14ac:dyDescent="0.2">
      <c r="A187" s="10">
        <v>44900.257893518523</v>
      </c>
      <c r="B187" s="11" t="s">
        <v>31</v>
      </c>
      <c r="C187" s="12">
        <v>61.061675000000001</v>
      </c>
      <c r="D187" s="12" t="s">
        <v>35</v>
      </c>
      <c r="E187" s="13">
        <v>20</v>
      </c>
      <c r="F187" s="14">
        <v>20</v>
      </c>
      <c r="G187" s="14" t="s">
        <v>32</v>
      </c>
      <c r="H187" s="15"/>
      <c r="I187" s="16"/>
      <c r="J187" s="16"/>
      <c r="K187" s="17"/>
      <c r="L187" s="18"/>
      <c r="M187" s="19"/>
    </row>
    <row r="188" spans="1:13" x14ac:dyDescent="0.2">
      <c r="A188" s="10">
        <v>44900.193402777782</v>
      </c>
      <c r="B188" s="11" t="s">
        <v>31</v>
      </c>
      <c r="C188" s="12">
        <v>1.4063604199999999</v>
      </c>
      <c r="D188" s="12" t="s">
        <v>50</v>
      </c>
      <c r="E188" s="13">
        <v>20</v>
      </c>
      <c r="F188" s="14">
        <v>20</v>
      </c>
      <c r="G188" s="14" t="s">
        <v>32</v>
      </c>
      <c r="H188" s="15"/>
      <c r="I188" s="16"/>
      <c r="J188" s="16"/>
      <c r="K188" s="17"/>
      <c r="L188" s="18"/>
      <c r="M188" s="19"/>
    </row>
    <row r="189" spans="1:13" x14ac:dyDescent="0.2">
      <c r="A189" s="10">
        <v>44896.803310185183</v>
      </c>
      <c r="B189" s="11" t="s">
        <v>36</v>
      </c>
      <c r="C189" s="12">
        <v>1665.5797434999999</v>
      </c>
      <c r="D189" s="12" t="s">
        <v>45</v>
      </c>
      <c r="E189" s="13">
        <v>146.22999999999999</v>
      </c>
      <c r="F189" s="14">
        <v>0.1176406</v>
      </c>
      <c r="G189" s="14" t="s">
        <v>40</v>
      </c>
      <c r="H189" s="15">
        <v>147.31</v>
      </c>
      <c r="I189" s="16"/>
      <c r="J189" s="16"/>
      <c r="K189" s="17"/>
      <c r="L189" s="18">
        <v>-1.08</v>
      </c>
      <c r="M189" s="19"/>
    </row>
    <row r="190" spans="1:13" x14ac:dyDescent="0.2">
      <c r="A190" s="10">
        <v>44896.80196759259</v>
      </c>
      <c r="B190" s="11" t="s">
        <v>36</v>
      </c>
      <c r="C190" s="12">
        <v>324.38193999999999</v>
      </c>
      <c r="D190" s="12" t="s">
        <v>44</v>
      </c>
      <c r="E190" s="13">
        <v>80.39</v>
      </c>
      <c r="F190" s="14">
        <v>5.9178994100000004</v>
      </c>
      <c r="G190" s="14" t="s">
        <v>34</v>
      </c>
      <c r="H190" s="15">
        <v>200.62</v>
      </c>
      <c r="I190" s="16"/>
      <c r="J190" s="16"/>
      <c r="K190" s="17"/>
      <c r="L190" s="18">
        <v>-122.69</v>
      </c>
      <c r="M190" s="19"/>
    </row>
    <row r="191" spans="1:13" x14ac:dyDescent="0.2">
      <c r="A191" s="10">
        <v>44894.636759259258</v>
      </c>
      <c r="B191" s="11" t="s">
        <v>31</v>
      </c>
      <c r="C191" s="12">
        <v>0.41966714999999999</v>
      </c>
      <c r="D191" s="12" t="s">
        <v>40</v>
      </c>
      <c r="E191" s="13">
        <v>506.8</v>
      </c>
      <c r="F191" s="14"/>
      <c r="G191" s="14"/>
      <c r="H191" s="15"/>
      <c r="I191" s="16"/>
      <c r="J191" s="16"/>
      <c r="K191" s="17"/>
      <c r="L191" s="18"/>
      <c r="M191" s="19"/>
    </row>
    <row r="192" spans="1:13" x14ac:dyDescent="0.2">
      <c r="A192" s="10">
        <v>44893.740567129629</v>
      </c>
      <c r="B192" s="11" t="s">
        <v>39</v>
      </c>
      <c r="C192" s="12"/>
      <c r="D192" s="12" t="s">
        <v>32</v>
      </c>
      <c r="E192" s="13"/>
      <c r="F192" s="14">
        <v>0.25511800000000001</v>
      </c>
      <c r="G192" s="14" t="s">
        <v>40</v>
      </c>
      <c r="H192" s="15">
        <v>343.87</v>
      </c>
      <c r="I192" s="16">
        <v>5.2499999999999997E-4</v>
      </c>
      <c r="J192" s="16" t="s">
        <v>40</v>
      </c>
      <c r="K192" s="17">
        <v>0.67</v>
      </c>
      <c r="L192" s="18">
        <v>-43.85</v>
      </c>
      <c r="M192" s="19">
        <v>-0.05</v>
      </c>
    </row>
    <row r="193" spans="1:13" x14ac:dyDescent="0.2">
      <c r="A193" s="10">
        <v>44893.655752314808</v>
      </c>
      <c r="B193" s="11" t="s">
        <v>39</v>
      </c>
      <c r="C193" s="12"/>
      <c r="D193" s="12" t="s">
        <v>32</v>
      </c>
      <c r="E193" s="13"/>
      <c r="F193" s="14">
        <v>8.6155999999999996E-2</v>
      </c>
      <c r="G193" s="14" t="s">
        <v>40</v>
      </c>
      <c r="H193" s="15">
        <v>127.16</v>
      </c>
      <c r="I193" s="16">
        <v>6.5099999999999999E-4</v>
      </c>
      <c r="J193" s="16" t="s">
        <v>40</v>
      </c>
      <c r="K193" s="17">
        <v>0.89</v>
      </c>
      <c r="L193" s="18">
        <v>-27.16</v>
      </c>
      <c r="M193" s="19">
        <v>-0.13</v>
      </c>
    </row>
    <row r="194" spans="1:13" x14ac:dyDescent="0.2">
      <c r="A194" s="10">
        <v>44893.632743055547</v>
      </c>
      <c r="B194" s="11" t="s">
        <v>39</v>
      </c>
      <c r="C194" s="12"/>
      <c r="D194" s="12" t="s">
        <v>32</v>
      </c>
      <c r="E194" s="13"/>
      <c r="F194" s="14">
        <v>4.2960999999999999E-2</v>
      </c>
      <c r="G194" s="14" t="s">
        <v>40</v>
      </c>
      <c r="H194" s="15">
        <v>70.959999999999994</v>
      </c>
      <c r="I194" s="16">
        <v>8.1899999999999996E-4</v>
      </c>
      <c r="J194" s="16" t="s">
        <v>40</v>
      </c>
      <c r="K194" s="17">
        <v>1.34</v>
      </c>
      <c r="L194" s="18">
        <v>-20.99</v>
      </c>
      <c r="M194" s="19">
        <v>-0.37</v>
      </c>
    </row>
    <row r="195" spans="1:13" x14ac:dyDescent="0.2">
      <c r="A195" s="10">
        <v>44893.604050925933</v>
      </c>
      <c r="B195" s="11" t="s">
        <v>39</v>
      </c>
      <c r="C195" s="12"/>
      <c r="D195" s="12" t="s">
        <v>32</v>
      </c>
      <c r="E195" s="13"/>
      <c r="F195" s="14">
        <v>4.2763000000000002E-2</v>
      </c>
      <c r="G195" s="14" t="s">
        <v>40</v>
      </c>
      <c r="H195" s="15">
        <v>71.400000000000006</v>
      </c>
      <c r="I195" s="16">
        <v>1.1130000000000001E-3</v>
      </c>
      <c r="J195" s="16" t="s">
        <v>40</v>
      </c>
      <c r="K195" s="17">
        <v>1.86</v>
      </c>
      <c r="L195" s="18">
        <v>-21.37</v>
      </c>
      <c r="M195" s="19">
        <v>-0.52</v>
      </c>
    </row>
    <row r="196" spans="1:13" x14ac:dyDescent="0.2">
      <c r="A196" s="10">
        <v>44893.319803240738</v>
      </c>
      <c r="B196" s="11" t="s">
        <v>31</v>
      </c>
      <c r="C196" s="12">
        <v>1.6139497199999999</v>
      </c>
      <c r="D196" s="12" t="s">
        <v>50</v>
      </c>
      <c r="E196" s="13">
        <v>20</v>
      </c>
      <c r="F196" s="14">
        <v>20</v>
      </c>
      <c r="G196" s="14" t="s">
        <v>32</v>
      </c>
      <c r="H196" s="15"/>
      <c r="I196" s="16"/>
      <c r="J196" s="16"/>
      <c r="K196" s="17"/>
      <c r="L196" s="18"/>
      <c r="M196" s="19"/>
    </row>
    <row r="197" spans="1:13" x14ac:dyDescent="0.2">
      <c r="A197" s="10">
        <v>44893.297442129631</v>
      </c>
      <c r="B197" s="11" t="s">
        <v>31</v>
      </c>
      <c r="C197" s="12">
        <v>1.697156E-2</v>
      </c>
      <c r="D197" s="12" t="s">
        <v>40</v>
      </c>
      <c r="E197" s="13">
        <v>20</v>
      </c>
      <c r="F197" s="14">
        <v>20</v>
      </c>
      <c r="G197" s="14" t="s">
        <v>32</v>
      </c>
      <c r="H197" s="15"/>
      <c r="I197" s="16"/>
      <c r="J197" s="16"/>
      <c r="K197" s="17"/>
      <c r="L197" s="18"/>
      <c r="M197" s="19"/>
    </row>
    <row r="198" spans="1:13" x14ac:dyDescent="0.2">
      <c r="A198" s="10">
        <v>44893.288344907407</v>
      </c>
      <c r="B198" s="11" t="s">
        <v>31</v>
      </c>
      <c r="C198" s="12">
        <v>0.17671609999999999</v>
      </c>
      <c r="D198" s="12" t="s">
        <v>49</v>
      </c>
      <c r="E198" s="13">
        <v>20</v>
      </c>
      <c r="F198" s="14">
        <v>20</v>
      </c>
      <c r="G198" s="14" t="s">
        <v>32</v>
      </c>
      <c r="H198" s="15"/>
      <c r="I198" s="16"/>
      <c r="J198" s="16"/>
      <c r="K198" s="17"/>
      <c r="L198" s="18"/>
      <c r="M198" s="19"/>
    </row>
    <row r="199" spans="1:13" x14ac:dyDescent="0.2">
      <c r="A199" s="10">
        <v>44893.207361111112</v>
      </c>
      <c r="B199" s="11" t="s">
        <v>31</v>
      </c>
      <c r="C199" s="12">
        <v>64.990201999999996</v>
      </c>
      <c r="D199" s="12" t="s">
        <v>35</v>
      </c>
      <c r="E199" s="13">
        <v>20</v>
      </c>
      <c r="F199" s="14">
        <v>20</v>
      </c>
      <c r="G199" s="14" t="s">
        <v>32</v>
      </c>
      <c r="H199" s="15"/>
      <c r="I199" s="16"/>
      <c r="J199" s="16"/>
      <c r="K199" s="17"/>
      <c r="L199" s="18"/>
      <c r="M199" s="19"/>
    </row>
    <row r="200" spans="1:13" x14ac:dyDescent="0.2">
      <c r="A200" s="10">
        <v>44893.199074074073</v>
      </c>
      <c r="B200" s="11" t="s">
        <v>31</v>
      </c>
      <c r="C200" s="12">
        <v>2.9604284399999998</v>
      </c>
      <c r="D200" s="12" t="s">
        <v>42</v>
      </c>
      <c r="E200" s="13">
        <v>20</v>
      </c>
      <c r="F200" s="14">
        <v>20</v>
      </c>
      <c r="G200" s="14" t="s">
        <v>32</v>
      </c>
      <c r="H200" s="15"/>
      <c r="I200" s="16"/>
      <c r="J200" s="16"/>
      <c r="K200" s="17"/>
      <c r="L200" s="18"/>
      <c r="M200" s="19"/>
    </row>
    <row r="201" spans="1:13" x14ac:dyDescent="0.2">
      <c r="A201" s="10">
        <v>44886.044756944437</v>
      </c>
      <c r="B201" s="11" t="s">
        <v>31</v>
      </c>
      <c r="C201" s="12">
        <v>0.16911129</v>
      </c>
      <c r="D201" s="12" t="s">
        <v>49</v>
      </c>
      <c r="E201" s="13">
        <v>18.510000000000002</v>
      </c>
      <c r="F201" s="14">
        <v>18.510000000000002</v>
      </c>
      <c r="G201" s="14" t="s">
        <v>32</v>
      </c>
      <c r="H201" s="15"/>
      <c r="I201" s="16">
        <v>1.49</v>
      </c>
      <c r="J201" s="16" t="s">
        <v>32</v>
      </c>
      <c r="K201" s="17">
        <v>1.49</v>
      </c>
      <c r="L201" s="18"/>
      <c r="M201" s="19"/>
    </row>
    <row r="202" spans="1:13" x14ac:dyDescent="0.2">
      <c r="A202" s="10">
        <v>44886.040706018517</v>
      </c>
      <c r="B202" s="11" t="s">
        <v>31</v>
      </c>
      <c r="C202" s="12">
        <v>3.17769331</v>
      </c>
      <c r="D202" s="12" t="s">
        <v>42</v>
      </c>
      <c r="E202" s="13">
        <v>18.510000000000002</v>
      </c>
      <c r="F202" s="14">
        <v>18.510000000000002</v>
      </c>
      <c r="G202" s="14" t="s">
        <v>32</v>
      </c>
      <c r="H202" s="15"/>
      <c r="I202" s="16">
        <v>1.49</v>
      </c>
      <c r="J202" s="16" t="s">
        <v>32</v>
      </c>
      <c r="K202" s="17">
        <v>1.49</v>
      </c>
      <c r="L202" s="18"/>
      <c r="M202" s="19"/>
    </row>
    <row r="203" spans="1:13" x14ac:dyDescent="0.2">
      <c r="A203" s="10">
        <v>44886.040069444447</v>
      </c>
      <c r="B203" s="11" t="s">
        <v>31</v>
      </c>
      <c r="C203" s="12">
        <v>1.5234003700000001</v>
      </c>
      <c r="D203" s="12" t="s">
        <v>50</v>
      </c>
      <c r="E203" s="13">
        <v>18.510000000000002</v>
      </c>
      <c r="F203" s="14">
        <v>18.510000000000002</v>
      </c>
      <c r="G203" s="14" t="s">
        <v>32</v>
      </c>
      <c r="H203" s="15"/>
      <c r="I203" s="16">
        <v>1.49</v>
      </c>
      <c r="J203" s="16" t="s">
        <v>32</v>
      </c>
      <c r="K203" s="17">
        <v>1.49</v>
      </c>
      <c r="L203" s="18"/>
      <c r="M203" s="19"/>
    </row>
    <row r="204" spans="1:13" x14ac:dyDescent="0.2">
      <c r="A204" s="10">
        <v>44886.038263888891</v>
      </c>
      <c r="B204" s="11" t="s">
        <v>31</v>
      </c>
      <c r="C204" s="12">
        <v>58.918460000000003</v>
      </c>
      <c r="D204" s="12" t="s">
        <v>35</v>
      </c>
      <c r="E204" s="13">
        <v>18.510000000000002</v>
      </c>
      <c r="F204" s="14">
        <v>18.510000000000002</v>
      </c>
      <c r="G204" s="14" t="s">
        <v>32</v>
      </c>
      <c r="H204" s="15"/>
      <c r="I204" s="16">
        <v>1.49</v>
      </c>
      <c r="J204" s="16" t="s">
        <v>32</v>
      </c>
      <c r="K204" s="17">
        <v>1.49</v>
      </c>
      <c r="L204" s="18"/>
      <c r="M204" s="19"/>
    </row>
    <row r="205" spans="1:13" x14ac:dyDescent="0.2">
      <c r="A205" s="10">
        <v>44886.036979166667</v>
      </c>
      <c r="B205" s="11" t="s">
        <v>31</v>
      </c>
      <c r="C205" s="12">
        <v>1.6193989999999998E-2</v>
      </c>
      <c r="D205" s="12" t="s">
        <v>40</v>
      </c>
      <c r="E205" s="13">
        <v>18.510000000000002</v>
      </c>
      <c r="F205" s="14">
        <v>18.510000000000002</v>
      </c>
      <c r="G205" s="14" t="s">
        <v>32</v>
      </c>
      <c r="H205" s="15"/>
      <c r="I205" s="16">
        <v>1.49</v>
      </c>
      <c r="J205" s="16" t="s">
        <v>32</v>
      </c>
      <c r="K205" s="17">
        <v>1.49</v>
      </c>
      <c r="L205" s="18"/>
      <c r="M205" s="19"/>
    </row>
    <row r="206" spans="1:13" x14ac:dyDescent="0.2">
      <c r="A206" s="10">
        <v>44885.840277777781</v>
      </c>
      <c r="B206" s="11" t="s">
        <v>31</v>
      </c>
      <c r="C206" s="12">
        <v>8.1690860000000004E-2</v>
      </c>
      <c r="D206" s="12" t="s">
        <v>40</v>
      </c>
      <c r="E206" s="13">
        <v>97.01</v>
      </c>
      <c r="F206" s="14">
        <v>97.01</v>
      </c>
      <c r="G206" s="14" t="s">
        <v>32</v>
      </c>
      <c r="H206" s="15"/>
      <c r="I206" s="16">
        <v>2.99</v>
      </c>
      <c r="J206" s="16" t="s">
        <v>32</v>
      </c>
      <c r="K206" s="17">
        <v>2.99</v>
      </c>
      <c r="L206" s="18"/>
      <c r="M206" s="19"/>
    </row>
    <row r="207" spans="1:13" x14ac:dyDescent="0.2">
      <c r="A207" s="10">
        <v>44878.840787037043</v>
      </c>
      <c r="B207" s="11" t="s">
        <v>31</v>
      </c>
      <c r="C207" s="12">
        <v>7.8565270000000006E-2</v>
      </c>
      <c r="D207" s="12" t="s">
        <v>40</v>
      </c>
      <c r="E207" s="13">
        <v>97.01</v>
      </c>
      <c r="F207" s="14">
        <v>97.01</v>
      </c>
      <c r="G207" s="14" t="s">
        <v>32</v>
      </c>
      <c r="H207" s="15"/>
      <c r="I207" s="16">
        <v>2.99</v>
      </c>
      <c r="J207" s="16" t="s">
        <v>32</v>
      </c>
      <c r="K207" s="17">
        <v>2.99</v>
      </c>
      <c r="L207" s="18"/>
      <c r="M207" s="19"/>
    </row>
    <row r="208" spans="1:13" x14ac:dyDescent="0.2">
      <c r="A208" s="10">
        <v>44873.69902777778</v>
      </c>
      <c r="B208" s="11" t="s">
        <v>31</v>
      </c>
      <c r="C208" s="12">
        <v>119.36914477000001</v>
      </c>
      <c r="D208" s="12" t="s">
        <v>51</v>
      </c>
      <c r="E208" s="13">
        <v>147.01</v>
      </c>
      <c r="F208" s="14">
        <v>147.01</v>
      </c>
      <c r="G208" s="14" t="s">
        <v>32</v>
      </c>
      <c r="H208" s="15"/>
      <c r="I208" s="16">
        <v>2.99</v>
      </c>
      <c r="J208" s="16" t="s">
        <v>32</v>
      </c>
      <c r="K208" s="17">
        <v>2.99</v>
      </c>
      <c r="L208" s="18"/>
      <c r="M208" s="19"/>
    </row>
    <row r="209" spans="1:13" x14ac:dyDescent="0.2">
      <c r="A209" s="10">
        <v>44871.809120370373</v>
      </c>
      <c r="B209" s="11" t="s">
        <v>31</v>
      </c>
      <c r="C209" s="12">
        <v>5.9890310000000002E-2</v>
      </c>
      <c r="D209" s="12" t="s">
        <v>40</v>
      </c>
      <c r="E209" s="13">
        <v>97.01</v>
      </c>
      <c r="F209" s="14">
        <v>97.01</v>
      </c>
      <c r="G209" s="14" t="s">
        <v>32</v>
      </c>
      <c r="H209" s="15"/>
      <c r="I209" s="16">
        <v>2.99</v>
      </c>
      <c r="J209" s="16" t="s">
        <v>32</v>
      </c>
      <c r="K209" s="17">
        <v>2.99</v>
      </c>
      <c r="L209" s="18"/>
      <c r="M209" s="19"/>
    </row>
    <row r="210" spans="1:13" x14ac:dyDescent="0.2">
      <c r="A210" s="10">
        <v>44868.1330787037</v>
      </c>
      <c r="B210" s="11" t="s">
        <v>31</v>
      </c>
      <c r="C210" s="12">
        <v>1.21190077</v>
      </c>
      <c r="D210" s="12" t="s">
        <v>49</v>
      </c>
      <c r="E210" s="13">
        <v>197.01</v>
      </c>
      <c r="F210" s="14">
        <v>197.01</v>
      </c>
      <c r="G210" s="14" t="s">
        <v>32</v>
      </c>
      <c r="H210" s="15"/>
      <c r="I210" s="16">
        <v>2.99</v>
      </c>
      <c r="J210" s="16" t="s">
        <v>32</v>
      </c>
      <c r="K210" s="17">
        <v>2.99</v>
      </c>
      <c r="L210" s="18"/>
      <c r="M210" s="19"/>
    </row>
    <row r="211" spans="1:13" x14ac:dyDescent="0.2">
      <c r="A211" s="10">
        <v>44867.116736111107</v>
      </c>
      <c r="B211" s="11" t="s">
        <v>36</v>
      </c>
      <c r="C211" s="12">
        <v>839.14913694999996</v>
      </c>
      <c r="D211" s="12" t="s">
        <v>16</v>
      </c>
      <c r="E211" s="13">
        <v>48.73</v>
      </c>
      <c r="F211" s="14">
        <v>125.313283</v>
      </c>
      <c r="G211" s="14" t="s">
        <v>35</v>
      </c>
      <c r="H211" s="15">
        <v>54.46</v>
      </c>
      <c r="I211" s="16"/>
      <c r="J211" s="16"/>
      <c r="K211" s="17"/>
      <c r="L211" s="18">
        <v>-5.73</v>
      </c>
      <c r="M211" s="19"/>
    </row>
    <row r="212" spans="1:13" x14ac:dyDescent="0.2">
      <c r="A212" s="10">
        <v>44867.116469907407</v>
      </c>
      <c r="B212" s="11" t="s">
        <v>36</v>
      </c>
      <c r="C212" s="12">
        <v>839.61242671000002</v>
      </c>
      <c r="D212" s="12" t="s">
        <v>16</v>
      </c>
      <c r="E212" s="13">
        <v>48.74</v>
      </c>
      <c r="F212" s="14">
        <v>3.5898910000000002</v>
      </c>
      <c r="G212" s="14" t="s">
        <v>33</v>
      </c>
      <c r="H212" s="15">
        <v>47.39</v>
      </c>
      <c r="I212" s="16"/>
      <c r="J212" s="16"/>
      <c r="K212" s="17"/>
      <c r="L212" s="18">
        <v>1.35</v>
      </c>
      <c r="M212" s="19"/>
    </row>
    <row r="213" spans="1:13" x14ac:dyDescent="0.2">
      <c r="A213" s="10">
        <v>44864.759837962964</v>
      </c>
      <c r="B213" s="11" t="s">
        <v>31</v>
      </c>
      <c r="C213" s="12">
        <v>6.0941040000000002E-2</v>
      </c>
      <c r="D213" s="12" t="s">
        <v>40</v>
      </c>
      <c r="E213" s="13">
        <v>97.01</v>
      </c>
      <c r="F213" s="14">
        <v>97.01</v>
      </c>
      <c r="G213" s="14" t="s">
        <v>32</v>
      </c>
      <c r="H213" s="15"/>
      <c r="I213" s="16">
        <v>2.99</v>
      </c>
      <c r="J213" s="16" t="s">
        <v>32</v>
      </c>
      <c r="K213" s="17">
        <v>2.99</v>
      </c>
      <c r="L213" s="18"/>
      <c r="M213" s="19"/>
    </row>
    <row r="214" spans="1:13" x14ac:dyDescent="0.2">
      <c r="A214" s="10">
        <v>44857.699826388889</v>
      </c>
      <c r="B214" s="11" t="s">
        <v>31</v>
      </c>
      <c r="C214" s="12">
        <v>7.3430300000000004E-2</v>
      </c>
      <c r="D214" s="12" t="s">
        <v>40</v>
      </c>
      <c r="E214" s="13">
        <v>97.01</v>
      </c>
      <c r="F214" s="14">
        <v>97.01</v>
      </c>
      <c r="G214" s="14" t="s">
        <v>32</v>
      </c>
      <c r="H214" s="15"/>
      <c r="I214" s="16">
        <v>2.99</v>
      </c>
      <c r="J214" s="16" t="s">
        <v>32</v>
      </c>
      <c r="K214" s="17">
        <v>2.99</v>
      </c>
      <c r="L214" s="18"/>
      <c r="M214" s="19"/>
    </row>
    <row r="215" spans="1:13" x14ac:dyDescent="0.2">
      <c r="A215" s="10">
        <v>44854.677546296298</v>
      </c>
      <c r="B215" s="11" t="s">
        <v>31</v>
      </c>
      <c r="C215" s="12">
        <v>93.468839000000003</v>
      </c>
      <c r="D215" s="12" t="s">
        <v>35</v>
      </c>
      <c r="E215" s="13">
        <v>33.01</v>
      </c>
      <c r="F215" s="14">
        <v>33.01</v>
      </c>
      <c r="G215" s="14" t="s">
        <v>32</v>
      </c>
      <c r="H215" s="15"/>
      <c r="I215" s="16">
        <v>1.99</v>
      </c>
      <c r="J215" s="16" t="s">
        <v>32</v>
      </c>
      <c r="K215" s="17">
        <v>1.99</v>
      </c>
      <c r="L215" s="18"/>
      <c r="M215" s="19"/>
    </row>
    <row r="216" spans="1:13" x14ac:dyDescent="0.2">
      <c r="A216" s="10">
        <v>44850.796435185177</v>
      </c>
      <c r="B216" s="11" t="s">
        <v>31</v>
      </c>
      <c r="C216" s="12">
        <v>7.5120039999999999E-2</v>
      </c>
      <c r="D216" s="12" t="s">
        <v>40</v>
      </c>
      <c r="E216" s="13">
        <v>97.01</v>
      </c>
      <c r="F216" s="14">
        <v>97.01</v>
      </c>
      <c r="G216" s="14" t="s">
        <v>32</v>
      </c>
      <c r="H216" s="15"/>
      <c r="I216" s="16">
        <v>2.99</v>
      </c>
      <c r="J216" s="16" t="s">
        <v>32</v>
      </c>
      <c r="K216" s="17">
        <v>2.99</v>
      </c>
      <c r="L216" s="18"/>
      <c r="M216" s="19"/>
    </row>
    <row r="217" spans="1:13" x14ac:dyDescent="0.2">
      <c r="A217" s="10">
        <v>44843.656585648147</v>
      </c>
      <c r="B217" s="11" t="s">
        <v>36</v>
      </c>
      <c r="C217" s="12">
        <v>460.09175800000003</v>
      </c>
      <c r="D217" s="12" t="s">
        <v>35</v>
      </c>
      <c r="E217" s="13">
        <v>190.21</v>
      </c>
      <c r="F217" s="14">
        <v>15.158405</v>
      </c>
      <c r="G217" s="14" t="s">
        <v>33</v>
      </c>
      <c r="H217" s="15">
        <v>200.09</v>
      </c>
      <c r="I217" s="16"/>
      <c r="J217" s="16"/>
      <c r="K217" s="17"/>
      <c r="L217" s="18">
        <v>-0.13</v>
      </c>
      <c r="M217" s="19"/>
    </row>
    <row r="218" spans="1:13" x14ac:dyDescent="0.2">
      <c r="A218" s="10">
        <v>44843.656053240738</v>
      </c>
      <c r="B218" s="11" t="s">
        <v>36</v>
      </c>
      <c r="C218" s="12">
        <v>7.3598159999999996E-2</v>
      </c>
      <c r="D218" s="12" t="s">
        <v>40</v>
      </c>
      <c r="E218" s="13">
        <v>99.99</v>
      </c>
      <c r="F218" s="14">
        <v>7.5809259999999998</v>
      </c>
      <c r="G218" s="14" t="s">
        <v>33</v>
      </c>
      <c r="H218" s="15">
        <v>100.07</v>
      </c>
      <c r="I218" s="16"/>
      <c r="J218" s="16"/>
      <c r="K218" s="17"/>
      <c r="L218" s="18">
        <v>-0.08</v>
      </c>
      <c r="M218" s="19"/>
    </row>
    <row r="219" spans="1:13" x14ac:dyDescent="0.2">
      <c r="A219" s="10">
        <v>44843.653310185182</v>
      </c>
      <c r="B219" s="11" t="s">
        <v>36</v>
      </c>
      <c r="C219" s="12">
        <v>5.8921217700000001</v>
      </c>
      <c r="D219" s="12" t="s">
        <v>34</v>
      </c>
      <c r="E219" s="13">
        <v>199.96</v>
      </c>
      <c r="F219" s="14">
        <v>15.146925</v>
      </c>
      <c r="G219" s="14" t="s">
        <v>33</v>
      </c>
      <c r="H219" s="15">
        <v>200</v>
      </c>
      <c r="I219" s="16"/>
      <c r="J219" s="16"/>
      <c r="K219" s="17"/>
      <c r="L219" s="18">
        <v>-0.04</v>
      </c>
      <c r="M219" s="19"/>
    </row>
    <row r="220" spans="1:13" x14ac:dyDescent="0.2">
      <c r="A220" s="10">
        <v>44843.65152777778</v>
      </c>
      <c r="B220" s="11" t="s">
        <v>31</v>
      </c>
      <c r="C220" s="12">
        <v>7.2853029999999999E-2</v>
      </c>
      <c r="D220" s="12" t="s">
        <v>40</v>
      </c>
      <c r="E220" s="13">
        <v>97.01</v>
      </c>
      <c r="F220" s="14">
        <v>97.01</v>
      </c>
      <c r="G220" s="14" t="s">
        <v>32</v>
      </c>
      <c r="H220" s="15"/>
      <c r="I220" s="16">
        <v>2.99</v>
      </c>
      <c r="J220" s="16" t="s">
        <v>32</v>
      </c>
      <c r="K220" s="17">
        <v>2.99</v>
      </c>
      <c r="L220" s="18"/>
      <c r="M220" s="19"/>
    </row>
    <row r="221" spans="1:13" x14ac:dyDescent="0.2">
      <c r="A221" s="10">
        <v>44843.645138888889</v>
      </c>
      <c r="B221" s="11" t="s">
        <v>36</v>
      </c>
      <c r="C221" s="12">
        <v>42.219026999999997</v>
      </c>
      <c r="D221" s="12" t="s">
        <v>33</v>
      </c>
      <c r="E221" s="13">
        <v>557.29</v>
      </c>
      <c r="F221" s="14">
        <v>0.43150338999999999</v>
      </c>
      <c r="G221" s="14" t="s">
        <v>40</v>
      </c>
      <c r="H221" s="15">
        <v>644.63</v>
      </c>
      <c r="I221" s="16"/>
      <c r="J221" s="16"/>
      <c r="K221" s="17"/>
      <c r="L221" s="18">
        <v>-87.34</v>
      </c>
      <c r="M221" s="19"/>
    </row>
    <row r="222" spans="1:13" x14ac:dyDescent="0.2">
      <c r="A222" s="10">
        <v>44843.644467592603</v>
      </c>
      <c r="B222" s="11" t="s">
        <v>36</v>
      </c>
      <c r="C222" s="12">
        <v>11.074009999999999</v>
      </c>
      <c r="D222" s="12" t="s">
        <v>33</v>
      </c>
      <c r="E222" s="13">
        <v>149.49</v>
      </c>
      <c r="F222" s="14">
        <v>0.11320669</v>
      </c>
      <c r="G222" s="14" t="s">
        <v>40</v>
      </c>
      <c r="H222" s="15">
        <v>193.81</v>
      </c>
      <c r="I222" s="16"/>
      <c r="J222" s="16"/>
      <c r="K222" s="17"/>
      <c r="L222" s="18">
        <v>-47.57</v>
      </c>
      <c r="M222" s="19"/>
    </row>
    <row r="223" spans="1:13" x14ac:dyDescent="0.2">
      <c r="A223" s="10">
        <v>44837.7578125</v>
      </c>
      <c r="B223" s="11" t="s">
        <v>31</v>
      </c>
      <c r="C223" s="12">
        <v>3.5982489999999999E-2</v>
      </c>
      <c r="D223" s="12" t="s">
        <v>40</v>
      </c>
      <c r="E223" s="13">
        <v>48.01</v>
      </c>
      <c r="F223" s="14">
        <v>48.01</v>
      </c>
      <c r="G223" s="14" t="s">
        <v>32</v>
      </c>
      <c r="H223" s="15"/>
      <c r="I223" s="16">
        <v>1.99</v>
      </c>
      <c r="J223" s="16" t="s">
        <v>32</v>
      </c>
      <c r="K223" s="17">
        <v>1.99</v>
      </c>
      <c r="L223" s="18"/>
      <c r="M223" s="19"/>
    </row>
    <row r="224" spans="1:13" x14ac:dyDescent="0.2">
      <c r="A224" s="10">
        <v>44830.693518518521</v>
      </c>
      <c r="B224" s="11" t="s">
        <v>31</v>
      </c>
      <c r="C224" s="12">
        <v>3.6367650000000001E-2</v>
      </c>
      <c r="D224" s="12" t="s">
        <v>40</v>
      </c>
      <c r="E224" s="13">
        <v>48.01</v>
      </c>
      <c r="F224" s="14">
        <v>48.01</v>
      </c>
      <c r="G224" s="14" t="s">
        <v>32</v>
      </c>
      <c r="H224" s="15"/>
      <c r="I224" s="16">
        <v>1.99</v>
      </c>
      <c r="J224" s="16" t="s">
        <v>32</v>
      </c>
      <c r="K224" s="17">
        <v>1.99</v>
      </c>
      <c r="L224" s="18"/>
      <c r="M224" s="19"/>
    </row>
    <row r="225" spans="1:13" x14ac:dyDescent="0.2">
      <c r="A225" s="10">
        <v>44823.808437500003</v>
      </c>
      <c r="B225" s="11" t="s">
        <v>31</v>
      </c>
      <c r="C225" s="12">
        <v>3.524733E-2</v>
      </c>
      <c r="D225" s="12" t="s">
        <v>40</v>
      </c>
      <c r="E225" s="13">
        <v>48.01</v>
      </c>
      <c r="F225" s="14">
        <v>48.01</v>
      </c>
      <c r="G225" s="14" t="s">
        <v>32</v>
      </c>
      <c r="H225" s="15"/>
      <c r="I225" s="16">
        <v>1.99</v>
      </c>
      <c r="J225" s="16" t="s">
        <v>32</v>
      </c>
      <c r="K225" s="17">
        <v>1.99</v>
      </c>
      <c r="L225" s="18"/>
      <c r="M225" s="19"/>
    </row>
    <row r="226" spans="1:13" x14ac:dyDescent="0.2">
      <c r="A226" s="10">
        <v>44816.688368055547</v>
      </c>
      <c r="B226" s="11" t="s">
        <v>31</v>
      </c>
      <c r="C226" s="12">
        <v>2.7867079999999999E-2</v>
      </c>
      <c r="D226" s="12" t="s">
        <v>40</v>
      </c>
      <c r="E226" s="13">
        <v>48.01</v>
      </c>
      <c r="F226" s="14">
        <v>48.01</v>
      </c>
      <c r="G226" s="14" t="s">
        <v>32</v>
      </c>
      <c r="H226" s="15"/>
      <c r="I226" s="16">
        <v>1.99</v>
      </c>
      <c r="J226" s="16" t="s">
        <v>32</v>
      </c>
      <c r="K226" s="17">
        <v>1.99</v>
      </c>
      <c r="L226" s="18"/>
      <c r="M226" s="19"/>
    </row>
    <row r="227" spans="1:13" x14ac:dyDescent="0.2">
      <c r="A227" s="10">
        <v>44811.86582175926</v>
      </c>
      <c r="B227" s="11" t="s">
        <v>36</v>
      </c>
      <c r="C227" s="12">
        <v>8.8742890000000005E-2</v>
      </c>
      <c r="D227" s="12" t="s">
        <v>40</v>
      </c>
      <c r="E227" s="13">
        <v>149.44999999999999</v>
      </c>
      <c r="F227" s="14">
        <v>176.07568337000001</v>
      </c>
      <c r="G227" s="14" t="s">
        <v>51</v>
      </c>
      <c r="H227" s="15">
        <v>146.22</v>
      </c>
      <c r="I227" s="16"/>
      <c r="J227" s="16"/>
      <c r="K227" s="17"/>
      <c r="L227" s="18">
        <v>3.23</v>
      </c>
      <c r="M227" s="19"/>
    </row>
    <row r="228" spans="1:13" x14ac:dyDescent="0.2">
      <c r="A228" s="10">
        <v>44811.864942129629</v>
      </c>
      <c r="B228" s="11" t="s">
        <v>36</v>
      </c>
      <c r="C228" s="12">
        <v>8.3335389999999995E-2</v>
      </c>
      <c r="D228" s="12" t="s">
        <v>40</v>
      </c>
      <c r="E228" s="13">
        <v>140.43</v>
      </c>
      <c r="F228" s="14">
        <v>293.00591600000001</v>
      </c>
      <c r="G228" s="14" t="s">
        <v>35</v>
      </c>
      <c r="H228" s="15">
        <v>147.03</v>
      </c>
      <c r="I228" s="16"/>
      <c r="J228" s="16"/>
      <c r="K228" s="17"/>
      <c r="L228" s="18">
        <v>-6.6</v>
      </c>
      <c r="M228" s="19"/>
    </row>
    <row r="229" spans="1:13" x14ac:dyDescent="0.2">
      <c r="A229" s="10">
        <v>44811.864641203712</v>
      </c>
      <c r="B229" s="11" t="s">
        <v>36</v>
      </c>
      <c r="C229" s="12">
        <v>7.8843269999999993E-2</v>
      </c>
      <c r="D229" s="12" t="s">
        <v>40</v>
      </c>
      <c r="E229" s="13">
        <v>132.53</v>
      </c>
      <c r="F229" s="14">
        <v>4.0617816199999996</v>
      </c>
      <c r="G229" s="14" t="s">
        <v>34</v>
      </c>
      <c r="H229" s="15">
        <v>157.16</v>
      </c>
      <c r="I229" s="16"/>
      <c r="J229" s="16"/>
      <c r="K229" s="17"/>
      <c r="L229" s="18">
        <v>-24.63</v>
      </c>
      <c r="M229" s="19"/>
    </row>
    <row r="230" spans="1:13" x14ac:dyDescent="0.2">
      <c r="A230" s="10">
        <v>44809.751307870371</v>
      </c>
      <c r="B230" s="11" t="s">
        <v>31</v>
      </c>
      <c r="C230" s="12">
        <v>2.99414E-2</v>
      </c>
      <c r="D230" s="12" t="s">
        <v>40</v>
      </c>
      <c r="E230" s="13">
        <v>48.01</v>
      </c>
      <c r="F230" s="14">
        <v>48.01</v>
      </c>
      <c r="G230" s="14" t="s">
        <v>32</v>
      </c>
      <c r="H230" s="15"/>
      <c r="I230" s="16">
        <v>1.99</v>
      </c>
      <c r="J230" s="16" t="s">
        <v>32</v>
      </c>
      <c r="K230" s="17">
        <v>1.99</v>
      </c>
      <c r="L230" s="18"/>
      <c r="M230" s="19"/>
    </row>
    <row r="231" spans="1:13" x14ac:dyDescent="0.2">
      <c r="A231" s="10">
        <v>44802.734803240739</v>
      </c>
      <c r="B231" s="11" t="s">
        <v>31</v>
      </c>
      <c r="C231" s="12">
        <v>3.1119709999999998E-2</v>
      </c>
      <c r="D231" s="12" t="s">
        <v>40</v>
      </c>
      <c r="E231" s="13">
        <v>48.01</v>
      </c>
      <c r="F231" s="14">
        <v>48.01</v>
      </c>
      <c r="G231" s="14" t="s">
        <v>32</v>
      </c>
      <c r="H231" s="15"/>
      <c r="I231" s="16">
        <v>1.99</v>
      </c>
      <c r="J231" s="16" t="s">
        <v>32</v>
      </c>
      <c r="K231" s="17">
        <v>1.99</v>
      </c>
      <c r="L231" s="18"/>
      <c r="M231" s="19"/>
    </row>
    <row r="232" spans="1:13" x14ac:dyDescent="0.2">
      <c r="A232" s="10">
        <v>44799.562615740739</v>
      </c>
      <c r="B232" s="11" t="s">
        <v>36</v>
      </c>
      <c r="C232" s="12">
        <v>176.07568337000001</v>
      </c>
      <c r="D232" s="12" t="s">
        <v>51</v>
      </c>
      <c r="E232" s="13">
        <v>146.22</v>
      </c>
      <c r="F232" s="14">
        <v>8.8820460000000004E-2</v>
      </c>
      <c r="G232" s="14" t="s">
        <v>40</v>
      </c>
      <c r="H232" s="15">
        <v>158.13999999999999</v>
      </c>
      <c r="I232" s="16"/>
      <c r="J232" s="16"/>
      <c r="K232" s="17"/>
      <c r="L232" s="18">
        <v>-11.92</v>
      </c>
      <c r="M232" s="19"/>
    </row>
    <row r="233" spans="1:13" x14ac:dyDescent="0.2">
      <c r="A233" s="10">
        <v>44795.837719907409</v>
      </c>
      <c r="B233" s="11" t="s">
        <v>31</v>
      </c>
      <c r="C233" s="12">
        <v>3.028424E-2</v>
      </c>
      <c r="D233" s="12" t="s">
        <v>40</v>
      </c>
      <c r="E233" s="13">
        <v>48.01</v>
      </c>
      <c r="F233" s="14">
        <v>48.01</v>
      </c>
      <c r="G233" s="14" t="s">
        <v>32</v>
      </c>
      <c r="H233" s="15"/>
      <c r="I233" s="16">
        <v>1.99</v>
      </c>
      <c r="J233" s="16" t="s">
        <v>32</v>
      </c>
      <c r="K233" s="17">
        <v>1.99</v>
      </c>
      <c r="L233" s="18"/>
      <c r="M233" s="19"/>
    </row>
    <row r="234" spans="1:13" x14ac:dyDescent="0.2">
      <c r="A234" s="10">
        <v>44788.808819444443</v>
      </c>
      <c r="B234" s="11" t="s">
        <v>31</v>
      </c>
      <c r="C234" s="12">
        <v>2.5103E-2</v>
      </c>
      <c r="D234" s="12" t="s">
        <v>40</v>
      </c>
      <c r="E234" s="13">
        <v>48.01</v>
      </c>
      <c r="F234" s="14">
        <v>48.01</v>
      </c>
      <c r="G234" s="14" t="s">
        <v>32</v>
      </c>
      <c r="H234" s="15"/>
      <c r="I234" s="16">
        <v>1.99</v>
      </c>
      <c r="J234" s="16" t="s">
        <v>32</v>
      </c>
      <c r="K234" s="17">
        <v>1.99</v>
      </c>
      <c r="L234" s="18"/>
      <c r="M234" s="19"/>
    </row>
    <row r="235" spans="1:13" x14ac:dyDescent="0.2">
      <c r="A235" s="10">
        <v>44781.755995370368</v>
      </c>
      <c r="B235" s="11" t="s">
        <v>31</v>
      </c>
      <c r="C235" s="12">
        <v>2.7035590000000002E-2</v>
      </c>
      <c r="D235" s="12" t="s">
        <v>40</v>
      </c>
      <c r="E235" s="13">
        <v>48.01</v>
      </c>
      <c r="F235" s="14">
        <v>48.01</v>
      </c>
      <c r="G235" s="14" t="s">
        <v>32</v>
      </c>
      <c r="H235" s="15"/>
      <c r="I235" s="16">
        <v>1.99</v>
      </c>
      <c r="J235" s="16" t="s">
        <v>32</v>
      </c>
      <c r="K235" s="17">
        <v>1.99</v>
      </c>
      <c r="L235" s="18"/>
      <c r="M235" s="19"/>
    </row>
    <row r="236" spans="1:13" x14ac:dyDescent="0.2">
      <c r="A236" s="10">
        <v>44777.476840277777</v>
      </c>
      <c r="B236" s="11" t="s">
        <v>36</v>
      </c>
      <c r="C236" s="12">
        <v>292.78099800000001</v>
      </c>
      <c r="D236" s="12" t="s">
        <v>35</v>
      </c>
      <c r="E236" s="13">
        <v>146.94</v>
      </c>
      <c r="F236" s="14">
        <v>9.2709340000000001E-2</v>
      </c>
      <c r="G236" s="14" t="s">
        <v>40</v>
      </c>
      <c r="H236" s="15">
        <v>129.83000000000001</v>
      </c>
      <c r="I236" s="16"/>
      <c r="J236" s="16"/>
      <c r="K236" s="17"/>
      <c r="L236" s="18">
        <v>17.11</v>
      </c>
      <c r="M236" s="19"/>
    </row>
    <row r="237" spans="1:13" x14ac:dyDescent="0.2">
      <c r="A237" s="10">
        <v>44777.473796296297</v>
      </c>
      <c r="B237" s="11" t="s">
        <v>36</v>
      </c>
      <c r="C237" s="12">
        <v>4.0490642799999996</v>
      </c>
      <c r="D237" s="12" t="s">
        <v>34</v>
      </c>
      <c r="E237" s="13">
        <v>156.75</v>
      </c>
      <c r="F237" s="14">
        <v>9.9463670000000004E-2</v>
      </c>
      <c r="G237" s="14" t="s">
        <v>40</v>
      </c>
      <c r="H237" s="15">
        <v>214.86</v>
      </c>
      <c r="I237" s="16"/>
      <c r="J237" s="16"/>
      <c r="K237" s="17"/>
      <c r="L237" s="18">
        <v>-58.11</v>
      </c>
      <c r="M237" s="19"/>
    </row>
    <row r="238" spans="1:13" x14ac:dyDescent="0.2">
      <c r="A238" s="10">
        <v>44774.767731481479</v>
      </c>
      <c r="B238" s="11" t="s">
        <v>31</v>
      </c>
      <c r="C238" s="12">
        <v>2.9329959999999999E-2</v>
      </c>
      <c r="D238" s="12" t="s">
        <v>40</v>
      </c>
      <c r="E238" s="13">
        <v>48.01</v>
      </c>
      <c r="F238" s="14">
        <v>48.01</v>
      </c>
      <c r="G238" s="14" t="s">
        <v>32</v>
      </c>
      <c r="H238" s="15"/>
      <c r="I238" s="16">
        <v>1.99</v>
      </c>
      <c r="J238" s="16" t="s">
        <v>32</v>
      </c>
      <c r="K238" s="17">
        <v>1.99</v>
      </c>
      <c r="L238" s="18"/>
      <c r="M238" s="19"/>
    </row>
    <row r="239" spans="1:13" x14ac:dyDescent="0.2">
      <c r="A239" s="10">
        <v>44767.740405092591</v>
      </c>
      <c r="B239" s="11" t="s">
        <v>31</v>
      </c>
      <c r="C239" s="12">
        <v>3.1398089999999997E-2</v>
      </c>
      <c r="D239" s="12" t="s">
        <v>40</v>
      </c>
      <c r="E239" s="13">
        <v>48.01</v>
      </c>
      <c r="F239" s="14">
        <v>48.01</v>
      </c>
      <c r="G239" s="14" t="s">
        <v>32</v>
      </c>
      <c r="H239" s="15"/>
      <c r="I239" s="16">
        <v>1.99</v>
      </c>
      <c r="J239" s="16" t="s">
        <v>32</v>
      </c>
      <c r="K239" s="17">
        <v>1.99</v>
      </c>
      <c r="L239" s="18"/>
      <c r="M239" s="19"/>
    </row>
    <row r="240" spans="1:13" x14ac:dyDescent="0.2">
      <c r="A240" s="10">
        <v>44760.710046296299</v>
      </c>
      <c r="B240" s="11" t="s">
        <v>31</v>
      </c>
      <c r="C240" s="12">
        <v>3.1947830000000003E-2</v>
      </c>
      <c r="D240" s="12" t="s">
        <v>40</v>
      </c>
      <c r="E240" s="13">
        <v>48.01</v>
      </c>
      <c r="F240" s="14">
        <v>48.01</v>
      </c>
      <c r="G240" s="14" t="s">
        <v>32</v>
      </c>
      <c r="H240" s="15"/>
      <c r="I240" s="16">
        <v>1.99</v>
      </c>
      <c r="J240" s="16" t="s">
        <v>32</v>
      </c>
      <c r="K240" s="17">
        <v>1.99</v>
      </c>
      <c r="L240" s="18"/>
      <c r="M240" s="19"/>
    </row>
    <row r="241" spans="1:13" x14ac:dyDescent="0.2">
      <c r="A241" s="10">
        <v>44753.735995370371</v>
      </c>
      <c r="B241" s="11" t="s">
        <v>31</v>
      </c>
      <c r="C241" s="12">
        <v>4.1425660000000003E-2</v>
      </c>
      <c r="D241" s="12" t="s">
        <v>40</v>
      </c>
      <c r="E241" s="13">
        <v>48.01</v>
      </c>
      <c r="F241" s="14">
        <v>48.01</v>
      </c>
      <c r="G241" s="14" t="s">
        <v>32</v>
      </c>
      <c r="H241" s="15"/>
      <c r="I241" s="16">
        <v>1.99</v>
      </c>
      <c r="J241" s="16" t="s">
        <v>32</v>
      </c>
      <c r="K241" s="17">
        <v>1.99</v>
      </c>
      <c r="L241" s="18"/>
      <c r="M241" s="19"/>
    </row>
    <row r="242" spans="1:13" x14ac:dyDescent="0.2">
      <c r="A242" s="10">
        <v>44746.529317129629</v>
      </c>
      <c r="B242" s="11" t="s">
        <v>31</v>
      </c>
      <c r="C242" s="12">
        <v>4.3246680000000003E-2</v>
      </c>
      <c r="D242" s="12" t="s">
        <v>40</v>
      </c>
      <c r="E242" s="13">
        <v>48.01</v>
      </c>
      <c r="F242" s="14">
        <v>48.01</v>
      </c>
      <c r="G242" s="14" t="s">
        <v>32</v>
      </c>
      <c r="H242" s="15"/>
      <c r="I242" s="16">
        <v>1.99</v>
      </c>
      <c r="J242" s="16" t="s">
        <v>32</v>
      </c>
      <c r="K242" s="17">
        <v>1.99</v>
      </c>
      <c r="L242" s="18"/>
      <c r="M242" s="19"/>
    </row>
    <row r="243" spans="1:13" x14ac:dyDescent="0.2">
      <c r="A243" s="10">
        <v>44737.498414351852</v>
      </c>
      <c r="B243" s="11" t="s">
        <v>31</v>
      </c>
      <c r="C243" s="12">
        <v>3.9286450000000001E-2</v>
      </c>
      <c r="D243" s="12" t="s">
        <v>40</v>
      </c>
      <c r="E243" s="13">
        <v>48.01</v>
      </c>
      <c r="F243" s="14">
        <v>48.01</v>
      </c>
      <c r="G243" s="14" t="s">
        <v>32</v>
      </c>
      <c r="H243" s="15"/>
      <c r="I243" s="16">
        <v>1.99</v>
      </c>
      <c r="J243" s="16" t="s">
        <v>32</v>
      </c>
      <c r="K243" s="17">
        <v>1.99</v>
      </c>
      <c r="L243" s="18"/>
      <c r="M243" s="19"/>
    </row>
    <row r="244" spans="1:13" x14ac:dyDescent="0.2">
      <c r="A244" s="10">
        <v>44737.494398148148</v>
      </c>
      <c r="B244" s="11" t="s">
        <v>31</v>
      </c>
      <c r="C244" s="12">
        <v>3.356058E-2</v>
      </c>
      <c r="D244" s="12" t="s">
        <v>40</v>
      </c>
      <c r="E244" s="13">
        <v>41.01</v>
      </c>
      <c r="F244" s="14">
        <v>41.01</v>
      </c>
      <c r="G244" s="14" t="s">
        <v>32</v>
      </c>
      <c r="H244" s="15"/>
      <c r="I244" s="16">
        <v>1.99</v>
      </c>
      <c r="J244" s="16" t="s">
        <v>32</v>
      </c>
      <c r="K244" s="17">
        <v>1.99</v>
      </c>
      <c r="L244" s="18"/>
      <c r="M244" s="19"/>
    </row>
    <row r="245" spans="1:13" x14ac:dyDescent="0.2">
      <c r="A245" s="10">
        <v>44645.753136574072</v>
      </c>
      <c r="B245" s="11" t="s">
        <v>36</v>
      </c>
      <c r="C245" s="12">
        <v>1.4940470000000001E-2</v>
      </c>
      <c r="D245" s="12" t="s">
        <v>40</v>
      </c>
      <c r="E245" s="13">
        <v>47.37</v>
      </c>
      <c r="F245" s="14">
        <v>29.952253760000001</v>
      </c>
      <c r="G245" s="14" t="s">
        <v>51</v>
      </c>
      <c r="H245" s="15">
        <v>50.81</v>
      </c>
      <c r="I245" s="16"/>
      <c r="J245" s="16"/>
      <c r="K245" s="17"/>
      <c r="L245" s="18">
        <v>-3.44</v>
      </c>
      <c r="M245" s="19"/>
    </row>
    <row r="246" spans="1:13" x14ac:dyDescent="0.2">
      <c r="A246" s="10">
        <v>44636.643750000003</v>
      </c>
      <c r="B246" s="11" t="s">
        <v>36</v>
      </c>
      <c r="C246" s="12">
        <v>1.3743E-2</v>
      </c>
      <c r="D246" s="12" t="s">
        <v>40</v>
      </c>
      <c r="E246" s="13">
        <v>37.33</v>
      </c>
      <c r="F246" s="14">
        <v>9.3386999999999995E-4</v>
      </c>
      <c r="G246" s="14" t="s">
        <v>41</v>
      </c>
      <c r="H246" s="15">
        <v>40</v>
      </c>
      <c r="I246" s="16"/>
      <c r="J246" s="16"/>
      <c r="K246" s="17"/>
      <c r="L246" s="18">
        <v>-2.67</v>
      </c>
      <c r="M246" s="19"/>
    </row>
    <row r="247" spans="1:13" x14ac:dyDescent="0.2">
      <c r="A247" s="10">
        <v>44635.890625</v>
      </c>
      <c r="B247" s="11" t="s">
        <v>36</v>
      </c>
      <c r="C247" s="12">
        <v>7.0839999999999998E-4</v>
      </c>
      <c r="D247" s="12" t="s">
        <v>40</v>
      </c>
      <c r="E247" s="13">
        <v>1.9</v>
      </c>
      <c r="F247" s="14">
        <v>0.80862630999999996</v>
      </c>
      <c r="G247" s="14" t="s">
        <v>52</v>
      </c>
      <c r="H247" s="15">
        <v>2.98</v>
      </c>
      <c r="I247" s="16"/>
      <c r="J247" s="16"/>
      <c r="K247" s="17"/>
      <c r="L247" s="18">
        <v>-1.08</v>
      </c>
      <c r="M247" s="19"/>
    </row>
    <row r="248" spans="1:13" x14ac:dyDescent="0.2">
      <c r="A248" s="10">
        <v>44609.712650462963</v>
      </c>
      <c r="B248" s="11" t="s">
        <v>36</v>
      </c>
      <c r="C248" s="12">
        <v>4.6669000000000002E-4</v>
      </c>
      <c r="D248" s="12" t="s">
        <v>41</v>
      </c>
      <c r="E248" s="13">
        <v>20</v>
      </c>
      <c r="F248" s="14">
        <v>6.7120299999999999E-3</v>
      </c>
      <c r="G248" s="14" t="s">
        <v>40</v>
      </c>
      <c r="H248" s="15">
        <v>17.170000000000002</v>
      </c>
      <c r="I248" s="16"/>
      <c r="J248" s="16"/>
      <c r="K248" s="17"/>
      <c r="L248" s="18">
        <v>2.83</v>
      </c>
      <c r="M248" s="19"/>
    </row>
    <row r="249" spans="1:13" x14ac:dyDescent="0.2">
      <c r="A249" s="10">
        <v>44609.711273148147</v>
      </c>
      <c r="B249" s="11" t="s">
        <v>36</v>
      </c>
      <c r="C249" s="12">
        <v>4.6717999999999998E-4</v>
      </c>
      <c r="D249" s="12" t="s">
        <v>41</v>
      </c>
      <c r="E249" s="13">
        <v>20</v>
      </c>
      <c r="F249" s="14">
        <v>11.465917559999999</v>
      </c>
      <c r="G249" s="14" t="s">
        <v>51</v>
      </c>
      <c r="H249" s="15">
        <v>21.9</v>
      </c>
      <c r="I249" s="16"/>
      <c r="J249" s="16"/>
      <c r="K249" s="17"/>
      <c r="L249" s="18">
        <v>-1.9</v>
      </c>
      <c r="M249" s="19"/>
    </row>
    <row r="250" spans="1:13" x14ac:dyDescent="0.2">
      <c r="A250" s="10">
        <v>44608.834918981483</v>
      </c>
      <c r="B250" s="11" t="s">
        <v>36</v>
      </c>
      <c r="C250" s="12">
        <v>10.069164199999999</v>
      </c>
      <c r="D250" s="12" t="s">
        <v>51</v>
      </c>
      <c r="E250" s="13">
        <v>18.88</v>
      </c>
      <c r="F250" s="14">
        <v>56.116802880000002</v>
      </c>
      <c r="G250" s="14" t="s">
        <v>53</v>
      </c>
      <c r="H250" s="15">
        <v>19.37</v>
      </c>
      <c r="I250" s="16"/>
      <c r="J250" s="16"/>
      <c r="K250" s="17"/>
      <c r="L250" s="18">
        <v>-0.49</v>
      </c>
      <c r="M250" s="19"/>
    </row>
    <row r="251" spans="1:13" x14ac:dyDescent="0.2">
      <c r="A251" s="10">
        <v>44602.873993055553</v>
      </c>
      <c r="B251" s="11" t="s">
        <v>36</v>
      </c>
      <c r="C251" s="12">
        <v>56.116802880000002</v>
      </c>
      <c r="D251" s="12" t="s">
        <v>53</v>
      </c>
      <c r="E251" s="13">
        <v>19.37</v>
      </c>
      <c r="F251" s="14">
        <v>1.0893102800000001</v>
      </c>
      <c r="G251" s="14" t="s">
        <v>42</v>
      </c>
      <c r="H251" s="15">
        <v>19.09</v>
      </c>
      <c r="I251" s="16"/>
      <c r="J251" s="16"/>
      <c r="K251" s="17"/>
      <c r="L251" s="18">
        <v>0.28000000000000003</v>
      </c>
      <c r="M251" s="19"/>
    </row>
    <row r="252" spans="1:13" x14ac:dyDescent="0.2">
      <c r="A252" s="10">
        <v>44602.595902777779</v>
      </c>
      <c r="B252" s="11" t="s">
        <v>36</v>
      </c>
      <c r="C252" s="12">
        <v>4.9322087999999997</v>
      </c>
      <c r="D252" s="12" t="s">
        <v>51</v>
      </c>
      <c r="E252" s="13">
        <v>9.32</v>
      </c>
      <c r="F252" s="14">
        <v>36.42306705</v>
      </c>
      <c r="G252" s="14" t="s">
        <v>54</v>
      </c>
      <c r="H252" s="15">
        <v>9.8699999999999992</v>
      </c>
      <c r="I252" s="16"/>
      <c r="J252" s="16"/>
      <c r="K252" s="17"/>
      <c r="L252" s="18">
        <v>-0.55000000000000004</v>
      </c>
      <c r="M252" s="19"/>
    </row>
    <row r="253" spans="1:13" x14ac:dyDescent="0.2">
      <c r="A253" s="10">
        <v>44602.594340277778</v>
      </c>
      <c r="B253" s="11" t="s">
        <v>36</v>
      </c>
      <c r="C253" s="12">
        <v>6.29638235</v>
      </c>
      <c r="D253" s="12" t="s">
        <v>51</v>
      </c>
      <c r="E253" s="13">
        <v>12.14</v>
      </c>
      <c r="F253" s="14">
        <v>3.853386</v>
      </c>
      <c r="G253" s="14" t="s">
        <v>55</v>
      </c>
      <c r="H253" s="15">
        <v>13.74</v>
      </c>
      <c r="I253" s="16"/>
      <c r="J253" s="16"/>
      <c r="K253" s="17"/>
      <c r="L253" s="18">
        <v>-1.6</v>
      </c>
      <c r="M253" s="19"/>
    </row>
    <row r="254" spans="1:13" x14ac:dyDescent="0.2">
      <c r="A254" s="10">
        <v>44602.026458333326</v>
      </c>
      <c r="B254" s="11" t="s">
        <v>36</v>
      </c>
      <c r="C254" s="12">
        <v>3.853386</v>
      </c>
      <c r="D254" s="12" t="s">
        <v>55</v>
      </c>
      <c r="E254" s="13">
        <v>13.74</v>
      </c>
      <c r="F254" s="14">
        <v>0.75839652999999996</v>
      </c>
      <c r="G254" s="14" t="s">
        <v>42</v>
      </c>
      <c r="H254" s="15">
        <v>13.29</v>
      </c>
      <c r="I254" s="16"/>
      <c r="J254" s="16"/>
      <c r="K254" s="17"/>
      <c r="L254" s="18">
        <v>0.45</v>
      </c>
      <c r="M254" s="19"/>
    </row>
    <row r="255" spans="1:13" x14ac:dyDescent="0.2">
      <c r="A255" s="10">
        <v>44597.994050925918</v>
      </c>
      <c r="B255" s="11" t="s">
        <v>31</v>
      </c>
      <c r="C255" s="12">
        <v>0.26990553</v>
      </c>
      <c r="D255" s="12" t="s">
        <v>52</v>
      </c>
      <c r="E255" s="13">
        <v>0.99</v>
      </c>
      <c r="F255" s="14"/>
      <c r="G255" s="14"/>
      <c r="H255" s="15"/>
      <c r="I255" s="16"/>
      <c r="J255" s="16"/>
      <c r="K255" s="17"/>
      <c r="L255" s="18"/>
      <c r="M255" s="19"/>
    </row>
    <row r="256" spans="1:13" x14ac:dyDescent="0.2">
      <c r="A256" s="10">
        <v>44597.993275462963</v>
      </c>
      <c r="B256" s="11" t="s">
        <v>31</v>
      </c>
      <c r="C256" s="12">
        <v>0.26954177000000001</v>
      </c>
      <c r="D256" s="12" t="s">
        <v>52</v>
      </c>
      <c r="E256" s="13">
        <v>1</v>
      </c>
      <c r="F256" s="14"/>
      <c r="G256" s="14"/>
      <c r="H256" s="15"/>
      <c r="I256" s="16"/>
      <c r="J256" s="16"/>
      <c r="K256" s="17"/>
      <c r="L256" s="18"/>
      <c r="M256" s="19"/>
    </row>
    <row r="257" spans="1:13" x14ac:dyDescent="0.2">
      <c r="A257" s="10">
        <v>44597.992534722223</v>
      </c>
      <c r="B257" s="11" t="s">
        <v>31</v>
      </c>
      <c r="C257" s="12">
        <v>0.269179</v>
      </c>
      <c r="D257" s="12" t="s">
        <v>52</v>
      </c>
      <c r="E257" s="13">
        <v>0.99</v>
      </c>
      <c r="F257" s="14"/>
      <c r="G257" s="14"/>
      <c r="H257" s="15"/>
      <c r="I257" s="16"/>
      <c r="J257" s="16"/>
      <c r="K257" s="17"/>
      <c r="L257" s="18"/>
      <c r="M257" s="19"/>
    </row>
    <row r="258" spans="1:13" x14ac:dyDescent="0.2">
      <c r="A258" s="10">
        <v>44597.97625</v>
      </c>
      <c r="B258" s="11" t="s">
        <v>36</v>
      </c>
      <c r="C258" s="12">
        <v>36.42306705</v>
      </c>
      <c r="D258" s="12" t="s">
        <v>54</v>
      </c>
      <c r="E258" s="13">
        <v>9.8699999999999992</v>
      </c>
      <c r="F258" s="14">
        <v>3.3121499999999998E-3</v>
      </c>
      <c r="G258" s="14" t="s">
        <v>40</v>
      </c>
      <c r="H258" s="15">
        <v>8.5</v>
      </c>
      <c r="I258" s="16"/>
      <c r="J258" s="16"/>
      <c r="K258" s="17"/>
      <c r="L258" s="18">
        <v>1.37</v>
      </c>
      <c r="M258" s="19"/>
    </row>
    <row r="259" spans="1:13" x14ac:dyDescent="0.2">
      <c r="A259" s="10">
        <v>44591.962141203701</v>
      </c>
      <c r="B259" s="11" t="s">
        <v>36</v>
      </c>
      <c r="C259" s="12">
        <v>20.12041597</v>
      </c>
      <c r="D259" s="12" t="s">
        <v>51</v>
      </c>
      <c r="E259" s="13">
        <v>32.369999999999997</v>
      </c>
      <c r="F259" s="14">
        <v>1.2713240000000001E-2</v>
      </c>
      <c r="G259" s="14" t="s">
        <v>40</v>
      </c>
      <c r="H259" s="15">
        <v>32.619999999999997</v>
      </c>
      <c r="I259" s="16"/>
      <c r="J259" s="16"/>
      <c r="K259" s="17"/>
      <c r="L259" s="18">
        <v>-0.25</v>
      </c>
      <c r="M259" s="19"/>
    </row>
    <row r="260" spans="1:13" x14ac:dyDescent="0.2">
      <c r="A260" s="10">
        <v>44591.959328703713</v>
      </c>
      <c r="B260" s="11" t="s">
        <v>36</v>
      </c>
      <c r="C260" s="12">
        <v>1.84770681</v>
      </c>
      <c r="D260" s="12" t="s">
        <v>42</v>
      </c>
      <c r="E260" s="13">
        <v>32.380000000000003</v>
      </c>
      <c r="F260" s="14">
        <v>1.280531E-2</v>
      </c>
      <c r="G260" s="14" t="s">
        <v>40</v>
      </c>
      <c r="H260" s="15">
        <v>38.6</v>
      </c>
      <c r="I260" s="16"/>
      <c r="J260" s="16"/>
      <c r="K260" s="17"/>
      <c r="L260" s="18">
        <v>-6.22</v>
      </c>
      <c r="M260" s="19"/>
    </row>
    <row r="261" spans="1:13" x14ac:dyDescent="0.2">
      <c r="A261" s="10">
        <v>44585.755312499998</v>
      </c>
      <c r="B261" s="11" t="s">
        <v>36</v>
      </c>
      <c r="C261" s="12">
        <v>1.0627559999999999E-2</v>
      </c>
      <c r="D261" s="12" t="s">
        <v>40</v>
      </c>
      <c r="E261" s="13">
        <v>24.93</v>
      </c>
      <c r="F261" s="14">
        <v>7.2000000000000005E-4</v>
      </c>
      <c r="G261" s="14" t="s">
        <v>41</v>
      </c>
      <c r="H261" s="15">
        <v>29.97</v>
      </c>
      <c r="I261" s="16"/>
      <c r="J261" s="16"/>
      <c r="K261" s="17"/>
      <c r="L261" s="18">
        <v>-5.04</v>
      </c>
      <c r="M261" s="19"/>
    </row>
    <row r="262" spans="1:13" x14ac:dyDescent="0.2">
      <c r="A262" s="10">
        <v>44585.058182870373</v>
      </c>
      <c r="B262" s="11" t="s">
        <v>36</v>
      </c>
      <c r="C262" s="12">
        <v>2.7235999999999997E-4</v>
      </c>
      <c r="D262" s="12" t="s">
        <v>40</v>
      </c>
      <c r="E262" s="13">
        <v>0.69</v>
      </c>
      <c r="F262" s="14">
        <v>1.6941973699999999</v>
      </c>
      <c r="G262" s="14" t="s">
        <v>56</v>
      </c>
      <c r="H262" s="15">
        <v>1</v>
      </c>
      <c r="I262" s="16"/>
      <c r="J262" s="16"/>
      <c r="K262" s="17"/>
      <c r="L262" s="18">
        <v>-0.31</v>
      </c>
      <c r="M262" s="19"/>
    </row>
    <row r="263" spans="1:13" x14ac:dyDescent="0.2">
      <c r="A263" s="10">
        <v>44585.054837962962</v>
      </c>
      <c r="B263" s="11" t="s">
        <v>36</v>
      </c>
      <c r="C263" s="12">
        <v>8.6221300000000004E-3</v>
      </c>
      <c r="D263" s="12" t="s">
        <v>40</v>
      </c>
      <c r="E263" s="13">
        <v>21.98</v>
      </c>
      <c r="F263" s="14">
        <v>37.85224736</v>
      </c>
      <c r="G263" s="14" t="s">
        <v>57</v>
      </c>
      <c r="H263" s="15">
        <v>24.45</v>
      </c>
      <c r="I263" s="16"/>
      <c r="J263" s="16"/>
      <c r="K263" s="17"/>
      <c r="L263" s="18">
        <v>-2.4700000000000002</v>
      </c>
      <c r="M263" s="19"/>
    </row>
    <row r="264" spans="1:13" x14ac:dyDescent="0.2">
      <c r="A264" s="10">
        <v>44585.053900462961</v>
      </c>
      <c r="B264" s="11" t="s">
        <v>36</v>
      </c>
      <c r="C264" s="12">
        <v>1.9945190000000002E-2</v>
      </c>
      <c r="D264" s="12" t="s">
        <v>40</v>
      </c>
      <c r="E264" s="13">
        <v>51.17</v>
      </c>
      <c r="F264" s="14">
        <v>1442.9762798199999</v>
      </c>
      <c r="G264" s="14" t="s">
        <v>58</v>
      </c>
      <c r="H264" s="15">
        <v>52.39</v>
      </c>
      <c r="I264" s="16"/>
      <c r="J264" s="16"/>
      <c r="K264" s="17"/>
      <c r="L264" s="18">
        <v>-1.22</v>
      </c>
      <c r="M264" s="19"/>
    </row>
    <row r="265" spans="1:13" x14ac:dyDescent="0.2">
      <c r="A265" s="10">
        <v>44583.91443287037</v>
      </c>
      <c r="B265" s="11" t="s">
        <v>36</v>
      </c>
      <c r="C265" s="12">
        <v>602.30154056000003</v>
      </c>
      <c r="D265" s="12" t="s">
        <v>58</v>
      </c>
      <c r="E265" s="13">
        <v>23.52</v>
      </c>
      <c r="F265" s="14">
        <v>52.526181739999998</v>
      </c>
      <c r="G265" s="14" t="s">
        <v>59</v>
      </c>
      <c r="H265" s="15">
        <v>40.04</v>
      </c>
      <c r="I265" s="16"/>
      <c r="J265" s="16"/>
      <c r="K265" s="17"/>
      <c r="L265" s="18">
        <v>-16.52</v>
      </c>
      <c r="M265" s="19"/>
    </row>
    <row r="266" spans="1:13" x14ac:dyDescent="0.2">
      <c r="A266" s="10">
        <v>44582.91778935185</v>
      </c>
      <c r="B266" s="11" t="s">
        <v>36</v>
      </c>
      <c r="C266" s="12">
        <v>37.85224736</v>
      </c>
      <c r="D266" s="12" t="s">
        <v>57</v>
      </c>
      <c r="E266" s="13">
        <v>24.45</v>
      </c>
      <c r="F266" s="14">
        <v>9.5189300000000001E-3</v>
      </c>
      <c r="G266" s="14" t="s">
        <v>40</v>
      </c>
      <c r="H266" s="15">
        <v>29.09</v>
      </c>
      <c r="I266" s="16"/>
      <c r="J266" s="16"/>
      <c r="K266" s="17"/>
      <c r="L266" s="18">
        <v>-4.6399999999999997</v>
      </c>
      <c r="M266" s="19"/>
    </row>
    <row r="267" spans="1:13" x14ac:dyDescent="0.2">
      <c r="A267" s="10">
        <v>44582.91547453704</v>
      </c>
      <c r="B267" s="11" t="s">
        <v>36</v>
      </c>
      <c r="C267" s="12">
        <v>840.67473926000002</v>
      </c>
      <c r="D267" s="12" t="s">
        <v>58</v>
      </c>
      <c r="E267" s="13">
        <v>28.87</v>
      </c>
      <c r="F267" s="14">
        <v>8.1800000000000004E-4</v>
      </c>
      <c r="G267" s="14" t="s">
        <v>41</v>
      </c>
      <c r="H267" s="15">
        <v>34.049999999999997</v>
      </c>
      <c r="I267" s="16"/>
      <c r="J267" s="16"/>
      <c r="K267" s="17"/>
      <c r="L267" s="18">
        <v>-5.18</v>
      </c>
      <c r="M267" s="19"/>
    </row>
    <row r="268" spans="1:13" x14ac:dyDescent="0.2">
      <c r="A268" s="10">
        <v>44582.912916666668</v>
      </c>
      <c r="B268" s="11" t="s">
        <v>36</v>
      </c>
      <c r="C268" s="12">
        <v>52.526181739999998</v>
      </c>
      <c r="D268" s="12" t="s">
        <v>59</v>
      </c>
      <c r="E268" s="13">
        <v>40.04</v>
      </c>
      <c r="F268" s="14">
        <v>0.39812682999999999</v>
      </c>
      <c r="G268" s="14" t="s">
        <v>60</v>
      </c>
      <c r="H268" s="15">
        <v>58.91</v>
      </c>
      <c r="I268" s="16"/>
      <c r="J268" s="16"/>
      <c r="K268" s="17"/>
      <c r="L268" s="18">
        <v>-18.87</v>
      </c>
      <c r="M268" s="19"/>
    </row>
    <row r="269" spans="1:13" x14ac:dyDescent="0.2">
      <c r="A269" s="10">
        <v>44577.081932870373</v>
      </c>
      <c r="B269" s="11" t="s">
        <v>36</v>
      </c>
      <c r="C269" s="12">
        <v>0.19831138000000001</v>
      </c>
      <c r="D269" s="12" t="s">
        <v>60</v>
      </c>
      <c r="E269" s="13">
        <v>29.54</v>
      </c>
      <c r="F269" s="14">
        <v>6.9700000000000003E-4</v>
      </c>
      <c r="G269" s="14" t="s">
        <v>41</v>
      </c>
      <c r="H269" s="15">
        <v>29.01</v>
      </c>
      <c r="I269" s="16"/>
      <c r="J269" s="16"/>
      <c r="K269" s="17"/>
      <c r="L269" s="18">
        <v>0.53</v>
      </c>
      <c r="M269" s="19"/>
    </row>
    <row r="270" spans="1:13" x14ac:dyDescent="0.2">
      <c r="A270" s="10">
        <v>44577.077152777783</v>
      </c>
      <c r="B270" s="11" t="s">
        <v>36</v>
      </c>
      <c r="C270" s="12">
        <v>0.19981544900000001</v>
      </c>
      <c r="D270" s="12" t="s">
        <v>60</v>
      </c>
      <c r="E270" s="13">
        <v>29.37</v>
      </c>
      <c r="F270" s="14">
        <v>9.0148999999999993E-3</v>
      </c>
      <c r="G270" s="14" t="s">
        <v>40</v>
      </c>
      <c r="H270" s="15">
        <v>27.63</v>
      </c>
      <c r="I270" s="16"/>
      <c r="J270" s="16"/>
      <c r="K270" s="17"/>
      <c r="L270" s="18">
        <v>1.74</v>
      </c>
      <c r="M270" s="19"/>
    </row>
    <row r="271" spans="1:13" x14ac:dyDescent="0.2">
      <c r="A271" s="10">
        <v>44573.794212962966</v>
      </c>
      <c r="B271" s="11" t="s">
        <v>31</v>
      </c>
      <c r="C271" s="12">
        <v>1.6941973699999999</v>
      </c>
      <c r="D271" s="12" t="s">
        <v>56</v>
      </c>
      <c r="E271" s="13">
        <v>1</v>
      </c>
      <c r="F271" s="14"/>
      <c r="G271" s="14"/>
      <c r="H271" s="15"/>
      <c r="I271" s="16"/>
      <c r="J271" s="16"/>
      <c r="K271" s="17"/>
      <c r="L271" s="18"/>
      <c r="M271" s="19"/>
    </row>
    <row r="272" spans="1:13" x14ac:dyDescent="0.2">
      <c r="A272" s="10">
        <v>44571.594560185193</v>
      </c>
      <c r="B272" s="11" t="s">
        <v>36</v>
      </c>
      <c r="C272" s="12">
        <v>2.235E-3</v>
      </c>
      <c r="D272" s="12" t="s">
        <v>41</v>
      </c>
      <c r="E272" s="13">
        <v>93.03</v>
      </c>
      <c r="F272" s="14">
        <v>3.085682E-2</v>
      </c>
      <c r="G272" s="14" t="s">
        <v>40</v>
      </c>
      <c r="H272" s="15">
        <v>95.66</v>
      </c>
      <c r="I272" s="16"/>
      <c r="J272" s="16"/>
      <c r="K272" s="17"/>
      <c r="L272" s="18">
        <v>-2.63</v>
      </c>
      <c r="M272" s="19"/>
    </row>
    <row r="273" spans="1:13" x14ac:dyDescent="0.2">
      <c r="A273" s="10">
        <v>44571.5937962963</v>
      </c>
      <c r="B273" s="11" t="s">
        <v>36</v>
      </c>
      <c r="C273" s="12">
        <v>1.368777E-2</v>
      </c>
      <c r="D273" s="12" t="s">
        <v>40</v>
      </c>
      <c r="E273" s="13">
        <v>41.5</v>
      </c>
      <c r="F273" s="14">
        <v>13.196624590000001</v>
      </c>
      <c r="G273" s="14" t="s">
        <v>61</v>
      </c>
      <c r="H273" s="15">
        <v>49.03</v>
      </c>
      <c r="I273" s="16"/>
      <c r="J273" s="16"/>
      <c r="K273" s="17"/>
      <c r="L273" s="18">
        <v>-7.53</v>
      </c>
      <c r="M273" s="19"/>
    </row>
    <row r="274" spans="1:13" x14ac:dyDescent="0.2">
      <c r="A274" s="10">
        <v>44571.593391203707</v>
      </c>
      <c r="B274" s="11" t="s">
        <v>36</v>
      </c>
      <c r="C274" s="12">
        <v>1.734776E-2</v>
      </c>
      <c r="D274" s="12" t="s">
        <v>40</v>
      </c>
      <c r="E274" s="13">
        <v>53.4</v>
      </c>
      <c r="F274" s="14">
        <v>2.0595949899999999</v>
      </c>
      <c r="G274" s="14" t="s">
        <v>42</v>
      </c>
      <c r="H274" s="15">
        <v>57.98</v>
      </c>
      <c r="I274" s="16"/>
      <c r="J274" s="16"/>
      <c r="K274" s="17"/>
      <c r="L274" s="18">
        <v>-4.58</v>
      </c>
      <c r="M274" s="19"/>
    </row>
    <row r="275" spans="1:13" x14ac:dyDescent="0.2">
      <c r="A275" s="10">
        <v>44571.592245370368</v>
      </c>
      <c r="B275" s="11" t="s">
        <v>36</v>
      </c>
      <c r="C275" s="12">
        <v>1.5013820000000001E-2</v>
      </c>
      <c r="D275" s="12" t="s">
        <v>40</v>
      </c>
      <c r="E275" s="13">
        <v>45.95</v>
      </c>
      <c r="F275" s="14">
        <v>78.847219999999993</v>
      </c>
      <c r="G275" s="14" t="s">
        <v>62</v>
      </c>
      <c r="H275" s="15">
        <v>49.04</v>
      </c>
      <c r="I275" s="16"/>
      <c r="J275" s="16"/>
      <c r="K275" s="17"/>
      <c r="L275" s="18">
        <v>-3.09</v>
      </c>
      <c r="M275" s="19"/>
    </row>
    <row r="276" spans="1:13" x14ac:dyDescent="0.2">
      <c r="A276" s="10">
        <v>44570.89744212963</v>
      </c>
      <c r="B276" s="11" t="s">
        <v>36</v>
      </c>
      <c r="C276" s="12">
        <v>78.847219999999993</v>
      </c>
      <c r="D276" s="12" t="s">
        <v>62</v>
      </c>
      <c r="E276" s="13">
        <v>49.04</v>
      </c>
      <c r="F276" s="14">
        <v>1.560917E-2</v>
      </c>
      <c r="G276" s="14" t="s">
        <v>40</v>
      </c>
      <c r="H276" s="15">
        <v>52.14</v>
      </c>
      <c r="I276" s="16"/>
      <c r="J276" s="16"/>
      <c r="K276" s="17"/>
      <c r="L276" s="18">
        <v>-3.1</v>
      </c>
      <c r="M276" s="19"/>
    </row>
    <row r="277" spans="1:13" x14ac:dyDescent="0.2">
      <c r="A277" s="10">
        <v>44570.896493055552</v>
      </c>
      <c r="B277" s="11" t="s">
        <v>36</v>
      </c>
      <c r="C277" s="12">
        <v>13.196624590000001</v>
      </c>
      <c r="D277" s="12" t="s">
        <v>61</v>
      </c>
      <c r="E277" s="13">
        <v>49.03</v>
      </c>
      <c r="F277" s="14">
        <v>1.7812611300000001</v>
      </c>
      <c r="G277" s="14" t="s">
        <v>42</v>
      </c>
      <c r="H277" s="15">
        <v>50.14</v>
      </c>
      <c r="I277" s="16"/>
      <c r="J277" s="16"/>
      <c r="K277" s="17"/>
      <c r="L277" s="18">
        <v>-1.1100000000000001</v>
      </c>
      <c r="M277" s="19"/>
    </row>
    <row r="278" spans="1:13" x14ac:dyDescent="0.2">
      <c r="A278" s="10">
        <v>44570.895324074067</v>
      </c>
      <c r="B278" s="11" t="s">
        <v>36</v>
      </c>
      <c r="C278" s="12">
        <v>3.8408561200000002</v>
      </c>
      <c r="D278" s="12" t="s">
        <v>42</v>
      </c>
      <c r="E278" s="13">
        <v>111.51</v>
      </c>
      <c r="F278" s="14">
        <v>0.77011514999999997</v>
      </c>
      <c r="G278" s="14" t="s">
        <v>34</v>
      </c>
      <c r="H278" s="15">
        <v>112.06</v>
      </c>
      <c r="I278" s="16"/>
      <c r="J278" s="16"/>
      <c r="K278" s="17"/>
      <c r="L278" s="18">
        <v>-3.94</v>
      </c>
      <c r="M278" s="19"/>
    </row>
    <row r="279" spans="1:13" x14ac:dyDescent="0.2">
      <c r="A279" s="10">
        <v>44570.811851851853</v>
      </c>
      <c r="B279" s="11" t="s">
        <v>36</v>
      </c>
      <c r="C279" s="12">
        <v>0.63016919999999998</v>
      </c>
      <c r="D279" s="12" t="s">
        <v>34</v>
      </c>
      <c r="E279" s="13">
        <v>91.34</v>
      </c>
      <c r="F279" s="14">
        <v>2.9162589999999999E-2</v>
      </c>
      <c r="G279" s="14" t="s">
        <v>40</v>
      </c>
      <c r="H279" s="15">
        <v>111.01</v>
      </c>
      <c r="I279" s="16"/>
      <c r="J279" s="16"/>
      <c r="K279" s="17"/>
      <c r="L279" s="18">
        <v>-19.670000000000002</v>
      </c>
      <c r="M279" s="19"/>
    </row>
    <row r="280" spans="1:13" x14ac:dyDescent="0.2">
      <c r="A280" s="10">
        <v>44570.811018518521</v>
      </c>
      <c r="B280" s="11" t="s">
        <v>36</v>
      </c>
      <c r="C280" s="12">
        <v>0.13994595000000001</v>
      </c>
      <c r="D280" s="12" t="s">
        <v>34</v>
      </c>
      <c r="E280" s="13">
        <v>20.72</v>
      </c>
      <c r="F280" s="14">
        <v>242.62441733</v>
      </c>
      <c r="G280" s="14" t="s">
        <v>63</v>
      </c>
      <c r="H280" s="15">
        <v>23.77</v>
      </c>
      <c r="I280" s="16"/>
      <c r="J280" s="16"/>
      <c r="K280" s="17"/>
      <c r="L280" s="18">
        <v>-3.05</v>
      </c>
      <c r="M280" s="19"/>
    </row>
    <row r="281" spans="1:13" x14ac:dyDescent="0.2">
      <c r="A281" s="10">
        <v>44570.099062499998</v>
      </c>
      <c r="B281" s="11" t="s">
        <v>36</v>
      </c>
      <c r="C281" s="12">
        <v>242.62441733</v>
      </c>
      <c r="D281" s="12" t="s">
        <v>63</v>
      </c>
      <c r="E281" s="13">
        <v>23.77</v>
      </c>
      <c r="F281" s="14">
        <v>568.69371664000005</v>
      </c>
      <c r="G281" s="14" t="s">
        <v>64</v>
      </c>
      <c r="H281" s="15">
        <v>27.25</v>
      </c>
      <c r="I281" s="16"/>
      <c r="J281" s="16"/>
      <c r="K281" s="17"/>
      <c r="L281" s="18">
        <v>-3.48</v>
      </c>
      <c r="M281" s="19"/>
    </row>
    <row r="282" spans="1:13" x14ac:dyDescent="0.2">
      <c r="A282" s="10">
        <v>44570.098136574074</v>
      </c>
      <c r="B282" s="11" t="s">
        <v>36</v>
      </c>
      <c r="C282" s="12">
        <v>279.24018813999999</v>
      </c>
      <c r="D282" s="12" t="s">
        <v>64</v>
      </c>
      <c r="E282" s="13">
        <v>12.25</v>
      </c>
      <c r="F282" s="14">
        <v>6.0493305599999996</v>
      </c>
      <c r="G282" s="14" t="s">
        <v>51</v>
      </c>
      <c r="H282" s="15">
        <v>14.68</v>
      </c>
      <c r="I282" s="16"/>
      <c r="J282" s="16"/>
      <c r="K282" s="17"/>
      <c r="L282" s="18">
        <v>-2.4300000000000002</v>
      </c>
      <c r="M282" s="19"/>
    </row>
    <row r="283" spans="1:13" x14ac:dyDescent="0.2">
      <c r="A283" s="10">
        <v>44570.096828703703</v>
      </c>
      <c r="B283" s="11" t="s">
        <v>36</v>
      </c>
      <c r="C283" s="12">
        <v>6.4715900000000002E-3</v>
      </c>
      <c r="D283" s="12" t="s">
        <v>40</v>
      </c>
      <c r="E283" s="13">
        <v>20.69</v>
      </c>
      <c r="F283" s="14">
        <v>17.371105</v>
      </c>
      <c r="G283" s="14" t="s">
        <v>35</v>
      </c>
      <c r="H283" s="15">
        <v>23.82</v>
      </c>
      <c r="I283" s="16"/>
      <c r="J283" s="16"/>
      <c r="K283" s="17"/>
      <c r="L283" s="18">
        <v>-3.13</v>
      </c>
      <c r="M283" s="19"/>
    </row>
    <row r="284" spans="1:13" x14ac:dyDescent="0.2">
      <c r="A284" s="10">
        <v>44570.096273148149</v>
      </c>
      <c r="B284" s="11" t="s">
        <v>36</v>
      </c>
      <c r="C284" s="12">
        <v>2.0258410000000001E-2</v>
      </c>
      <c r="D284" s="12" t="s">
        <v>40</v>
      </c>
      <c r="E284" s="13">
        <v>63.24</v>
      </c>
      <c r="F284" s="14">
        <v>1.54109E-3</v>
      </c>
      <c r="G284" s="14" t="s">
        <v>41</v>
      </c>
      <c r="H284" s="15">
        <v>72.25</v>
      </c>
      <c r="I284" s="16"/>
      <c r="J284" s="16"/>
      <c r="K284" s="17"/>
      <c r="L284" s="18">
        <v>-9.01</v>
      </c>
      <c r="M284" s="19"/>
    </row>
    <row r="285" spans="1:13" x14ac:dyDescent="0.2">
      <c r="A285" s="10">
        <v>44566.967245370368</v>
      </c>
      <c r="B285" s="11" t="s">
        <v>36</v>
      </c>
      <c r="C285" s="12">
        <v>6.7741999999999998E-4</v>
      </c>
      <c r="D285" s="12" t="s">
        <v>41</v>
      </c>
      <c r="E285" s="13">
        <v>29.98</v>
      </c>
      <c r="F285" s="14">
        <v>465.85208394</v>
      </c>
      <c r="G285" s="14" t="s">
        <v>65</v>
      </c>
      <c r="H285" s="15">
        <v>29.38</v>
      </c>
      <c r="I285" s="16"/>
      <c r="J285" s="16"/>
      <c r="K285" s="17"/>
      <c r="L285" s="18">
        <v>0.6</v>
      </c>
      <c r="M285" s="19"/>
    </row>
    <row r="286" spans="1:13" x14ac:dyDescent="0.2">
      <c r="A286" s="10">
        <v>44566.891793981478</v>
      </c>
      <c r="B286" s="11" t="s">
        <v>31</v>
      </c>
      <c r="C286" s="12">
        <v>2.6558970000000001E-2</v>
      </c>
      <c r="D286" s="12" t="s">
        <v>40</v>
      </c>
      <c r="E286" s="13">
        <v>96.16</v>
      </c>
      <c r="F286" s="14">
        <v>96.16</v>
      </c>
      <c r="G286" s="14" t="s">
        <v>32</v>
      </c>
      <c r="H286" s="15"/>
      <c r="I286" s="16">
        <v>3.84</v>
      </c>
      <c r="J286" s="16" t="s">
        <v>32</v>
      </c>
      <c r="K286" s="17">
        <v>3.84</v>
      </c>
      <c r="L286" s="18"/>
      <c r="M286" s="19"/>
    </row>
    <row r="287" spans="1:13" x14ac:dyDescent="0.2">
      <c r="A287" s="10">
        <v>44560.230833333328</v>
      </c>
      <c r="B287" s="11" t="s">
        <v>36</v>
      </c>
      <c r="C287" s="12">
        <v>6.0493305599999996</v>
      </c>
      <c r="D287" s="12" t="s">
        <v>51</v>
      </c>
      <c r="E287" s="13">
        <v>14.68</v>
      </c>
      <c r="F287" s="14">
        <v>4.1052199999999997E-3</v>
      </c>
      <c r="G287" s="14" t="s">
        <v>40</v>
      </c>
      <c r="H287" s="15">
        <v>16.7</v>
      </c>
      <c r="I287" s="16"/>
      <c r="J287" s="16"/>
      <c r="K287" s="17"/>
      <c r="L287" s="18">
        <v>-2.02</v>
      </c>
      <c r="M287" s="19"/>
    </row>
    <row r="288" spans="1:13" x14ac:dyDescent="0.2">
      <c r="A288" s="10">
        <v>44558.721909722219</v>
      </c>
      <c r="B288" s="11" t="s">
        <v>36</v>
      </c>
      <c r="C288" s="12">
        <v>1.9387000000000001E-4</v>
      </c>
      <c r="D288" s="12" t="s">
        <v>41</v>
      </c>
      <c r="E288" s="13">
        <v>9.57</v>
      </c>
      <c r="F288" s="14">
        <v>33.403924099999998</v>
      </c>
      <c r="G288" s="14" t="s">
        <v>45</v>
      </c>
      <c r="H288" s="15">
        <v>9.8000000000000007</v>
      </c>
      <c r="I288" s="16"/>
      <c r="J288" s="16"/>
      <c r="K288" s="17"/>
      <c r="L288" s="18">
        <v>-0.23</v>
      </c>
      <c r="M288" s="19"/>
    </row>
    <row r="289" spans="1:13" x14ac:dyDescent="0.2">
      <c r="A289" s="10">
        <v>44558.72115740741</v>
      </c>
      <c r="B289" s="11" t="s">
        <v>36</v>
      </c>
      <c r="C289" s="12">
        <v>2.37521E-3</v>
      </c>
      <c r="D289" s="12" t="s">
        <v>40</v>
      </c>
      <c r="E289" s="13">
        <v>9.2899999999999991</v>
      </c>
      <c r="F289" s="14">
        <v>5.116967E-2</v>
      </c>
      <c r="G289" s="14" t="s">
        <v>34</v>
      </c>
      <c r="H289" s="15">
        <v>9.7200000000000006</v>
      </c>
      <c r="I289" s="16"/>
      <c r="J289" s="16"/>
      <c r="K289" s="17"/>
      <c r="L289" s="18">
        <v>-0.43</v>
      </c>
      <c r="M289" s="19"/>
    </row>
    <row r="290" spans="1:13" x14ac:dyDescent="0.2">
      <c r="A290" s="10">
        <v>44558.720416666663</v>
      </c>
      <c r="B290" s="11" t="s">
        <v>36</v>
      </c>
      <c r="C290" s="12">
        <v>3.88375E-3</v>
      </c>
      <c r="D290" s="12" t="s">
        <v>40</v>
      </c>
      <c r="E290" s="13">
        <v>15.21</v>
      </c>
      <c r="F290" s="14">
        <v>132.27014912000001</v>
      </c>
      <c r="G290" s="14" t="s">
        <v>66</v>
      </c>
      <c r="H290" s="15">
        <v>19.670000000000002</v>
      </c>
      <c r="I290" s="16"/>
      <c r="J290" s="16"/>
      <c r="K290" s="17"/>
      <c r="L290" s="18">
        <v>-4.46</v>
      </c>
      <c r="M290" s="19"/>
    </row>
    <row r="291" spans="1:13" x14ac:dyDescent="0.2">
      <c r="A291" s="10">
        <v>44556.187893518523</v>
      </c>
      <c r="B291" s="11" t="s">
        <v>36</v>
      </c>
      <c r="C291" s="12">
        <v>186.24469737000001</v>
      </c>
      <c r="D291" s="12" t="s">
        <v>65</v>
      </c>
      <c r="E291" s="13">
        <v>11.74</v>
      </c>
      <c r="F291" s="14">
        <v>8.4757730000000002</v>
      </c>
      <c r="G291" s="14" t="s">
        <v>35</v>
      </c>
      <c r="H291" s="15">
        <v>12.08</v>
      </c>
      <c r="I291" s="16"/>
      <c r="J291" s="16"/>
      <c r="K291" s="17"/>
      <c r="L291" s="18">
        <v>-0.34</v>
      </c>
      <c r="M291" s="19"/>
    </row>
    <row r="292" spans="1:13" x14ac:dyDescent="0.2">
      <c r="A292" s="10">
        <v>44556.187465277777</v>
      </c>
      <c r="B292" s="11" t="s">
        <v>36</v>
      </c>
      <c r="C292" s="12">
        <v>279.60738656000001</v>
      </c>
      <c r="D292" s="12" t="s">
        <v>65</v>
      </c>
      <c r="E292" s="13">
        <v>17.64</v>
      </c>
      <c r="F292" s="14">
        <v>4.47964E-3</v>
      </c>
      <c r="G292" s="14" t="s">
        <v>40</v>
      </c>
      <c r="H292" s="15">
        <v>18.23</v>
      </c>
      <c r="I292" s="16"/>
      <c r="J292" s="16"/>
      <c r="K292" s="17"/>
      <c r="L292" s="18">
        <v>-0.59</v>
      </c>
      <c r="M292" s="19"/>
    </row>
    <row r="293" spans="1:13" x14ac:dyDescent="0.2">
      <c r="A293" s="10">
        <v>44556.174085648148</v>
      </c>
      <c r="B293" s="11" t="s">
        <v>36</v>
      </c>
      <c r="C293" s="12">
        <v>66.007402159999998</v>
      </c>
      <c r="D293" s="12" t="s">
        <v>66</v>
      </c>
      <c r="E293" s="13">
        <v>9.77</v>
      </c>
      <c r="F293" s="14">
        <v>34.710953199999999</v>
      </c>
      <c r="G293" s="14" t="s">
        <v>45</v>
      </c>
      <c r="H293" s="15">
        <v>10.19</v>
      </c>
      <c r="I293" s="16"/>
      <c r="J293" s="16"/>
      <c r="K293" s="17"/>
      <c r="L293" s="18">
        <v>-0.42</v>
      </c>
      <c r="M293" s="19"/>
    </row>
    <row r="294" spans="1:13" x14ac:dyDescent="0.2">
      <c r="A294" s="10">
        <v>44556.173229166663</v>
      </c>
      <c r="B294" s="11" t="s">
        <v>36</v>
      </c>
      <c r="C294" s="12">
        <v>66.262746960000001</v>
      </c>
      <c r="D294" s="12" t="s">
        <v>66</v>
      </c>
      <c r="E294" s="13">
        <v>9.9</v>
      </c>
      <c r="F294" s="14">
        <v>5.2185259999999997E-2</v>
      </c>
      <c r="G294" s="14" t="s">
        <v>34</v>
      </c>
      <c r="H294" s="15">
        <v>9.91</v>
      </c>
      <c r="I294" s="16"/>
      <c r="J294" s="16"/>
      <c r="K294" s="17"/>
      <c r="L294" s="18">
        <v>-0.01</v>
      </c>
      <c r="M294" s="19"/>
    </row>
    <row r="295" spans="1:13" x14ac:dyDescent="0.2">
      <c r="A295" s="10">
        <v>44553.884953703702</v>
      </c>
      <c r="B295" s="11" t="s">
        <v>36</v>
      </c>
      <c r="C295" s="12">
        <v>289.4535285</v>
      </c>
      <c r="D295" s="12" t="s">
        <v>64</v>
      </c>
      <c r="E295" s="13">
        <v>15</v>
      </c>
      <c r="F295" s="14">
        <v>10.284186</v>
      </c>
      <c r="G295" s="14" t="s">
        <v>35</v>
      </c>
      <c r="H295" s="15">
        <v>14.65</v>
      </c>
      <c r="I295" s="16"/>
      <c r="J295" s="16"/>
      <c r="K295" s="17"/>
      <c r="L295" s="18">
        <v>0.35</v>
      </c>
      <c r="M295" s="19"/>
    </row>
    <row r="296" spans="1:13" x14ac:dyDescent="0.2">
      <c r="A296" s="10">
        <v>44553.882951388892</v>
      </c>
      <c r="B296" s="11" t="s">
        <v>36</v>
      </c>
      <c r="C296" s="12">
        <v>0.10335493</v>
      </c>
      <c r="D296" s="12" t="s">
        <v>34</v>
      </c>
      <c r="E296" s="13">
        <v>19.63</v>
      </c>
      <c r="F296" s="14">
        <v>4.8654900000000001E-3</v>
      </c>
      <c r="G296" s="14" t="s">
        <v>40</v>
      </c>
      <c r="H296" s="15">
        <v>20.05</v>
      </c>
      <c r="I296" s="16"/>
      <c r="J296" s="16"/>
      <c r="K296" s="17"/>
      <c r="L296" s="18">
        <v>-0.42</v>
      </c>
      <c r="M296" s="19"/>
    </row>
    <row r="297" spans="1:13" x14ac:dyDescent="0.2">
      <c r="A297" s="10">
        <v>44553.882291666669</v>
      </c>
      <c r="B297" s="11" t="s">
        <v>36</v>
      </c>
      <c r="C297" s="12">
        <v>68.114877300000003</v>
      </c>
      <c r="D297" s="12" t="s">
        <v>45</v>
      </c>
      <c r="E297" s="13">
        <v>19.989999999999998</v>
      </c>
      <c r="F297" s="14">
        <v>13.678955</v>
      </c>
      <c r="G297" s="14" t="s">
        <v>35</v>
      </c>
      <c r="H297" s="15">
        <v>19.489999999999998</v>
      </c>
      <c r="I297" s="16"/>
      <c r="J297" s="16"/>
      <c r="K297" s="17"/>
      <c r="L297" s="18">
        <v>0.5</v>
      </c>
      <c r="M297" s="19"/>
    </row>
    <row r="298" spans="1:13" x14ac:dyDescent="0.2">
      <c r="A298" s="10">
        <v>44553.741087962961</v>
      </c>
      <c r="B298" s="11" t="s">
        <v>36</v>
      </c>
      <c r="C298" s="12">
        <v>41.200425000000003</v>
      </c>
      <c r="D298" s="12" t="s">
        <v>35</v>
      </c>
      <c r="E298" s="13">
        <v>58.71</v>
      </c>
      <c r="F298" s="14">
        <v>1.204E-3</v>
      </c>
      <c r="G298" s="14" t="s">
        <v>41</v>
      </c>
      <c r="H298" s="15">
        <v>60.57</v>
      </c>
      <c r="I298" s="16"/>
      <c r="J298" s="16"/>
      <c r="K298" s="17"/>
      <c r="L298" s="18">
        <v>-1.86</v>
      </c>
      <c r="M298" s="19"/>
    </row>
    <row r="299" spans="1:13" x14ac:dyDescent="0.2">
      <c r="A299" s="10">
        <v>44553.740474537037</v>
      </c>
      <c r="B299" s="11" t="s">
        <v>36</v>
      </c>
      <c r="C299" s="12">
        <v>5.9004999999999995E-4</v>
      </c>
      <c r="D299" s="12" t="s">
        <v>41</v>
      </c>
      <c r="E299" s="13">
        <v>30</v>
      </c>
      <c r="F299" s="14">
        <v>21.051154</v>
      </c>
      <c r="G299" s="14" t="s">
        <v>35</v>
      </c>
      <c r="H299" s="15">
        <v>27.71</v>
      </c>
      <c r="I299" s="16"/>
      <c r="J299" s="16"/>
      <c r="K299" s="17"/>
      <c r="L299" s="18">
        <v>2.29</v>
      </c>
      <c r="M299" s="19"/>
    </row>
    <row r="300" spans="1:13" x14ac:dyDescent="0.2">
      <c r="A300" s="10">
        <v>44541.687141203707</v>
      </c>
      <c r="B300" s="11" t="s">
        <v>36</v>
      </c>
      <c r="C300" s="12">
        <v>29.660748000000002</v>
      </c>
      <c r="D300" s="12" t="s">
        <v>35</v>
      </c>
      <c r="E300" s="13">
        <v>39.04</v>
      </c>
      <c r="F300" s="14">
        <v>9.7720299999999993E-3</v>
      </c>
      <c r="G300" s="14" t="s">
        <v>40</v>
      </c>
      <c r="H300" s="15">
        <v>42.96</v>
      </c>
      <c r="I300" s="16"/>
      <c r="J300" s="16"/>
      <c r="K300" s="17"/>
      <c r="L300" s="18">
        <v>-3.92</v>
      </c>
      <c r="M300" s="19"/>
    </row>
    <row r="301" spans="1:13" x14ac:dyDescent="0.2">
      <c r="A301" s="10">
        <v>44540.975902777784</v>
      </c>
      <c r="B301" s="11" t="s">
        <v>36</v>
      </c>
      <c r="C301" s="12">
        <v>1.15742E-2</v>
      </c>
      <c r="D301" s="12" t="s">
        <v>40</v>
      </c>
      <c r="E301" s="13">
        <v>47.09</v>
      </c>
      <c r="F301" s="14">
        <v>256.62583761000002</v>
      </c>
      <c r="G301" s="14" t="s">
        <v>67</v>
      </c>
      <c r="H301" s="15">
        <v>43.4</v>
      </c>
      <c r="I301" s="16"/>
      <c r="J301" s="16"/>
      <c r="K301" s="17"/>
      <c r="L301" s="18">
        <v>3.69</v>
      </c>
      <c r="M301" s="19"/>
    </row>
    <row r="302" spans="1:13" x14ac:dyDescent="0.2">
      <c r="A302" s="10">
        <v>44540.601006944453</v>
      </c>
      <c r="B302" s="11" t="s">
        <v>36</v>
      </c>
      <c r="C302" s="12">
        <v>97.598800580000002</v>
      </c>
      <c r="D302" s="12" t="s">
        <v>67</v>
      </c>
      <c r="E302" s="13">
        <v>19.36</v>
      </c>
      <c r="F302" s="14">
        <v>1434.50101855</v>
      </c>
      <c r="G302" s="14" t="s">
        <v>68</v>
      </c>
      <c r="H302" s="15">
        <v>25.79</v>
      </c>
      <c r="I302" s="16"/>
      <c r="J302" s="16"/>
      <c r="K302" s="17"/>
      <c r="L302" s="18">
        <v>-6.43</v>
      </c>
      <c r="M302" s="19"/>
    </row>
    <row r="303" spans="1:13" x14ac:dyDescent="0.2">
      <c r="A303" s="10">
        <v>44540.063819444447</v>
      </c>
      <c r="B303" s="11" t="s">
        <v>36</v>
      </c>
      <c r="C303" s="12">
        <v>139.17749337999999</v>
      </c>
      <c r="D303" s="12" t="s">
        <v>67</v>
      </c>
      <c r="E303" s="13">
        <v>21.01</v>
      </c>
      <c r="F303" s="14">
        <v>1419.1419141900001</v>
      </c>
      <c r="G303" s="14" t="s">
        <v>68</v>
      </c>
      <c r="H303" s="15">
        <v>25.87</v>
      </c>
      <c r="I303" s="16"/>
      <c r="J303" s="16"/>
      <c r="K303" s="17"/>
      <c r="L303" s="18">
        <v>-4.8600000000000003</v>
      </c>
      <c r="M303" s="19"/>
    </row>
    <row r="304" spans="1:13" x14ac:dyDescent="0.2">
      <c r="A304" s="10">
        <v>44540.062210648153</v>
      </c>
      <c r="B304" s="11" t="s">
        <v>36</v>
      </c>
      <c r="C304" s="12">
        <v>19.849543650000001</v>
      </c>
      <c r="D304" s="12" t="s">
        <v>67</v>
      </c>
      <c r="E304" s="13">
        <v>3.03</v>
      </c>
      <c r="F304" s="14">
        <v>1.8398129999999999E-2</v>
      </c>
      <c r="G304" s="14" t="s">
        <v>49</v>
      </c>
      <c r="H304" s="15">
        <v>2.98</v>
      </c>
      <c r="I304" s="16"/>
      <c r="J304" s="16"/>
      <c r="K304" s="17"/>
      <c r="L304" s="18">
        <v>0.05</v>
      </c>
      <c r="M304" s="19"/>
    </row>
    <row r="305" spans="1:13" x14ac:dyDescent="0.2">
      <c r="A305" s="10">
        <v>44540.055706018517</v>
      </c>
      <c r="B305" s="11" t="s">
        <v>31</v>
      </c>
      <c r="C305" s="12">
        <v>6.1327100000000004E-3</v>
      </c>
      <c r="D305" s="12" t="s">
        <v>49</v>
      </c>
      <c r="E305" s="13">
        <v>0.99</v>
      </c>
      <c r="F305" s="14"/>
      <c r="G305" s="14"/>
      <c r="H305" s="15"/>
      <c r="I305" s="16"/>
      <c r="J305" s="16"/>
      <c r="K305" s="17"/>
      <c r="L305" s="18"/>
      <c r="M305" s="19"/>
    </row>
    <row r="306" spans="1:13" x14ac:dyDescent="0.2">
      <c r="A306" s="10">
        <v>44540.055567129632</v>
      </c>
      <c r="B306" s="11" t="s">
        <v>31</v>
      </c>
      <c r="C306" s="12">
        <v>6.1327100000000004E-3</v>
      </c>
      <c r="D306" s="12" t="s">
        <v>49</v>
      </c>
      <c r="E306" s="13">
        <v>1</v>
      </c>
      <c r="F306" s="14"/>
      <c r="G306" s="14"/>
      <c r="H306" s="15"/>
      <c r="I306" s="16"/>
      <c r="J306" s="16"/>
      <c r="K306" s="17"/>
      <c r="L306" s="18"/>
      <c r="M306" s="19"/>
    </row>
    <row r="307" spans="1:13" x14ac:dyDescent="0.2">
      <c r="A307" s="10">
        <v>44540.05541666667</v>
      </c>
      <c r="B307" s="11" t="s">
        <v>31</v>
      </c>
      <c r="C307" s="12">
        <v>6.1327100000000004E-3</v>
      </c>
      <c r="D307" s="12" t="s">
        <v>49</v>
      </c>
      <c r="E307" s="13">
        <v>0.99</v>
      </c>
      <c r="F307" s="14"/>
      <c r="G307" s="14"/>
      <c r="H307" s="15"/>
      <c r="I307" s="16"/>
      <c r="J307" s="16"/>
      <c r="K307" s="17"/>
      <c r="L307" s="18"/>
      <c r="M307" s="19"/>
    </row>
    <row r="308" spans="1:13" x14ac:dyDescent="0.2">
      <c r="A308" s="10">
        <v>44539.793182870373</v>
      </c>
      <c r="B308" s="11" t="s">
        <v>31</v>
      </c>
      <c r="C308" s="12">
        <v>2.0900000000000001E-4</v>
      </c>
      <c r="D308" s="12" t="s">
        <v>41</v>
      </c>
      <c r="E308" s="13">
        <v>10.01</v>
      </c>
      <c r="F308" s="14"/>
      <c r="G308" s="14"/>
      <c r="H308" s="15"/>
      <c r="I308" s="16"/>
      <c r="J308" s="16"/>
      <c r="K308" s="17"/>
      <c r="L308" s="18"/>
      <c r="M308" s="19"/>
    </row>
    <row r="309" spans="1:13" x14ac:dyDescent="0.2">
      <c r="A309" s="10">
        <v>44539.789386574077</v>
      </c>
      <c r="B309" s="11" t="s">
        <v>31</v>
      </c>
      <c r="C309" s="12">
        <v>3.2554799999999998E-3</v>
      </c>
      <c r="D309" s="12" t="s">
        <v>40</v>
      </c>
      <c r="E309" s="13">
        <v>13.51</v>
      </c>
      <c r="F309" s="14">
        <v>13.51</v>
      </c>
      <c r="G309" s="14" t="s">
        <v>32</v>
      </c>
      <c r="H309" s="15"/>
      <c r="I309" s="16">
        <v>1.49</v>
      </c>
      <c r="J309" s="16" t="s">
        <v>32</v>
      </c>
      <c r="K309" s="17">
        <v>1.49</v>
      </c>
      <c r="L309" s="18"/>
      <c r="M309" s="19"/>
    </row>
    <row r="310" spans="1:13" x14ac:dyDescent="0.2">
      <c r="A310" s="10">
        <v>44539.220486111109</v>
      </c>
      <c r="B310" s="11" t="s">
        <v>36</v>
      </c>
      <c r="C310" s="12">
        <v>536.74854684000002</v>
      </c>
      <c r="D310" s="12" t="s">
        <v>68</v>
      </c>
      <c r="E310" s="13">
        <v>9.4700000000000006</v>
      </c>
      <c r="F310" s="14">
        <v>27.310846389999998</v>
      </c>
      <c r="G310" s="14" t="s">
        <v>69</v>
      </c>
      <c r="H310" s="15">
        <v>9.6999999999999993</v>
      </c>
      <c r="I310" s="16"/>
      <c r="J310" s="16"/>
      <c r="K310" s="17"/>
      <c r="L310" s="18">
        <v>-0.23</v>
      </c>
      <c r="M310" s="19"/>
    </row>
    <row r="311" spans="1:13" x14ac:dyDescent="0.2">
      <c r="A311" s="10">
        <v>44539.063402777778</v>
      </c>
      <c r="B311" s="11" t="s">
        <v>36</v>
      </c>
      <c r="C311" s="12">
        <v>27.310846389999998</v>
      </c>
      <c r="D311" s="12" t="s">
        <v>69</v>
      </c>
      <c r="E311" s="13">
        <v>9.6999999999999993</v>
      </c>
      <c r="F311" s="14">
        <v>1.9799999999999999E-4</v>
      </c>
      <c r="G311" s="14" t="s">
        <v>41</v>
      </c>
      <c r="H311" s="15">
        <v>10</v>
      </c>
      <c r="I311" s="16"/>
      <c r="J311" s="16"/>
      <c r="K311" s="17"/>
      <c r="L311" s="18">
        <v>-0.3</v>
      </c>
      <c r="M311" s="19"/>
    </row>
    <row r="312" spans="1:13" x14ac:dyDescent="0.2">
      <c r="A312" s="10">
        <v>44539.04247685185</v>
      </c>
      <c r="B312" s="11" t="s">
        <v>36</v>
      </c>
      <c r="C312" s="12">
        <v>705.97175244000005</v>
      </c>
      <c r="D312" s="12" t="s">
        <v>68</v>
      </c>
      <c r="E312" s="13">
        <v>12.82</v>
      </c>
      <c r="F312" s="14">
        <v>6.7253199999999999E-2</v>
      </c>
      <c r="G312" s="14" t="s">
        <v>34</v>
      </c>
      <c r="H312" s="15">
        <v>12.78</v>
      </c>
      <c r="I312" s="16"/>
      <c r="J312" s="16"/>
      <c r="K312" s="17"/>
      <c r="L312" s="18">
        <v>0.04</v>
      </c>
      <c r="M312" s="19"/>
    </row>
    <row r="313" spans="1:13" x14ac:dyDescent="0.2">
      <c r="A313" s="10">
        <v>44539.031504629631</v>
      </c>
      <c r="B313" s="11" t="s">
        <v>36</v>
      </c>
      <c r="C313" s="12">
        <v>1.499268E-2</v>
      </c>
      <c r="D313" s="12" t="s">
        <v>34</v>
      </c>
      <c r="E313" s="13">
        <v>4.08</v>
      </c>
      <c r="F313" s="14">
        <v>16.801545770000001</v>
      </c>
      <c r="G313" s="14" t="s">
        <v>70</v>
      </c>
      <c r="H313" s="15">
        <v>2.98</v>
      </c>
      <c r="I313" s="16"/>
      <c r="J313" s="16"/>
      <c r="K313" s="17"/>
      <c r="L313" s="18">
        <v>0.02</v>
      </c>
      <c r="M313" s="19"/>
    </row>
    <row r="314" spans="1:13" x14ac:dyDescent="0.2">
      <c r="A314" s="10">
        <v>44539.028032407397</v>
      </c>
      <c r="B314" s="11" t="s">
        <v>31</v>
      </c>
      <c r="C314" s="12">
        <v>1.8709999999999999E-4</v>
      </c>
      <c r="D314" s="12" t="s">
        <v>41</v>
      </c>
      <c r="E314" s="13">
        <v>9.4499999999999993</v>
      </c>
      <c r="F314" s="14"/>
      <c r="G314" s="14"/>
      <c r="H314" s="15"/>
      <c r="I314" s="16"/>
      <c r="J314" s="16"/>
      <c r="K314" s="17"/>
      <c r="L314" s="18"/>
      <c r="M314" s="19"/>
    </row>
    <row r="315" spans="1:13" x14ac:dyDescent="0.2">
      <c r="A315" s="10">
        <v>44539.024699074071</v>
      </c>
      <c r="B315" s="11" t="s">
        <v>36</v>
      </c>
      <c r="C315" s="12">
        <v>1073.7916747199999</v>
      </c>
      <c r="D315" s="12" t="s">
        <v>68</v>
      </c>
      <c r="E315" s="13">
        <v>19.579999999999998</v>
      </c>
      <c r="F315" s="14">
        <v>3.9500000000000001E-4</v>
      </c>
      <c r="G315" s="14" t="s">
        <v>41</v>
      </c>
      <c r="H315" s="15">
        <v>20.21</v>
      </c>
      <c r="I315" s="16"/>
      <c r="J315" s="16"/>
      <c r="K315" s="17"/>
      <c r="L315" s="18">
        <v>-0.63</v>
      </c>
      <c r="M315" s="19"/>
    </row>
    <row r="316" spans="1:13" x14ac:dyDescent="0.2">
      <c r="A316" s="10">
        <v>44539.00304398148</v>
      </c>
      <c r="B316" s="11" t="s">
        <v>31</v>
      </c>
      <c r="C316" s="12">
        <v>5.60051524</v>
      </c>
      <c r="D316" s="12" t="s">
        <v>70</v>
      </c>
      <c r="E316" s="13">
        <v>1</v>
      </c>
      <c r="F316" s="14"/>
      <c r="G316" s="14"/>
      <c r="H316" s="15"/>
      <c r="I316" s="16"/>
      <c r="J316" s="16"/>
      <c r="K316" s="17"/>
      <c r="L316" s="18"/>
      <c r="M316" s="19"/>
    </row>
    <row r="317" spans="1:13" x14ac:dyDescent="0.2">
      <c r="A317" s="10">
        <v>44539.002789351849</v>
      </c>
      <c r="B317" s="11" t="s">
        <v>31</v>
      </c>
      <c r="C317" s="12">
        <v>5.6002016000000001</v>
      </c>
      <c r="D317" s="12" t="s">
        <v>70</v>
      </c>
      <c r="E317" s="13">
        <v>0.99</v>
      </c>
      <c r="F317" s="14"/>
      <c r="G317" s="14"/>
      <c r="H317" s="15"/>
      <c r="I317" s="16"/>
      <c r="J317" s="16"/>
      <c r="K317" s="17"/>
      <c r="L317" s="18"/>
      <c r="M317" s="19"/>
    </row>
    <row r="318" spans="1:13" x14ac:dyDescent="0.2">
      <c r="A318" s="10">
        <v>44539.002118055563</v>
      </c>
      <c r="B318" s="11" t="s">
        <v>31</v>
      </c>
      <c r="C318" s="12">
        <v>5.6008289199999997</v>
      </c>
      <c r="D318" s="12" t="s">
        <v>70</v>
      </c>
      <c r="E318" s="13">
        <v>0.99</v>
      </c>
      <c r="F318" s="14"/>
      <c r="G318" s="14"/>
      <c r="H318" s="15"/>
      <c r="I318" s="16"/>
      <c r="J318" s="16"/>
      <c r="K318" s="17"/>
      <c r="L318" s="18"/>
      <c r="M318" s="19"/>
    </row>
    <row r="319" spans="1:13" x14ac:dyDescent="0.2">
      <c r="A319" s="10">
        <v>44538.980949074074</v>
      </c>
      <c r="B319" s="11" t="s">
        <v>39</v>
      </c>
      <c r="C319" s="12"/>
      <c r="D319" s="12" t="s">
        <v>32</v>
      </c>
      <c r="E319" s="13"/>
      <c r="F319" s="14">
        <v>1.9819999999999999E-4</v>
      </c>
      <c r="G319" s="14" t="s">
        <v>41</v>
      </c>
      <c r="H319" s="15">
        <v>10.14</v>
      </c>
      <c r="I319" s="16">
        <v>3.27E-6</v>
      </c>
      <c r="J319" s="16" t="s">
        <v>41</v>
      </c>
      <c r="K319" s="17">
        <v>0.17</v>
      </c>
      <c r="L319" s="18">
        <v>-0.14000000000000001</v>
      </c>
      <c r="M319" s="19">
        <v>0</v>
      </c>
    </row>
    <row r="320" spans="1:13" x14ac:dyDescent="0.2">
      <c r="A320" s="10">
        <v>44538.973194444443</v>
      </c>
      <c r="B320" s="11" t="s">
        <v>36</v>
      </c>
      <c r="C320" s="12">
        <v>537.13095873999998</v>
      </c>
      <c r="D320" s="12" t="s">
        <v>68</v>
      </c>
      <c r="E320" s="13">
        <v>9.7899999999999991</v>
      </c>
      <c r="F320" s="14">
        <v>1.9799999999999999E-4</v>
      </c>
      <c r="G320" s="14" t="s">
        <v>41</v>
      </c>
      <c r="H320" s="15">
        <v>10.130000000000001</v>
      </c>
      <c r="I320" s="16"/>
      <c r="J320" s="16"/>
      <c r="K320" s="17"/>
      <c r="L320" s="18">
        <v>-0.34</v>
      </c>
      <c r="M320" s="19"/>
    </row>
    <row r="321" spans="1:13" x14ac:dyDescent="0.2">
      <c r="A321" s="10">
        <v>44535.816423611112</v>
      </c>
      <c r="B321" s="11" t="s">
        <v>36</v>
      </c>
      <c r="C321" s="12">
        <v>5.2260519999999998E-2</v>
      </c>
      <c r="D321" s="12" t="s">
        <v>34</v>
      </c>
      <c r="E321" s="13">
        <v>9.7799999999999994</v>
      </c>
      <c r="F321" s="14">
        <v>2.0599999999999999E-4</v>
      </c>
      <c r="G321" s="14" t="s">
        <v>41</v>
      </c>
      <c r="H321" s="15">
        <v>10.54</v>
      </c>
      <c r="I321" s="16"/>
      <c r="J321" s="16"/>
      <c r="K321" s="17"/>
      <c r="L321" s="18">
        <v>-0.76</v>
      </c>
      <c r="M321" s="19"/>
    </row>
    <row r="322" spans="1:13" x14ac:dyDescent="0.2">
      <c r="A322" s="10">
        <v>44535.142013888893</v>
      </c>
      <c r="B322" s="11" t="s">
        <v>36</v>
      </c>
      <c r="C322" s="12">
        <v>7.0809999999999996E-3</v>
      </c>
      <c r="D322" s="12" t="s">
        <v>40</v>
      </c>
      <c r="E322" s="13">
        <v>29.46</v>
      </c>
      <c r="F322" s="14">
        <v>6.0800000000000003E-4</v>
      </c>
      <c r="G322" s="14" t="s">
        <v>41</v>
      </c>
      <c r="H322" s="15">
        <v>32.28</v>
      </c>
      <c r="I322" s="16"/>
      <c r="J322" s="16"/>
      <c r="K322" s="17"/>
      <c r="L322" s="18">
        <v>-2.82</v>
      </c>
      <c r="M322" s="19"/>
    </row>
    <row r="323" spans="1:13" x14ac:dyDescent="0.2">
      <c r="A323" s="10">
        <v>44534.986828703702</v>
      </c>
      <c r="B323" s="11" t="s">
        <v>36</v>
      </c>
      <c r="C323" s="12">
        <v>5.9500000000000003E-5</v>
      </c>
      <c r="D323" s="12" t="s">
        <v>41</v>
      </c>
      <c r="E323" s="13">
        <v>2.99</v>
      </c>
      <c r="F323" s="14">
        <v>56.653711680000001</v>
      </c>
      <c r="G323" s="14" t="s">
        <v>64</v>
      </c>
      <c r="H323" s="15">
        <v>3</v>
      </c>
      <c r="I323" s="16"/>
      <c r="J323" s="16"/>
      <c r="K323" s="17"/>
      <c r="L323" s="18">
        <v>-0.01</v>
      </c>
      <c r="M323" s="19"/>
    </row>
    <row r="324" spans="1:13" x14ac:dyDescent="0.2">
      <c r="A324" s="10">
        <v>44534.985694444447</v>
      </c>
      <c r="B324" s="11" t="s">
        <v>36</v>
      </c>
      <c r="C324" s="12">
        <v>5.948E-5</v>
      </c>
      <c r="D324" s="12" t="s">
        <v>41</v>
      </c>
      <c r="E324" s="13">
        <v>2.99</v>
      </c>
      <c r="F324" s="14">
        <v>4.4508185500000002</v>
      </c>
      <c r="G324" s="14" t="s">
        <v>71</v>
      </c>
      <c r="H324" s="15">
        <v>3</v>
      </c>
      <c r="I324" s="16"/>
      <c r="J324" s="16"/>
      <c r="K324" s="17"/>
      <c r="L324" s="18">
        <v>-0.01</v>
      </c>
      <c r="M324" s="19"/>
    </row>
    <row r="325" spans="1:13" x14ac:dyDescent="0.2">
      <c r="A325" s="10">
        <v>44534.984884259262</v>
      </c>
      <c r="B325" s="11" t="s">
        <v>36</v>
      </c>
      <c r="C325" s="12">
        <v>7.9140000000000005E-5</v>
      </c>
      <c r="D325" s="12" t="s">
        <v>41</v>
      </c>
      <c r="E325" s="13">
        <v>3.97</v>
      </c>
      <c r="F325" s="14">
        <v>5.4322023799999997</v>
      </c>
      <c r="G325" s="14" t="s">
        <v>56</v>
      </c>
      <c r="H325" s="15">
        <v>4</v>
      </c>
      <c r="I325" s="16"/>
      <c r="J325" s="16"/>
      <c r="K325" s="17"/>
      <c r="L325" s="18">
        <v>-0.03</v>
      </c>
      <c r="M325" s="19"/>
    </row>
    <row r="326" spans="1:13" x14ac:dyDescent="0.2">
      <c r="A326" s="10">
        <v>44534.98333333333</v>
      </c>
      <c r="B326" s="11" t="s">
        <v>36</v>
      </c>
      <c r="C326" s="12">
        <v>1.9903E-4</v>
      </c>
      <c r="D326" s="12" t="s">
        <v>41</v>
      </c>
      <c r="E326" s="13">
        <v>9.9499999999999993</v>
      </c>
      <c r="F326" s="14">
        <v>34.119233299999998</v>
      </c>
      <c r="G326" s="14" t="s">
        <v>45</v>
      </c>
      <c r="H326" s="15">
        <v>10</v>
      </c>
      <c r="I326" s="16"/>
      <c r="J326" s="16"/>
      <c r="K326" s="17"/>
      <c r="L326" s="18">
        <v>-0.05</v>
      </c>
      <c r="M326" s="19"/>
    </row>
    <row r="327" spans="1:13" x14ac:dyDescent="0.2">
      <c r="A327" s="10">
        <v>44534.981944444437</v>
      </c>
      <c r="B327" s="11" t="s">
        <v>31</v>
      </c>
      <c r="C327" s="12">
        <v>18.910741300000002</v>
      </c>
      <c r="D327" s="12" t="s">
        <v>64</v>
      </c>
      <c r="E327" s="13">
        <v>1</v>
      </c>
      <c r="F327" s="14"/>
      <c r="G327" s="14"/>
      <c r="H327" s="15"/>
      <c r="I327" s="16"/>
      <c r="J327" s="16"/>
      <c r="K327" s="17"/>
      <c r="L327" s="18"/>
      <c r="M327" s="19"/>
    </row>
    <row r="328" spans="1:13" x14ac:dyDescent="0.2">
      <c r="A328" s="10">
        <v>44534.981840277767</v>
      </c>
      <c r="B328" s="11" t="s">
        <v>31</v>
      </c>
      <c r="C328" s="12">
        <v>18.871485190000001</v>
      </c>
      <c r="D328" s="12" t="s">
        <v>64</v>
      </c>
      <c r="E328" s="13">
        <v>1</v>
      </c>
      <c r="F328" s="14"/>
      <c r="G328" s="14"/>
      <c r="H328" s="15"/>
      <c r="I328" s="16"/>
      <c r="J328" s="16"/>
      <c r="K328" s="17"/>
      <c r="L328" s="18"/>
      <c r="M328" s="19"/>
    </row>
    <row r="329" spans="1:13" x14ac:dyDescent="0.2">
      <c r="A329" s="10">
        <v>44534.981620370367</v>
      </c>
      <c r="B329" s="11" t="s">
        <v>31</v>
      </c>
      <c r="C329" s="12">
        <v>18.871485190000001</v>
      </c>
      <c r="D329" s="12" t="s">
        <v>64</v>
      </c>
      <c r="E329" s="13">
        <v>1</v>
      </c>
      <c r="F329" s="14"/>
      <c r="G329" s="14"/>
      <c r="H329" s="15"/>
      <c r="I329" s="16"/>
      <c r="J329" s="16"/>
      <c r="K329" s="17"/>
      <c r="L329" s="18"/>
      <c r="M329" s="19"/>
    </row>
    <row r="330" spans="1:13" x14ac:dyDescent="0.2">
      <c r="A330" s="10">
        <v>44534.980543981481</v>
      </c>
      <c r="B330" s="11" t="s">
        <v>31</v>
      </c>
      <c r="C330" s="12">
        <v>1.35869565</v>
      </c>
      <c r="D330" s="12" t="s">
        <v>56</v>
      </c>
      <c r="E330" s="13">
        <v>1</v>
      </c>
      <c r="F330" s="14"/>
      <c r="G330" s="14"/>
      <c r="H330" s="15"/>
      <c r="I330" s="16"/>
      <c r="J330" s="16"/>
      <c r="K330" s="17"/>
      <c r="L330" s="18"/>
      <c r="M330" s="19"/>
    </row>
    <row r="331" spans="1:13" x14ac:dyDescent="0.2">
      <c r="A331" s="10">
        <v>44534.980370370373</v>
      </c>
      <c r="B331" s="11" t="s">
        <v>31</v>
      </c>
      <c r="C331" s="12">
        <v>1.35869565</v>
      </c>
      <c r="D331" s="12" t="s">
        <v>56</v>
      </c>
      <c r="E331" s="13">
        <v>1</v>
      </c>
      <c r="F331" s="14"/>
      <c r="G331" s="14"/>
      <c r="H331" s="15"/>
      <c r="I331" s="16"/>
      <c r="J331" s="16"/>
      <c r="K331" s="17"/>
      <c r="L331" s="18"/>
      <c r="M331" s="19"/>
    </row>
    <row r="332" spans="1:13" x14ac:dyDescent="0.2">
      <c r="A332" s="10">
        <v>44534.979143518518</v>
      </c>
      <c r="B332" s="11" t="s">
        <v>31</v>
      </c>
      <c r="C332" s="12">
        <v>1.35630001</v>
      </c>
      <c r="D332" s="12" t="s">
        <v>56</v>
      </c>
      <c r="E332" s="13">
        <v>1</v>
      </c>
      <c r="F332" s="14"/>
      <c r="G332" s="14"/>
      <c r="H332" s="15"/>
      <c r="I332" s="16"/>
      <c r="J332" s="16"/>
      <c r="K332" s="17"/>
      <c r="L332" s="18"/>
      <c r="M332" s="19"/>
    </row>
    <row r="333" spans="1:13" x14ac:dyDescent="0.2">
      <c r="A333" s="10">
        <v>44534.978692129633</v>
      </c>
      <c r="B333" s="11" t="s">
        <v>31</v>
      </c>
      <c r="C333" s="12">
        <v>1.35851107</v>
      </c>
      <c r="D333" s="12" t="s">
        <v>56</v>
      </c>
      <c r="E333" s="13">
        <v>1</v>
      </c>
      <c r="F333" s="14"/>
      <c r="G333" s="14"/>
      <c r="H333" s="15"/>
      <c r="I333" s="16"/>
      <c r="J333" s="16"/>
      <c r="K333" s="17"/>
      <c r="L333" s="18"/>
      <c r="M333" s="19"/>
    </row>
    <row r="334" spans="1:13" x14ac:dyDescent="0.2">
      <c r="A334" s="10">
        <v>44534.978148148148</v>
      </c>
      <c r="B334" s="11" t="s">
        <v>31</v>
      </c>
      <c r="C334" s="12">
        <v>1.4838996900000001</v>
      </c>
      <c r="D334" s="12" t="s">
        <v>71</v>
      </c>
      <c r="E334" s="13">
        <v>1</v>
      </c>
      <c r="F334" s="14"/>
      <c r="G334" s="14"/>
      <c r="H334" s="15"/>
      <c r="I334" s="16"/>
      <c r="J334" s="16"/>
      <c r="K334" s="17"/>
      <c r="L334" s="18"/>
      <c r="M334" s="19"/>
    </row>
    <row r="335" spans="1:13" x14ac:dyDescent="0.2">
      <c r="A335" s="10">
        <v>44534.977453703701</v>
      </c>
      <c r="B335" s="11" t="s">
        <v>31</v>
      </c>
      <c r="C335" s="12">
        <v>1.4834594299999999</v>
      </c>
      <c r="D335" s="12" t="s">
        <v>71</v>
      </c>
      <c r="E335" s="13">
        <v>1</v>
      </c>
      <c r="F335" s="14"/>
      <c r="G335" s="14"/>
      <c r="H335" s="15"/>
      <c r="I335" s="16"/>
      <c r="J335" s="16"/>
      <c r="K335" s="17"/>
      <c r="L335" s="18"/>
      <c r="M335" s="19"/>
    </row>
    <row r="336" spans="1:13" x14ac:dyDescent="0.2">
      <c r="A336" s="10">
        <v>44534.976979166669</v>
      </c>
      <c r="B336" s="11" t="s">
        <v>31</v>
      </c>
      <c r="C336" s="12">
        <v>1.4834594299999999</v>
      </c>
      <c r="D336" s="12" t="s">
        <v>71</v>
      </c>
      <c r="E336" s="13">
        <v>1</v>
      </c>
      <c r="F336" s="14"/>
      <c r="G336" s="14"/>
      <c r="H336" s="15"/>
      <c r="I336" s="16"/>
      <c r="J336" s="16"/>
      <c r="K336" s="17"/>
      <c r="L336" s="18"/>
      <c r="M336" s="19"/>
    </row>
    <row r="337" spans="1:13" x14ac:dyDescent="0.2">
      <c r="A337" s="10">
        <v>44534.975821759261</v>
      </c>
      <c r="B337" s="11" t="s">
        <v>31</v>
      </c>
      <c r="C337" s="12">
        <v>6.8210031999999998</v>
      </c>
      <c r="D337" s="12" t="s">
        <v>45</v>
      </c>
      <c r="E337" s="13">
        <v>2</v>
      </c>
      <c r="F337" s="14"/>
      <c r="G337" s="14"/>
      <c r="H337" s="15"/>
      <c r="I337" s="16"/>
      <c r="J337" s="16"/>
      <c r="K337" s="17"/>
      <c r="L337" s="18"/>
      <c r="M337" s="19"/>
    </row>
    <row r="338" spans="1:13" x14ac:dyDescent="0.2">
      <c r="A338" s="10">
        <v>44534.973506944443</v>
      </c>
      <c r="B338" s="11" t="s">
        <v>31</v>
      </c>
      <c r="C338" s="12">
        <v>6.8223992999999998</v>
      </c>
      <c r="D338" s="12" t="s">
        <v>45</v>
      </c>
      <c r="E338" s="13">
        <v>2</v>
      </c>
      <c r="F338" s="14"/>
      <c r="G338" s="14"/>
      <c r="H338" s="15"/>
      <c r="I338" s="16"/>
      <c r="J338" s="16"/>
      <c r="K338" s="17"/>
      <c r="L338" s="18"/>
      <c r="M338" s="19"/>
    </row>
    <row r="339" spans="1:13" x14ac:dyDescent="0.2">
      <c r="A339" s="10">
        <v>44534.971331018518</v>
      </c>
      <c r="B339" s="11" t="s">
        <v>31</v>
      </c>
      <c r="C339" s="12">
        <v>6.8175156000000001</v>
      </c>
      <c r="D339" s="12" t="s">
        <v>45</v>
      </c>
      <c r="E339" s="13">
        <v>2</v>
      </c>
      <c r="F339" s="14"/>
      <c r="G339" s="14"/>
      <c r="H339" s="15"/>
      <c r="I339" s="16"/>
      <c r="J339" s="16"/>
      <c r="K339" s="17"/>
      <c r="L339" s="18"/>
      <c r="M339" s="19"/>
    </row>
    <row r="340" spans="1:13" x14ac:dyDescent="0.2">
      <c r="A340" s="10">
        <v>44534.969849537039</v>
      </c>
      <c r="B340" s="11" t="s">
        <v>31</v>
      </c>
      <c r="C340" s="12">
        <v>6.8333000000000001E-4</v>
      </c>
      <c r="D340" s="12" t="s">
        <v>41</v>
      </c>
      <c r="E340" s="13">
        <v>33.65</v>
      </c>
      <c r="F340" s="14"/>
      <c r="G340" s="14"/>
      <c r="H340" s="15"/>
      <c r="I340" s="16"/>
      <c r="J340" s="16"/>
      <c r="K340" s="17"/>
      <c r="L340" s="18"/>
      <c r="M340" s="19"/>
    </row>
    <row r="341" spans="1:13" x14ac:dyDescent="0.2">
      <c r="A341" s="10">
        <v>44534.96979166667</v>
      </c>
      <c r="B341" s="11" t="s">
        <v>31</v>
      </c>
      <c r="C341" s="12">
        <v>6.8249601999999996</v>
      </c>
      <c r="D341" s="12" t="s">
        <v>45</v>
      </c>
      <c r="E341" s="13">
        <v>2</v>
      </c>
      <c r="F341" s="14"/>
      <c r="G341" s="14"/>
      <c r="H341" s="15"/>
      <c r="I341" s="16"/>
      <c r="J341" s="16"/>
      <c r="K341" s="17"/>
      <c r="L341" s="18"/>
      <c r="M341" s="19"/>
    </row>
    <row r="342" spans="1:13" x14ac:dyDescent="0.2">
      <c r="A342" s="10">
        <v>44534.967650462961</v>
      </c>
      <c r="B342" s="11" t="s">
        <v>31</v>
      </c>
      <c r="C342" s="12">
        <v>6.8333550000000001</v>
      </c>
      <c r="D342" s="12" t="s">
        <v>45</v>
      </c>
      <c r="E342" s="13">
        <v>2</v>
      </c>
      <c r="F342" s="14"/>
      <c r="G342" s="14"/>
      <c r="H342" s="15"/>
      <c r="I342" s="16"/>
      <c r="J342" s="16"/>
      <c r="K342" s="17"/>
      <c r="L342" s="18"/>
      <c r="M342" s="19"/>
    </row>
    <row r="343" spans="1:13" x14ac:dyDescent="0.2">
      <c r="A343" s="10">
        <v>44534.897731481477</v>
      </c>
      <c r="B343" s="11" t="s">
        <v>31</v>
      </c>
      <c r="C343" s="12">
        <v>2.19871E-3</v>
      </c>
      <c r="D343" s="12" t="s">
        <v>40</v>
      </c>
      <c r="E343" s="13">
        <v>6.41</v>
      </c>
      <c r="F343" s="14">
        <v>9.01</v>
      </c>
      <c r="G343" s="14" t="s">
        <v>32</v>
      </c>
      <c r="H343" s="15"/>
      <c r="I343" s="16">
        <v>0.99</v>
      </c>
      <c r="J343" s="16" t="s">
        <v>32</v>
      </c>
      <c r="K343" s="17">
        <v>0.99</v>
      </c>
      <c r="L343" s="18"/>
      <c r="M343" s="19"/>
    </row>
    <row r="344" spans="1:13" x14ac:dyDescent="0.2">
      <c r="A344" s="10">
        <v>44534.896886574083</v>
      </c>
      <c r="B344" s="11" t="s">
        <v>31</v>
      </c>
      <c r="C344" s="12">
        <v>1.4659899999999999E-3</v>
      </c>
      <c r="D344" s="12" t="s">
        <v>41</v>
      </c>
      <c r="E344" s="13">
        <v>72.010000000000005</v>
      </c>
      <c r="F344" s="14">
        <v>72.010000000000005</v>
      </c>
      <c r="G344" s="14" t="s">
        <v>32</v>
      </c>
      <c r="H344" s="15"/>
      <c r="I344" s="16">
        <v>2.99</v>
      </c>
      <c r="J344" s="16" t="s">
        <v>32</v>
      </c>
      <c r="K344" s="17">
        <v>2.99</v>
      </c>
      <c r="L344" s="18"/>
      <c r="M344" s="19"/>
    </row>
    <row r="345" spans="1:13" x14ac:dyDescent="0.2">
      <c r="A345" s="10">
        <v>44530.81994212963</v>
      </c>
      <c r="B345" s="11" t="s">
        <v>36</v>
      </c>
      <c r="C345" s="12">
        <v>6.5289999999999993E-5</v>
      </c>
      <c r="D345" s="12" t="s">
        <v>41</v>
      </c>
      <c r="E345" s="13">
        <v>3.86</v>
      </c>
      <c r="F345" s="14">
        <v>25.615779329999999</v>
      </c>
      <c r="G345" s="14" t="s">
        <v>72</v>
      </c>
      <c r="H345" s="15">
        <v>4</v>
      </c>
      <c r="I345" s="16"/>
      <c r="J345" s="16"/>
      <c r="K345" s="17"/>
      <c r="L345" s="18">
        <v>-0.14000000000000001</v>
      </c>
      <c r="M345" s="19"/>
    </row>
    <row r="346" spans="1:13" x14ac:dyDescent="0.2">
      <c r="A346" s="10">
        <v>44530.819386574083</v>
      </c>
      <c r="B346" s="11" t="s">
        <v>36</v>
      </c>
      <c r="C346" s="12">
        <v>8.2349999999999996E-5</v>
      </c>
      <c r="D346" s="12" t="s">
        <v>41</v>
      </c>
      <c r="E346" s="13">
        <v>4.88</v>
      </c>
      <c r="F346" s="14">
        <v>4.3668122199999999</v>
      </c>
      <c r="G346" s="14" t="s">
        <v>73</v>
      </c>
      <c r="H346" s="15">
        <v>5</v>
      </c>
      <c r="I346" s="16"/>
      <c r="J346" s="16"/>
      <c r="K346" s="17"/>
      <c r="L346" s="18">
        <v>-0.13</v>
      </c>
      <c r="M346" s="19"/>
    </row>
    <row r="347" spans="1:13" x14ac:dyDescent="0.2">
      <c r="A347" s="10">
        <v>44530.036087962973</v>
      </c>
      <c r="B347" s="11" t="s">
        <v>31</v>
      </c>
      <c r="C347" s="12">
        <v>6.4036885200000002</v>
      </c>
      <c r="D347" s="12" t="s">
        <v>72</v>
      </c>
      <c r="E347" s="13">
        <v>1</v>
      </c>
      <c r="F347" s="14"/>
      <c r="G347" s="14"/>
      <c r="H347" s="15"/>
      <c r="I347" s="16"/>
      <c r="J347" s="16"/>
      <c r="K347" s="17"/>
      <c r="L347" s="18"/>
      <c r="M347" s="19"/>
    </row>
    <row r="348" spans="1:13" x14ac:dyDescent="0.2">
      <c r="A348" s="10">
        <v>44530.035891203697</v>
      </c>
      <c r="B348" s="11" t="s">
        <v>31</v>
      </c>
      <c r="C348" s="12">
        <v>6.4040986200000001</v>
      </c>
      <c r="D348" s="12" t="s">
        <v>72</v>
      </c>
      <c r="E348" s="13">
        <v>1</v>
      </c>
      <c r="F348" s="14"/>
      <c r="G348" s="14"/>
      <c r="H348" s="15"/>
      <c r="I348" s="16"/>
      <c r="J348" s="16"/>
      <c r="K348" s="17"/>
      <c r="L348" s="18"/>
      <c r="M348" s="19"/>
    </row>
    <row r="349" spans="1:13" x14ac:dyDescent="0.2">
      <c r="A349" s="10">
        <v>44530.03565972222</v>
      </c>
      <c r="B349" s="11" t="s">
        <v>31</v>
      </c>
      <c r="C349" s="12">
        <v>6.4040986200000001</v>
      </c>
      <c r="D349" s="12" t="s">
        <v>72</v>
      </c>
      <c r="E349" s="13">
        <v>1</v>
      </c>
      <c r="F349" s="14"/>
      <c r="G349" s="14"/>
      <c r="H349" s="15"/>
      <c r="I349" s="16"/>
      <c r="J349" s="16"/>
      <c r="K349" s="17"/>
      <c r="L349" s="18"/>
      <c r="M349" s="19"/>
    </row>
    <row r="350" spans="1:13" x14ac:dyDescent="0.2">
      <c r="A350" s="10">
        <v>44530.035254629627</v>
      </c>
      <c r="B350" s="11" t="s">
        <v>31</v>
      </c>
      <c r="C350" s="12">
        <v>6.4038935600000002</v>
      </c>
      <c r="D350" s="12" t="s">
        <v>72</v>
      </c>
      <c r="E350" s="13">
        <v>1</v>
      </c>
      <c r="F350" s="14"/>
      <c r="G350" s="14"/>
      <c r="H350" s="15"/>
      <c r="I350" s="16"/>
      <c r="J350" s="16"/>
      <c r="K350" s="17"/>
      <c r="L350" s="18"/>
      <c r="M350" s="19"/>
    </row>
    <row r="351" spans="1:13" x14ac:dyDescent="0.2">
      <c r="A351" s="10">
        <v>44530.03434027778</v>
      </c>
      <c r="B351" s="11" t="s">
        <v>31</v>
      </c>
      <c r="C351" s="12">
        <v>0.87336243999999996</v>
      </c>
      <c r="D351" s="12" t="s">
        <v>73</v>
      </c>
      <c r="E351" s="13">
        <v>1</v>
      </c>
      <c r="F351" s="14"/>
      <c r="G351" s="14"/>
      <c r="H351" s="15"/>
      <c r="I351" s="16"/>
      <c r="J351" s="16"/>
      <c r="K351" s="17"/>
      <c r="L351" s="18"/>
      <c r="M351" s="19"/>
    </row>
    <row r="352" spans="1:13" x14ac:dyDescent="0.2">
      <c r="A352" s="10">
        <v>44530.033622685187</v>
      </c>
      <c r="B352" s="11" t="s">
        <v>31</v>
      </c>
      <c r="C352" s="12">
        <v>0.87336243999999996</v>
      </c>
      <c r="D352" s="12" t="s">
        <v>73</v>
      </c>
      <c r="E352" s="13">
        <v>1</v>
      </c>
      <c r="F352" s="14"/>
      <c r="G352" s="14"/>
      <c r="H352" s="15"/>
      <c r="I352" s="16"/>
      <c r="J352" s="16"/>
      <c r="K352" s="17"/>
      <c r="L352" s="18"/>
      <c r="M352" s="19"/>
    </row>
    <row r="353" spans="1:13" x14ac:dyDescent="0.2">
      <c r="A353" s="10">
        <v>44530.032777777778</v>
      </c>
      <c r="B353" s="11" t="s">
        <v>31</v>
      </c>
      <c r="C353" s="12">
        <v>0.87336243999999996</v>
      </c>
      <c r="D353" s="12" t="s">
        <v>73</v>
      </c>
      <c r="E353" s="13">
        <v>1</v>
      </c>
      <c r="F353" s="14"/>
      <c r="G353" s="14"/>
      <c r="H353" s="15"/>
      <c r="I353" s="16"/>
      <c r="J353" s="16"/>
      <c r="K353" s="17"/>
      <c r="L353" s="18"/>
      <c r="M353" s="19"/>
    </row>
    <row r="354" spans="1:13" x14ac:dyDescent="0.2">
      <c r="A354" s="10">
        <v>44530.032430555562</v>
      </c>
      <c r="B354" s="11" t="s">
        <v>31</v>
      </c>
      <c r="C354" s="12">
        <v>0.87336243999999996</v>
      </c>
      <c r="D354" s="12" t="s">
        <v>73</v>
      </c>
      <c r="E354" s="13">
        <v>1</v>
      </c>
      <c r="F354" s="14"/>
      <c r="G354" s="14"/>
      <c r="H354" s="15"/>
      <c r="I354" s="16"/>
      <c r="J354" s="16"/>
      <c r="K354" s="17"/>
      <c r="L354" s="18"/>
      <c r="M354" s="19"/>
    </row>
    <row r="355" spans="1:13" x14ac:dyDescent="0.2">
      <c r="A355" s="20">
        <v>44530.032152777778</v>
      </c>
      <c r="B355" s="11" t="s">
        <v>31</v>
      </c>
      <c r="C355" s="21">
        <v>0.87336243999999996</v>
      </c>
      <c r="D355" s="21" t="s">
        <v>73</v>
      </c>
      <c r="E355" s="22">
        <v>1</v>
      </c>
      <c r="F355" s="23"/>
      <c r="G355" s="23"/>
      <c r="H355" s="24"/>
      <c r="I355" s="25"/>
      <c r="J355" s="25"/>
      <c r="K355" s="26"/>
      <c r="L355" s="27"/>
      <c r="M355" s="28"/>
    </row>
  </sheetData>
  <autoFilter ref="A1:M355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A7" sqref="A7"/>
    </sheetView>
  </sheetViews>
  <sheetFormatPr baseColWidth="10" defaultRowHeight="16" x14ac:dyDescent="0.2"/>
  <cols>
    <col min="1" max="1" width="12.140625" style="63" customWidth="1"/>
    <col min="2" max="2" width="10.7109375" style="39" customWidth="1"/>
    <col min="3" max="3" width="19.85546875" style="39" customWidth="1"/>
    <col min="4" max="4" width="20.5703125" style="39" customWidth="1"/>
    <col min="5" max="5" width="28.140625" style="39" customWidth="1"/>
    <col min="6" max="6" width="15.85546875" style="39" customWidth="1"/>
    <col min="7" max="7" width="16" style="39" customWidth="1"/>
    <col min="8" max="8" width="23.28515625" style="39" customWidth="1"/>
    <col min="9" max="9" width="13.28515625" style="39" customWidth="1"/>
    <col min="10" max="10" width="15.140625" style="39" customWidth="1"/>
    <col min="11" max="11" width="22" style="39" customWidth="1"/>
    <col min="12" max="12" width="23.28515625" style="39" customWidth="1"/>
    <col min="13" max="13" width="27.5703125" style="39" customWidth="1"/>
    <col min="14" max="34" width="10.7109375" style="39" customWidth="1"/>
    <col min="35" max="16384" width="10.7109375" style="39"/>
  </cols>
  <sheetData>
    <row r="1" spans="1:13" x14ac:dyDescent="0.2">
      <c r="A1" s="81" t="s">
        <v>33</v>
      </c>
      <c r="B1" s="80"/>
      <c r="C1" s="80"/>
    </row>
    <row r="2" spans="1:13" x14ac:dyDescent="0.2">
      <c r="A2" s="82"/>
      <c r="B2" s="80"/>
      <c r="C2" s="80"/>
    </row>
    <row r="3" spans="1:13" x14ac:dyDescent="0.2">
      <c r="A3" s="82"/>
      <c r="B3" s="80"/>
      <c r="C3" s="80"/>
    </row>
    <row r="4" spans="1:13" x14ac:dyDescent="0.2">
      <c r="A4" s="82"/>
      <c r="B4" s="80"/>
      <c r="C4" s="80"/>
    </row>
    <row r="6" spans="1:13" s="59" customFormat="1" ht="19" customHeight="1" x14ac:dyDescent="0.2">
      <c r="A6" s="64" t="s">
        <v>17</v>
      </c>
      <c r="B6" s="65" t="s">
        <v>18</v>
      </c>
      <c r="C6" s="66" t="s">
        <v>19</v>
      </c>
      <c r="D6" s="66" t="s">
        <v>20</v>
      </c>
      <c r="E6" s="67" t="s">
        <v>21</v>
      </c>
      <c r="F6" s="68" t="s">
        <v>22</v>
      </c>
      <c r="G6" s="68" t="s">
        <v>23</v>
      </c>
      <c r="H6" s="69" t="s">
        <v>24</v>
      </c>
      <c r="I6" s="70" t="s">
        <v>25</v>
      </c>
      <c r="J6" s="70" t="s">
        <v>26</v>
      </c>
      <c r="K6" s="71" t="s">
        <v>27</v>
      </c>
      <c r="L6" s="72" t="s">
        <v>28</v>
      </c>
      <c r="M6" s="73" t="s">
        <v>29</v>
      </c>
    </row>
    <row r="7" spans="1:13" s="59" customFormat="1" x14ac:dyDescent="0.2">
      <c r="A7" s="74" cm="1">
        <f t="array" aca="1" ref="A7:M30" ca="1">_xlfn._xlws.FILTER(TRANSACTIONS, (RECEIVED_CURRENCY=A1) + (SENT_CURRENCY=A1))</f>
        <v>45268.5000462963</v>
      </c>
      <c r="B7" s="59" t="str">
        <f ca="1"/>
        <v>TRANSFER</v>
      </c>
      <c r="C7" s="59">
        <f ca="1"/>
        <v>2.5099999999999998E-4</v>
      </c>
      <c r="D7" s="59" t="str">
        <f ca="1"/>
        <v>ATOM</v>
      </c>
      <c r="E7" s="59">
        <f ca="1"/>
        <v>0</v>
      </c>
      <c r="F7" s="59">
        <f ca="1"/>
        <v>2.5099999999999998E-4</v>
      </c>
      <c r="G7" s="59" t="str">
        <f ca="1"/>
        <v>ATOM</v>
      </c>
      <c r="H7" s="59">
        <f ca="1"/>
        <v>0</v>
      </c>
      <c r="I7" s="59">
        <f ca="1"/>
        <v>0</v>
      </c>
      <c r="J7" s="59">
        <f ca="1"/>
        <v>0</v>
      </c>
      <c r="K7" s="59">
        <f ca="1"/>
        <v>0</v>
      </c>
      <c r="L7" s="59">
        <f ca="1"/>
        <v>0</v>
      </c>
      <c r="M7" s="59">
        <f ca="1"/>
        <v>0</v>
      </c>
    </row>
    <row r="8" spans="1:13" s="59" customFormat="1" x14ac:dyDescent="0.2">
      <c r="A8" s="74">
        <f ca="1"/>
        <v>45254.750219907408</v>
      </c>
      <c r="B8" s="59" t="str">
        <f ca="1"/>
        <v>TRANSFER</v>
      </c>
      <c r="C8" s="59">
        <f ca="1"/>
        <v>3.4547000000000001E-2</v>
      </c>
      <c r="D8" s="59" t="str">
        <f ca="1"/>
        <v>ATOM</v>
      </c>
      <c r="E8" s="59">
        <f ca="1"/>
        <v>0</v>
      </c>
      <c r="F8" s="59">
        <f ca="1"/>
        <v>3.4547000000000001E-2</v>
      </c>
      <c r="G8" s="59" t="str">
        <f ca="1"/>
        <v>ATOM</v>
      </c>
      <c r="H8" s="59">
        <f ca="1"/>
        <v>0</v>
      </c>
      <c r="I8" s="59">
        <f ca="1"/>
        <v>0</v>
      </c>
      <c r="J8" s="59">
        <f ca="1"/>
        <v>0</v>
      </c>
      <c r="K8" s="59">
        <f ca="1"/>
        <v>0</v>
      </c>
      <c r="L8" s="59">
        <f ca="1"/>
        <v>0</v>
      </c>
      <c r="M8" s="59">
        <f ca="1"/>
        <v>0</v>
      </c>
    </row>
    <row r="9" spans="1:13" s="59" customFormat="1" x14ac:dyDescent="0.2">
      <c r="A9" s="74">
        <f ca="1"/>
        <v>45124.775393518517</v>
      </c>
      <c r="B9" s="59" t="str">
        <f ca="1"/>
        <v>TRADE</v>
      </c>
      <c r="C9" s="59">
        <f ca="1"/>
        <v>941.04330900000002</v>
      </c>
      <c r="D9" s="59" t="str">
        <f ca="1"/>
        <v>XRP</v>
      </c>
      <c r="E9" s="59">
        <f ca="1"/>
        <v>681.5</v>
      </c>
      <c r="F9" s="59">
        <f ca="1"/>
        <v>75.606707</v>
      </c>
      <c r="G9" s="59" t="str">
        <f ca="1"/>
        <v>ATOM</v>
      </c>
      <c r="H9" s="59">
        <f ca="1"/>
        <v>746.63</v>
      </c>
      <c r="I9" s="59">
        <f ca="1"/>
        <v>0</v>
      </c>
      <c r="J9" s="59">
        <f ca="1"/>
        <v>0</v>
      </c>
      <c r="K9" s="59">
        <f ca="1"/>
        <v>0</v>
      </c>
      <c r="L9" s="59">
        <f ca="1"/>
        <v>-65.13</v>
      </c>
      <c r="M9" s="59">
        <f ca="1"/>
        <v>0</v>
      </c>
    </row>
    <row r="10" spans="1:13" s="59" customFormat="1" x14ac:dyDescent="0.2">
      <c r="A10" s="74">
        <f ca="1"/>
        <v>45124.773773148147</v>
      </c>
      <c r="B10" s="59" t="str">
        <f ca="1"/>
        <v>TRANSFER</v>
      </c>
      <c r="C10" s="59">
        <f ca="1"/>
        <v>74.602784999999997</v>
      </c>
      <c r="D10" s="59" t="str">
        <f ca="1"/>
        <v>ATOM</v>
      </c>
      <c r="E10" s="59">
        <f ca="1"/>
        <v>0</v>
      </c>
      <c r="F10" s="59">
        <f ca="1"/>
        <v>74.604799999999997</v>
      </c>
      <c r="G10" s="59" t="str">
        <f ca="1"/>
        <v>ATOM</v>
      </c>
      <c r="H10" s="59">
        <f ca="1"/>
        <v>0</v>
      </c>
      <c r="I10" s="59">
        <f ca="1"/>
        <v>2.065E-3</v>
      </c>
      <c r="J10" s="59" t="str">
        <f ca="1"/>
        <v>ATOM</v>
      </c>
      <c r="K10" s="59">
        <f ca="1"/>
        <v>0</v>
      </c>
      <c r="L10" s="59">
        <f ca="1"/>
        <v>0</v>
      </c>
      <c r="M10" s="59">
        <f ca="1"/>
        <v>0</v>
      </c>
    </row>
    <row r="11" spans="1:13" s="59" customFormat="1" x14ac:dyDescent="0.2">
      <c r="A11" s="74">
        <f ca="1"/>
        <v>45124.772534722222</v>
      </c>
      <c r="B11" s="59" t="str">
        <f ca="1"/>
        <v>TRANSFER</v>
      </c>
      <c r="C11" s="59">
        <f ca="1"/>
        <v>1</v>
      </c>
      <c r="D11" s="59" t="str">
        <f ca="1"/>
        <v>ATOM</v>
      </c>
      <c r="E11" s="59">
        <f ca="1"/>
        <v>0</v>
      </c>
      <c r="F11" s="59">
        <f ca="1"/>
        <v>1.0025999999999999</v>
      </c>
      <c r="G11" s="59" t="str">
        <f ca="1"/>
        <v>ATOM</v>
      </c>
      <c r="H11" s="59">
        <f ca="1"/>
        <v>0</v>
      </c>
      <c r="I11" s="59">
        <f ca="1"/>
        <v>2.6050000000000001E-3</v>
      </c>
      <c r="J11" s="59" t="str">
        <f ca="1"/>
        <v>ATOM</v>
      </c>
      <c r="K11" s="59">
        <f ca="1"/>
        <v>0</v>
      </c>
      <c r="L11" s="59">
        <f ca="1"/>
        <v>0</v>
      </c>
      <c r="M11" s="59">
        <f ca="1"/>
        <v>0</v>
      </c>
    </row>
    <row r="12" spans="1:13" s="59" customFormat="1" x14ac:dyDescent="0.2">
      <c r="A12" s="74">
        <f ca="1"/>
        <v>45120.656944444447</v>
      </c>
      <c r="B12" s="59" t="str">
        <f ca="1"/>
        <v>TRANSFER</v>
      </c>
      <c r="C12" s="59">
        <f ca="1"/>
        <v>41.127263999999997</v>
      </c>
      <c r="D12" s="59" t="str">
        <f ca="1"/>
        <v>ATOM</v>
      </c>
      <c r="E12" s="59">
        <f ca="1"/>
        <v>0</v>
      </c>
      <c r="F12" s="59">
        <f ca="1"/>
        <v>41.127263999999997</v>
      </c>
      <c r="G12" s="59" t="str">
        <f ca="1"/>
        <v>ATOM</v>
      </c>
      <c r="H12" s="59">
        <f ca="1"/>
        <v>0</v>
      </c>
      <c r="I12" s="59">
        <f ca="1"/>
        <v>0</v>
      </c>
      <c r="J12" s="59">
        <f ca="1"/>
        <v>0</v>
      </c>
      <c r="K12" s="59">
        <f ca="1"/>
        <v>0</v>
      </c>
      <c r="L12" s="59">
        <f ca="1"/>
        <v>0</v>
      </c>
      <c r="M12" s="59">
        <f ca="1"/>
        <v>0</v>
      </c>
    </row>
    <row r="13" spans="1:13" s="59" customFormat="1" x14ac:dyDescent="0.2">
      <c r="A13" s="74">
        <f ca="1"/>
        <v>45120.615624999999</v>
      </c>
      <c r="B13" s="59" t="str">
        <f ca="1"/>
        <v>TRADE</v>
      </c>
      <c r="C13" s="59">
        <f ca="1"/>
        <v>41.127263999999997</v>
      </c>
      <c r="D13" s="59" t="str">
        <f ca="1"/>
        <v>ATOM</v>
      </c>
      <c r="E13" s="59">
        <f ca="1"/>
        <v>373.09</v>
      </c>
      <c r="F13" s="59">
        <f ca="1"/>
        <v>10480.330599770001</v>
      </c>
      <c r="G13" s="59" t="str">
        <f ca="1"/>
        <v>CSPR</v>
      </c>
      <c r="H13" s="59">
        <f ca="1"/>
        <v>496.16</v>
      </c>
      <c r="I13" s="59">
        <f ca="1"/>
        <v>28.193308819999999</v>
      </c>
      <c r="J13" s="59" t="str">
        <f ca="1"/>
        <v>CSPR</v>
      </c>
      <c r="K13" s="59">
        <f ca="1"/>
        <v>1.33</v>
      </c>
      <c r="L13" s="59">
        <f ca="1"/>
        <v>-124.07</v>
      </c>
      <c r="M13" s="59">
        <f ca="1"/>
        <v>-0.33</v>
      </c>
    </row>
    <row r="14" spans="1:13" s="59" customFormat="1" x14ac:dyDescent="0.2">
      <c r="A14" s="74">
        <f ca="1"/>
        <v>45116.610625000001</v>
      </c>
      <c r="B14" s="59" t="str">
        <f ca="1"/>
        <v>TRANSFER</v>
      </c>
      <c r="C14" s="59">
        <f ca="1"/>
        <v>0.16642000000000001</v>
      </c>
      <c r="D14" s="59" t="str">
        <f ca="1"/>
        <v>ATOM</v>
      </c>
      <c r="E14" s="59">
        <f ca="1"/>
        <v>0</v>
      </c>
      <c r="F14" s="59">
        <f ca="1"/>
        <v>0.16642000000000001</v>
      </c>
      <c r="G14" s="59" t="str">
        <f ca="1"/>
        <v>ATOM</v>
      </c>
      <c r="H14" s="59">
        <f ca="1"/>
        <v>0</v>
      </c>
      <c r="I14" s="59">
        <f ca="1"/>
        <v>5.0000000000000001E-3</v>
      </c>
      <c r="J14" s="59" t="str">
        <f ca="1"/>
        <v>ATOM</v>
      </c>
      <c r="K14" s="59">
        <f ca="1"/>
        <v>0.05</v>
      </c>
      <c r="L14" s="59">
        <f ca="1"/>
        <v>0</v>
      </c>
      <c r="M14" s="59">
        <f ca="1"/>
        <v>-0.01</v>
      </c>
    </row>
    <row r="15" spans="1:13" s="59" customFormat="1" x14ac:dyDescent="0.2">
      <c r="A15" s="74">
        <f ca="1"/>
        <v>45116.609988425917</v>
      </c>
      <c r="B15" s="59" t="str">
        <f ca="1"/>
        <v>TRANSFER</v>
      </c>
      <c r="C15" s="59">
        <f ca="1"/>
        <v>34.313771000000003</v>
      </c>
      <c r="D15" s="59" t="str">
        <f ca="1"/>
        <v>ATOM</v>
      </c>
      <c r="E15" s="59">
        <f ca="1"/>
        <v>0</v>
      </c>
      <c r="F15" s="59">
        <f ca="1"/>
        <v>34.313771000000003</v>
      </c>
      <c r="G15" s="59" t="str">
        <f ca="1"/>
        <v>ATOM</v>
      </c>
      <c r="H15" s="59">
        <f ca="1"/>
        <v>0</v>
      </c>
      <c r="I15" s="59">
        <f ca="1"/>
        <v>5.0000000000000001E-3</v>
      </c>
      <c r="J15" s="59" t="str">
        <f ca="1"/>
        <v>ATOM</v>
      </c>
      <c r="K15" s="59">
        <f ca="1"/>
        <v>0.05</v>
      </c>
      <c r="L15" s="59">
        <f ca="1"/>
        <v>0</v>
      </c>
      <c r="M15" s="59">
        <f ca="1"/>
        <v>-0.01</v>
      </c>
    </row>
    <row r="16" spans="1:13" s="59" customFormat="1" x14ac:dyDescent="0.2">
      <c r="A16" s="74">
        <f ca="1"/>
        <v>45096.837106481478</v>
      </c>
      <c r="B16" s="59" t="str">
        <f ca="1"/>
        <v>SELL</v>
      </c>
      <c r="C16" s="59">
        <f ca="1"/>
        <v>0</v>
      </c>
      <c r="D16" s="59" t="str">
        <f ca="1"/>
        <v>USD</v>
      </c>
      <c r="E16" s="59">
        <f ca="1"/>
        <v>0</v>
      </c>
      <c r="F16" s="59">
        <f ca="1"/>
        <v>11.674170999999999</v>
      </c>
      <c r="G16" s="59" t="str">
        <f ca="1"/>
        <v>ATOM</v>
      </c>
      <c r="H16" s="59">
        <f ca="1"/>
        <v>126.43</v>
      </c>
      <c r="I16" s="59">
        <f ca="1"/>
        <v>5.0000000000000001E-3</v>
      </c>
      <c r="J16" s="59" t="str">
        <f ca="1"/>
        <v>ATOM</v>
      </c>
      <c r="K16" s="59">
        <f ca="1"/>
        <v>0.05</v>
      </c>
      <c r="L16" s="59">
        <f ca="1"/>
        <v>-26.54</v>
      </c>
      <c r="M16" s="59">
        <f ca="1"/>
        <v>-0.01</v>
      </c>
    </row>
    <row r="17" spans="1:13" s="59" customFormat="1" x14ac:dyDescent="0.2">
      <c r="A17" s="74">
        <f ca="1"/>
        <v>45080.62127314815</v>
      </c>
      <c r="B17" s="59" t="str">
        <f ca="1"/>
        <v>BUY</v>
      </c>
      <c r="C17" s="59">
        <f ca="1"/>
        <v>46.169621999999997</v>
      </c>
      <c r="D17" s="59" t="str">
        <f ca="1"/>
        <v>ATOM</v>
      </c>
      <c r="E17" s="59">
        <f ca="1"/>
        <v>500</v>
      </c>
      <c r="F17" s="59">
        <f ca="1"/>
        <v>500</v>
      </c>
      <c r="G17" s="59" t="str">
        <f ca="1"/>
        <v>USD</v>
      </c>
      <c r="H17" s="59">
        <f ca="1"/>
        <v>0</v>
      </c>
      <c r="I17" s="59">
        <f ca="1"/>
        <v>0</v>
      </c>
      <c r="J17" s="59">
        <f ca="1"/>
        <v>0</v>
      </c>
      <c r="K17" s="59">
        <f ca="1"/>
        <v>0</v>
      </c>
      <c r="L17" s="59">
        <f ca="1"/>
        <v>0</v>
      </c>
      <c r="M17" s="59">
        <f ca="1"/>
        <v>0</v>
      </c>
    </row>
    <row r="18" spans="1:13" s="59" customFormat="1" x14ac:dyDescent="0.2">
      <c r="A18" s="74">
        <f ca="1"/>
        <v>45009.832152777781</v>
      </c>
      <c r="B18" s="59" t="str">
        <f ca="1"/>
        <v>TRANSFER</v>
      </c>
      <c r="C18" s="59">
        <f ca="1"/>
        <v>4.1019999999999997E-3</v>
      </c>
      <c r="D18" s="59" t="str">
        <f ca="1"/>
        <v>ATOM</v>
      </c>
      <c r="E18" s="59">
        <f ca="1"/>
        <v>0</v>
      </c>
      <c r="F18" s="59">
        <f ca="1"/>
        <v>4.1019999999999997E-3</v>
      </c>
      <c r="G18" s="59" t="str">
        <f ca="1"/>
        <v>ATOM</v>
      </c>
      <c r="H18" s="59">
        <f ca="1"/>
        <v>0</v>
      </c>
      <c r="I18" s="59">
        <f ca="1"/>
        <v>0</v>
      </c>
      <c r="J18" s="59">
        <f ca="1"/>
        <v>0</v>
      </c>
      <c r="K18" s="59">
        <f ca="1"/>
        <v>0</v>
      </c>
      <c r="L18" s="59">
        <f ca="1"/>
        <v>0</v>
      </c>
      <c r="M18" s="59">
        <f ca="1"/>
        <v>0</v>
      </c>
    </row>
    <row r="19" spans="1:13" s="59" customFormat="1" x14ac:dyDescent="0.2">
      <c r="A19" s="74">
        <f ca="1"/>
        <v>44988.631215277783</v>
      </c>
      <c r="B19" s="59" t="str">
        <f ca="1"/>
        <v>TRADE</v>
      </c>
      <c r="C19" s="59">
        <f ca="1"/>
        <v>26.008521089999999</v>
      </c>
      <c r="D19" s="59" t="str">
        <f ca="1"/>
        <v>LINK</v>
      </c>
      <c r="E19" s="59">
        <f ca="1"/>
        <v>179.75</v>
      </c>
      <c r="F19" s="59">
        <f ca="1"/>
        <v>15.414179000000001</v>
      </c>
      <c r="G19" s="59" t="str">
        <f ca="1"/>
        <v>ATOM</v>
      </c>
      <c r="H19" s="59">
        <f ca="1"/>
        <v>200.34</v>
      </c>
      <c r="I19" s="59">
        <f ca="1"/>
        <v>0</v>
      </c>
      <c r="J19" s="59">
        <f ca="1"/>
        <v>0</v>
      </c>
      <c r="K19" s="59">
        <f ca="1"/>
        <v>0</v>
      </c>
      <c r="L19" s="59">
        <f ca="1"/>
        <v>-20.59</v>
      </c>
      <c r="M19" s="59">
        <f ca="1"/>
        <v>0</v>
      </c>
    </row>
    <row r="20" spans="1:13" s="59" customFormat="1" x14ac:dyDescent="0.2">
      <c r="A20" s="74">
        <f ca="1"/>
        <v>44987.098090277781</v>
      </c>
      <c r="B20" s="59" t="str">
        <f ca="1"/>
        <v>TRADE</v>
      </c>
      <c r="C20" s="59">
        <f ca="1"/>
        <v>15.381562000000001</v>
      </c>
      <c r="D20" s="59" t="str">
        <f ca="1"/>
        <v>ATOM</v>
      </c>
      <c r="E20" s="59">
        <f ca="1"/>
        <v>199.95</v>
      </c>
      <c r="F20" s="59">
        <f ca="1"/>
        <v>2900.6526468500001</v>
      </c>
      <c r="G20" s="59" t="str">
        <f ca="1"/>
        <v>HBAR</v>
      </c>
      <c r="H20" s="59">
        <f ca="1"/>
        <v>226.11</v>
      </c>
      <c r="I20" s="59">
        <f ca="1"/>
        <v>0</v>
      </c>
      <c r="J20" s="59">
        <f ca="1"/>
        <v>0</v>
      </c>
      <c r="K20" s="59">
        <f ca="1"/>
        <v>0</v>
      </c>
      <c r="L20" s="59">
        <f ca="1"/>
        <v>-26.16</v>
      </c>
      <c r="M20" s="59">
        <f ca="1"/>
        <v>0</v>
      </c>
    </row>
    <row r="21" spans="1:13" s="59" customFormat="1" x14ac:dyDescent="0.2">
      <c r="A21" s="74">
        <f ca="1"/>
        <v>44982.996921296297</v>
      </c>
      <c r="B21" s="59" t="str">
        <f ca="1"/>
        <v>TRADE</v>
      </c>
      <c r="C21" s="59">
        <f ca="1"/>
        <v>838.19814699999995</v>
      </c>
      <c r="D21" s="59" t="str">
        <f ca="1"/>
        <v>ALGO</v>
      </c>
      <c r="E21" s="59">
        <f ca="1"/>
        <v>209.96</v>
      </c>
      <c r="F21" s="59">
        <f ca="1"/>
        <v>16.782613999999999</v>
      </c>
      <c r="G21" s="59" t="str">
        <f ca="1"/>
        <v>ATOM</v>
      </c>
      <c r="H21" s="59">
        <f ca="1"/>
        <v>225.21</v>
      </c>
      <c r="I21" s="59">
        <f ca="1"/>
        <v>0</v>
      </c>
      <c r="J21" s="59">
        <f ca="1"/>
        <v>0</v>
      </c>
      <c r="K21" s="59">
        <f ca="1"/>
        <v>0</v>
      </c>
      <c r="L21" s="59">
        <f ca="1"/>
        <v>-15.25</v>
      </c>
      <c r="M21" s="59">
        <f ca="1"/>
        <v>0</v>
      </c>
    </row>
    <row r="22" spans="1:13" s="59" customFormat="1" x14ac:dyDescent="0.2">
      <c r="A22" s="74">
        <f ca="1"/>
        <v>44982.6640625</v>
      </c>
      <c r="B22" s="59" t="str">
        <f ca="1"/>
        <v>BUY</v>
      </c>
      <c r="C22" s="59">
        <f ca="1"/>
        <v>1.5312399999999999</v>
      </c>
      <c r="D22" s="59" t="str">
        <f ca="1"/>
        <v>ATOM</v>
      </c>
      <c r="E22" s="59">
        <f ca="1"/>
        <v>20</v>
      </c>
      <c r="F22" s="59">
        <f ca="1"/>
        <v>20</v>
      </c>
      <c r="G22" s="59" t="str">
        <f ca="1"/>
        <v>USD</v>
      </c>
      <c r="H22" s="59">
        <f ca="1"/>
        <v>0</v>
      </c>
      <c r="I22" s="59">
        <f ca="1"/>
        <v>0</v>
      </c>
      <c r="J22" s="59">
        <f ca="1"/>
        <v>0</v>
      </c>
      <c r="K22" s="59">
        <f ca="1"/>
        <v>0</v>
      </c>
      <c r="L22" s="59">
        <f ca="1"/>
        <v>0</v>
      </c>
      <c r="M22" s="59">
        <f ca="1"/>
        <v>0</v>
      </c>
    </row>
    <row r="23" spans="1:13" s="59" customFormat="1" x14ac:dyDescent="0.2">
      <c r="A23" s="74">
        <f ca="1"/>
        <v>44968.093576388892</v>
      </c>
      <c r="B23" s="59" t="str">
        <f ca="1"/>
        <v>TRADE</v>
      </c>
      <c r="C23" s="59">
        <f ca="1"/>
        <v>5.7539899999999999</v>
      </c>
      <c r="D23" s="59" t="str">
        <f ca="1"/>
        <v>ATOM</v>
      </c>
      <c r="E23" s="59">
        <f ca="1"/>
        <v>80.53</v>
      </c>
      <c r="F23" s="59">
        <f ca="1"/>
        <v>4.5437105100000004</v>
      </c>
      <c r="G23" s="59" t="str">
        <f ca="1"/>
        <v>AVAX</v>
      </c>
      <c r="H23" s="59">
        <f ca="1"/>
        <v>60</v>
      </c>
      <c r="I23" s="59">
        <f ca="1"/>
        <v>0</v>
      </c>
      <c r="J23" s="59">
        <f ca="1"/>
        <v>0</v>
      </c>
      <c r="K23" s="59">
        <f ca="1"/>
        <v>0</v>
      </c>
      <c r="L23" s="59">
        <f ca="1"/>
        <v>20.53</v>
      </c>
      <c r="M23" s="59">
        <f ca="1"/>
        <v>0</v>
      </c>
    </row>
    <row r="24" spans="1:13" s="59" customFormat="1" x14ac:dyDescent="0.2">
      <c r="A24" s="74">
        <f ca="1"/>
        <v>44937.765011574083</v>
      </c>
      <c r="B24" s="59" t="str">
        <f ca="1"/>
        <v>TRADE</v>
      </c>
      <c r="C24" s="59">
        <f ca="1"/>
        <v>655.50684043000001</v>
      </c>
      <c r="D24" s="59" t="str">
        <f ca="1"/>
        <v>HBAR</v>
      </c>
      <c r="E24" s="59">
        <f ca="1"/>
        <v>29.23</v>
      </c>
      <c r="F24" s="59">
        <f ca="1"/>
        <v>2.6812049999999998</v>
      </c>
      <c r="G24" s="59" t="str">
        <f ca="1"/>
        <v>ATOM</v>
      </c>
      <c r="H24" s="59">
        <f ca="1"/>
        <v>35.47</v>
      </c>
      <c r="I24" s="59">
        <f ca="1"/>
        <v>0</v>
      </c>
      <c r="J24" s="59">
        <f ca="1"/>
        <v>0</v>
      </c>
      <c r="K24" s="59">
        <f ca="1"/>
        <v>0</v>
      </c>
      <c r="L24" s="59">
        <f ca="1"/>
        <v>-6.24</v>
      </c>
      <c r="M24" s="59">
        <f ca="1"/>
        <v>0</v>
      </c>
    </row>
    <row r="25" spans="1:13" s="59" customFormat="1" x14ac:dyDescent="0.2">
      <c r="A25" s="74">
        <f ca="1"/>
        <v>44867.116469907407</v>
      </c>
      <c r="B25" s="59" t="str">
        <f ca="1"/>
        <v>TRADE</v>
      </c>
      <c r="C25" s="59">
        <f ca="1"/>
        <v>839.61242671000002</v>
      </c>
      <c r="D25" s="59" t="str">
        <f ca="1"/>
        <v>HBAR</v>
      </c>
      <c r="E25" s="59">
        <f ca="1"/>
        <v>48.74</v>
      </c>
      <c r="F25" s="59">
        <f ca="1"/>
        <v>3.5898910000000002</v>
      </c>
      <c r="G25" s="59" t="str">
        <f ca="1"/>
        <v>ATOM</v>
      </c>
      <c r="H25" s="59">
        <f ca="1"/>
        <v>47.39</v>
      </c>
      <c r="I25" s="59">
        <f ca="1"/>
        <v>0</v>
      </c>
      <c r="J25" s="59">
        <f ca="1"/>
        <v>0</v>
      </c>
      <c r="K25" s="59">
        <f ca="1"/>
        <v>0</v>
      </c>
      <c r="L25" s="59">
        <f ca="1"/>
        <v>1.35</v>
      </c>
      <c r="M25" s="59">
        <f ca="1"/>
        <v>0</v>
      </c>
    </row>
    <row r="26" spans="1:13" s="59" customFormat="1" x14ac:dyDescent="0.2">
      <c r="A26" s="74">
        <f ca="1"/>
        <v>44843.656585648147</v>
      </c>
      <c r="B26" s="59" t="str">
        <f ca="1"/>
        <v>TRADE</v>
      </c>
      <c r="C26" s="59">
        <f ca="1"/>
        <v>460.09175800000003</v>
      </c>
      <c r="D26" s="59" t="str">
        <f ca="1"/>
        <v>ADA</v>
      </c>
      <c r="E26" s="59">
        <f ca="1"/>
        <v>190.21</v>
      </c>
      <c r="F26" s="59">
        <f ca="1"/>
        <v>15.158405</v>
      </c>
      <c r="G26" s="59" t="str">
        <f ca="1"/>
        <v>ATOM</v>
      </c>
      <c r="H26" s="59">
        <f ca="1"/>
        <v>200.09</v>
      </c>
      <c r="I26" s="59">
        <f ca="1"/>
        <v>0</v>
      </c>
      <c r="J26" s="59">
        <f ca="1"/>
        <v>0</v>
      </c>
      <c r="K26" s="59">
        <f ca="1"/>
        <v>0</v>
      </c>
      <c r="L26" s="59">
        <f ca="1"/>
        <v>-0.13</v>
      </c>
      <c r="M26" s="59">
        <f ca="1"/>
        <v>0</v>
      </c>
    </row>
    <row r="27" spans="1:13" s="59" customFormat="1" x14ac:dyDescent="0.2">
      <c r="A27" s="74">
        <f ca="1"/>
        <v>44843.656053240738</v>
      </c>
      <c r="B27" s="59" t="str">
        <f ca="1"/>
        <v>TRADE</v>
      </c>
      <c r="C27" s="59">
        <f ca="1"/>
        <v>7.3598159999999996E-2</v>
      </c>
      <c r="D27" s="59" t="str">
        <f ca="1"/>
        <v>ETH</v>
      </c>
      <c r="E27" s="59">
        <f ca="1"/>
        <v>99.99</v>
      </c>
      <c r="F27" s="59">
        <f ca="1"/>
        <v>7.5809259999999998</v>
      </c>
      <c r="G27" s="59" t="str">
        <f ca="1"/>
        <v>ATOM</v>
      </c>
      <c r="H27" s="59">
        <f ca="1"/>
        <v>100.07</v>
      </c>
      <c r="I27" s="59">
        <f ca="1"/>
        <v>0</v>
      </c>
      <c r="J27" s="59">
        <f ca="1"/>
        <v>0</v>
      </c>
      <c r="K27" s="59">
        <f ca="1"/>
        <v>0</v>
      </c>
      <c r="L27" s="59">
        <f ca="1"/>
        <v>-0.08</v>
      </c>
      <c r="M27" s="59">
        <f ca="1"/>
        <v>0</v>
      </c>
    </row>
    <row r="28" spans="1:13" s="59" customFormat="1" x14ac:dyDescent="0.2">
      <c r="A28" s="74">
        <f ca="1"/>
        <v>44843.653310185182</v>
      </c>
      <c r="B28" s="59" t="str">
        <f ca="1"/>
        <v>TRADE</v>
      </c>
      <c r="C28" s="59">
        <f ca="1"/>
        <v>5.8921217700000001</v>
      </c>
      <c r="D28" s="59" t="str">
        <f ca="1"/>
        <v>SOL</v>
      </c>
      <c r="E28" s="59">
        <f ca="1"/>
        <v>199.96</v>
      </c>
      <c r="F28" s="59">
        <f ca="1"/>
        <v>15.146925</v>
      </c>
      <c r="G28" s="59" t="str">
        <f ca="1"/>
        <v>ATOM</v>
      </c>
      <c r="H28" s="59">
        <f ca="1"/>
        <v>200</v>
      </c>
      <c r="I28" s="59">
        <f ca="1"/>
        <v>0</v>
      </c>
      <c r="J28" s="59">
        <f ca="1"/>
        <v>0</v>
      </c>
      <c r="K28" s="59">
        <f ca="1"/>
        <v>0</v>
      </c>
      <c r="L28" s="59">
        <f ca="1"/>
        <v>-0.04</v>
      </c>
      <c r="M28" s="59">
        <f ca="1"/>
        <v>0</v>
      </c>
    </row>
    <row r="29" spans="1:13" s="59" customFormat="1" x14ac:dyDescent="0.2">
      <c r="A29" s="74">
        <f ca="1"/>
        <v>44843.645138888889</v>
      </c>
      <c r="B29" s="59" t="str">
        <f ca="1"/>
        <v>TRADE</v>
      </c>
      <c r="C29" s="59">
        <f ca="1"/>
        <v>42.219026999999997</v>
      </c>
      <c r="D29" s="59" t="str">
        <f ca="1"/>
        <v>ATOM</v>
      </c>
      <c r="E29" s="59">
        <f ca="1"/>
        <v>557.29</v>
      </c>
      <c r="F29" s="59">
        <f ca="1"/>
        <v>0.43150338999999999</v>
      </c>
      <c r="G29" s="59" t="str">
        <f ca="1"/>
        <v>ETH</v>
      </c>
      <c r="H29" s="59">
        <f ca="1"/>
        <v>644.63</v>
      </c>
      <c r="I29" s="59">
        <f ca="1"/>
        <v>0</v>
      </c>
      <c r="J29" s="59">
        <f ca="1"/>
        <v>0</v>
      </c>
      <c r="K29" s="59">
        <f ca="1"/>
        <v>0</v>
      </c>
      <c r="L29" s="59">
        <f ca="1"/>
        <v>-87.34</v>
      </c>
      <c r="M29" s="59">
        <f ca="1"/>
        <v>0</v>
      </c>
    </row>
    <row r="30" spans="1:13" s="59" customFormat="1" x14ac:dyDescent="0.2">
      <c r="A30" s="74">
        <f ca="1"/>
        <v>44843.644467592603</v>
      </c>
      <c r="B30" s="59" t="str">
        <f ca="1"/>
        <v>TRADE</v>
      </c>
      <c r="C30" s="59">
        <f ca="1"/>
        <v>11.074009999999999</v>
      </c>
      <c r="D30" s="59" t="str">
        <f ca="1"/>
        <v>ATOM</v>
      </c>
      <c r="E30" s="59">
        <f ca="1"/>
        <v>149.49</v>
      </c>
      <c r="F30" s="59">
        <f ca="1"/>
        <v>0.11320669</v>
      </c>
      <c r="G30" s="59" t="str">
        <f ca="1"/>
        <v>ETH</v>
      </c>
      <c r="H30" s="59">
        <f ca="1"/>
        <v>193.81</v>
      </c>
      <c r="I30" s="59">
        <f ca="1"/>
        <v>0</v>
      </c>
      <c r="J30" s="59">
        <f ca="1"/>
        <v>0</v>
      </c>
      <c r="K30" s="59">
        <f ca="1"/>
        <v>0</v>
      </c>
      <c r="L30" s="59">
        <f ca="1"/>
        <v>-47.57</v>
      </c>
      <c r="M30" s="59">
        <f ca="1"/>
        <v>0</v>
      </c>
    </row>
    <row r="31" spans="1:13" s="59" customFormat="1" x14ac:dyDescent="0.2">
      <c r="A31" s="74"/>
    </row>
    <row r="32" spans="1:13" s="59" customFormat="1" x14ac:dyDescent="0.2">
      <c r="A32" s="74"/>
    </row>
    <row r="33" spans="1:1" s="59" customFormat="1" x14ac:dyDescent="0.2">
      <c r="A33" s="74"/>
    </row>
    <row r="34" spans="1:1" s="59" customFormat="1" x14ac:dyDescent="0.2">
      <c r="A34" s="74"/>
    </row>
    <row r="35" spans="1:1" s="59" customFormat="1" x14ac:dyDescent="0.2">
      <c r="A35" s="74"/>
    </row>
    <row r="36" spans="1:1" s="59" customFormat="1" x14ac:dyDescent="0.2">
      <c r="A36" s="74"/>
    </row>
    <row r="37" spans="1:1" s="59" customFormat="1" x14ac:dyDescent="0.2">
      <c r="A37" s="74"/>
    </row>
    <row r="38" spans="1:1" s="59" customFormat="1" x14ac:dyDescent="0.2">
      <c r="A38" s="74"/>
    </row>
    <row r="39" spans="1:1" s="59" customFormat="1" x14ac:dyDescent="0.2">
      <c r="A39" s="74"/>
    </row>
    <row r="40" spans="1:1" s="59" customFormat="1" x14ac:dyDescent="0.2">
      <c r="A40" s="74"/>
    </row>
    <row r="41" spans="1:1" s="59" customFormat="1" x14ac:dyDescent="0.2">
      <c r="A41" s="74"/>
    </row>
    <row r="42" spans="1:1" s="59" customFormat="1" x14ac:dyDescent="0.2">
      <c r="A42" s="74"/>
    </row>
    <row r="43" spans="1:1" s="59" customFormat="1" x14ac:dyDescent="0.2">
      <c r="A43" s="74"/>
    </row>
    <row r="44" spans="1:1" s="59" customFormat="1" x14ac:dyDescent="0.2">
      <c r="A44" s="74"/>
    </row>
    <row r="45" spans="1:1" s="59" customFormat="1" x14ac:dyDescent="0.2">
      <c r="A45" s="74"/>
    </row>
    <row r="46" spans="1:1" s="59" customFormat="1" x14ac:dyDescent="0.2">
      <c r="A46" s="74"/>
    </row>
    <row r="47" spans="1:1" s="59" customFormat="1" x14ac:dyDescent="0.2">
      <c r="A47" s="74"/>
    </row>
    <row r="48" spans="1:1" s="59" customFormat="1" x14ac:dyDescent="0.2">
      <c r="A48" s="74"/>
    </row>
    <row r="49" spans="1:1" s="59" customFormat="1" x14ac:dyDescent="0.2">
      <c r="A49" s="74"/>
    </row>
    <row r="50" spans="1:1" s="59" customFormat="1" x14ac:dyDescent="0.2">
      <c r="A50" s="74"/>
    </row>
    <row r="51" spans="1:1" s="59" customFormat="1" x14ac:dyDescent="0.2">
      <c r="A51" s="74"/>
    </row>
    <row r="52" spans="1:1" s="59" customFormat="1" x14ac:dyDescent="0.2">
      <c r="A52" s="74"/>
    </row>
    <row r="53" spans="1:1" s="59" customFormat="1" x14ac:dyDescent="0.2">
      <c r="A53" s="74"/>
    </row>
    <row r="54" spans="1:1" s="59" customFormat="1" x14ac:dyDescent="0.2">
      <c r="A54" s="74"/>
    </row>
    <row r="55" spans="1:1" s="59" customFormat="1" x14ac:dyDescent="0.2">
      <c r="A55" s="74"/>
    </row>
    <row r="56" spans="1:1" s="59" customFormat="1" x14ac:dyDescent="0.2">
      <c r="A56" s="74"/>
    </row>
    <row r="57" spans="1:1" s="59" customFormat="1" x14ac:dyDescent="0.2">
      <c r="A57" s="74"/>
    </row>
    <row r="58" spans="1:1" s="59" customFormat="1" x14ac:dyDescent="0.2">
      <c r="A58" s="74"/>
    </row>
    <row r="59" spans="1:1" s="59" customFormat="1" x14ac:dyDescent="0.2">
      <c r="A59" s="74"/>
    </row>
    <row r="60" spans="1:1" s="59" customFormat="1" x14ac:dyDescent="0.2">
      <c r="A60" s="74"/>
    </row>
    <row r="61" spans="1:1" s="59" customFormat="1" x14ac:dyDescent="0.2">
      <c r="A61" s="74"/>
    </row>
    <row r="62" spans="1:1" s="59" customFormat="1" x14ac:dyDescent="0.2">
      <c r="A62" s="74"/>
    </row>
    <row r="63" spans="1:1" s="59" customFormat="1" x14ac:dyDescent="0.2">
      <c r="A63" s="74"/>
    </row>
    <row r="64" spans="1:1" s="59" customFormat="1" x14ac:dyDescent="0.2">
      <c r="A64" s="74"/>
    </row>
    <row r="65" spans="1:1" s="59" customFormat="1" x14ac:dyDescent="0.2">
      <c r="A65" s="74"/>
    </row>
    <row r="66" spans="1:1" s="59" customFormat="1" x14ac:dyDescent="0.2">
      <c r="A66" s="74"/>
    </row>
    <row r="67" spans="1:1" s="59" customFormat="1" x14ac:dyDescent="0.2">
      <c r="A67" s="74"/>
    </row>
    <row r="68" spans="1:1" s="59" customFormat="1" x14ac:dyDescent="0.2">
      <c r="A68" s="74"/>
    </row>
    <row r="69" spans="1:1" s="59" customFormat="1" x14ac:dyDescent="0.2">
      <c r="A69" s="74"/>
    </row>
    <row r="70" spans="1:1" s="59" customFormat="1" x14ac:dyDescent="0.2">
      <c r="A70" s="74"/>
    </row>
    <row r="71" spans="1:1" s="59" customFormat="1" x14ac:dyDescent="0.2">
      <c r="A71" s="74"/>
    </row>
    <row r="72" spans="1:1" s="59" customFormat="1" x14ac:dyDescent="0.2">
      <c r="A72" s="74"/>
    </row>
    <row r="73" spans="1:1" s="59" customFormat="1" x14ac:dyDescent="0.2">
      <c r="A73" s="74"/>
    </row>
    <row r="74" spans="1:1" s="59" customFormat="1" x14ac:dyDescent="0.2">
      <c r="A74" s="74"/>
    </row>
    <row r="75" spans="1:1" s="59" customFormat="1" x14ac:dyDescent="0.2">
      <c r="A75" s="74"/>
    </row>
    <row r="76" spans="1:1" s="59" customFormat="1" x14ac:dyDescent="0.2">
      <c r="A76" s="74"/>
    </row>
    <row r="77" spans="1:1" s="59" customFormat="1" x14ac:dyDescent="0.2">
      <c r="A77" s="74"/>
    </row>
    <row r="78" spans="1:1" s="59" customFormat="1" x14ac:dyDescent="0.2">
      <c r="A78" s="74"/>
    </row>
    <row r="79" spans="1:1" s="59" customFormat="1" x14ac:dyDescent="0.2">
      <c r="A79" s="74"/>
    </row>
    <row r="80" spans="1:1" s="59" customFormat="1" x14ac:dyDescent="0.2">
      <c r="A80" s="74"/>
    </row>
    <row r="81" spans="1:1" s="59" customFormat="1" x14ac:dyDescent="0.2">
      <c r="A81" s="74"/>
    </row>
    <row r="82" spans="1:1" s="59" customFormat="1" x14ac:dyDescent="0.2">
      <c r="A82" s="74"/>
    </row>
    <row r="83" spans="1:1" s="59" customFormat="1" x14ac:dyDescent="0.2">
      <c r="A83" s="74"/>
    </row>
    <row r="84" spans="1:1" s="59" customFormat="1" x14ac:dyDescent="0.2">
      <c r="A84" s="74"/>
    </row>
    <row r="85" spans="1:1" s="59" customFormat="1" x14ac:dyDescent="0.2">
      <c r="A85" s="74"/>
    </row>
    <row r="86" spans="1:1" s="59" customFormat="1" x14ac:dyDescent="0.2">
      <c r="A86" s="74"/>
    </row>
    <row r="87" spans="1:1" s="59" customFormat="1" x14ac:dyDescent="0.2">
      <c r="A87" s="74"/>
    </row>
    <row r="88" spans="1:1" s="59" customFormat="1" x14ac:dyDescent="0.2">
      <c r="A88" s="74"/>
    </row>
    <row r="89" spans="1:1" s="59" customFormat="1" x14ac:dyDescent="0.2">
      <c r="A89" s="74"/>
    </row>
    <row r="90" spans="1:1" s="59" customFormat="1" x14ac:dyDescent="0.2">
      <c r="A90" s="74"/>
    </row>
    <row r="91" spans="1:1" s="59" customFormat="1" x14ac:dyDescent="0.2">
      <c r="A91" s="74"/>
    </row>
    <row r="92" spans="1:1" s="59" customFormat="1" x14ac:dyDescent="0.2">
      <c r="A92" s="74"/>
    </row>
    <row r="93" spans="1:1" s="59" customFormat="1" x14ac:dyDescent="0.2">
      <c r="A93" s="74"/>
    </row>
    <row r="94" spans="1:1" s="59" customFormat="1" x14ac:dyDescent="0.2">
      <c r="A94" s="74"/>
    </row>
    <row r="95" spans="1:1" s="59" customFormat="1" x14ac:dyDescent="0.2">
      <c r="A95" s="74"/>
    </row>
    <row r="96" spans="1:1" s="59" customFormat="1" x14ac:dyDescent="0.2">
      <c r="A96" s="74"/>
    </row>
    <row r="97" spans="1:1" s="59" customFormat="1" x14ac:dyDescent="0.2">
      <c r="A97" s="74"/>
    </row>
    <row r="98" spans="1:1" s="59" customFormat="1" x14ac:dyDescent="0.2">
      <c r="A98" s="74"/>
    </row>
    <row r="99" spans="1:1" s="59" customFormat="1" x14ac:dyDescent="0.2">
      <c r="A99" s="74"/>
    </row>
    <row r="100" spans="1:1" s="59" customFormat="1" x14ac:dyDescent="0.2">
      <c r="A100" s="74"/>
    </row>
    <row r="101" spans="1:1" s="59" customFormat="1" x14ac:dyDescent="0.2">
      <c r="A101" s="74"/>
    </row>
    <row r="102" spans="1:1" s="59" customFormat="1" x14ac:dyDescent="0.2">
      <c r="A102" s="74"/>
    </row>
    <row r="103" spans="1:1" s="59" customFormat="1" x14ac:dyDescent="0.2">
      <c r="A103" s="74"/>
    </row>
    <row r="104" spans="1:1" s="59" customFormat="1" x14ac:dyDescent="0.2">
      <c r="A104" s="74"/>
    </row>
    <row r="105" spans="1:1" s="59" customFormat="1" x14ac:dyDescent="0.2">
      <c r="A105" s="74"/>
    </row>
    <row r="106" spans="1:1" s="59" customFormat="1" x14ac:dyDescent="0.2">
      <c r="A106" s="74"/>
    </row>
    <row r="107" spans="1:1" s="59" customFormat="1" x14ac:dyDescent="0.2">
      <c r="A107" s="74"/>
    </row>
    <row r="108" spans="1:1" s="59" customFormat="1" x14ac:dyDescent="0.2">
      <c r="A108" s="74"/>
    </row>
    <row r="109" spans="1:1" s="59" customFormat="1" x14ac:dyDescent="0.2">
      <c r="A109" s="74"/>
    </row>
    <row r="110" spans="1:1" s="59" customFormat="1" x14ac:dyDescent="0.2">
      <c r="A110" s="74"/>
    </row>
    <row r="111" spans="1:1" s="59" customFormat="1" x14ac:dyDescent="0.2">
      <c r="A111" s="74"/>
    </row>
    <row r="112" spans="1:1" s="59" customFormat="1" x14ac:dyDescent="0.2">
      <c r="A112" s="74"/>
    </row>
    <row r="113" spans="1:1" s="59" customFormat="1" x14ac:dyDescent="0.2">
      <c r="A113" s="74"/>
    </row>
    <row r="114" spans="1:1" s="59" customFormat="1" x14ac:dyDescent="0.2">
      <c r="A114" s="74"/>
    </row>
    <row r="115" spans="1:1" s="59" customFormat="1" x14ac:dyDescent="0.2">
      <c r="A115" s="74"/>
    </row>
    <row r="116" spans="1:1" s="59" customFormat="1" x14ac:dyDescent="0.2">
      <c r="A116" s="74"/>
    </row>
    <row r="117" spans="1:1" s="59" customFormat="1" x14ac:dyDescent="0.2">
      <c r="A117" s="74"/>
    </row>
    <row r="118" spans="1:1" s="59" customFormat="1" x14ac:dyDescent="0.2">
      <c r="A118" s="74"/>
    </row>
    <row r="119" spans="1:1" s="59" customFormat="1" x14ac:dyDescent="0.2">
      <c r="A119" s="74"/>
    </row>
    <row r="120" spans="1:1" s="59" customFormat="1" x14ac:dyDescent="0.2">
      <c r="A120" s="74"/>
    </row>
    <row r="121" spans="1:1" s="59" customFormat="1" x14ac:dyDescent="0.2">
      <c r="A121" s="74"/>
    </row>
    <row r="122" spans="1:1" s="59" customFormat="1" x14ac:dyDescent="0.2">
      <c r="A122" s="74"/>
    </row>
    <row r="123" spans="1:1" s="59" customFormat="1" x14ac:dyDescent="0.2">
      <c r="A123" s="74"/>
    </row>
    <row r="124" spans="1:1" s="59" customFormat="1" x14ac:dyDescent="0.2">
      <c r="A124" s="74"/>
    </row>
    <row r="125" spans="1:1" s="59" customFormat="1" x14ac:dyDescent="0.2">
      <c r="A125" s="74"/>
    </row>
    <row r="126" spans="1:1" s="59" customFormat="1" x14ac:dyDescent="0.2">
      <c r="A126" s="74"/>
    </row>
    <row r="127" spans="1:1" s="59" customFormat="1" x14ac:dyDescent="0.2">
      <c r="A127" s="74"/>
    </row>
    <row r="128" spans="1:1" s="59" customFormat="1" x14ac:dyDescent="0.2">
      <c r="A128" s="74"/>
    </row>
    <row r="129" spans="1:1" s="59" customFormat="1" x14ac:dyDescent="0.2">
      <c r="A129" s="74"/>
    </row>
    <row r="130" spans="1:1" s="59" customFormat="1" x14ac:dyDescent="0.2">
      <c r="A130" s="74"/>
    </row>
    <row r="131" spans="1:1" s="59" customFormat="1" x14ac:dyDescent="0.2">
      <c r="A131" s="74"/>
    </row>
    <row r="132" spans="1:1" s="59" customFormat="1" x14ac:dyDescent="0.2">
      <c r="A132" s="74"/>
    </row>
    <row r="133" spans="1:1" s="59" customFormat="1" x14ac:dyDescent="0.2">
      <c r="A133" s="74"/>
    </row>
    <row r="134" spans="1:1" s="59" customFormat="1" x14ac:dyDescent="0.2">
      <c r="A134" s="74"/>
    </row>
    <row r="135" spans="1:1" s="59" customFormat="1" x14ac:dyDescent="0.2">
      <c r="A135" s="74"/>
    </row>
    <row r="136" spans="1:1" s="59" customFormat="1" x14ac:dyDescent="0.2">
      <c r="A136" s="74"/>
    </row>
    <row r="137" spans="1:1" s="59" customFormat="1" x14ac:dyDescent="0.2">
      <c r="A137" s="74"/>
    </row>
    <row r="138" spans="1:1" s="59" customFormat="1" x14ac:dyDescent="0.2">
      <c r="A138" s="74"/>
    </row>
    <row r="139" spans="1:1" s="59" customFormat="1" x14ac:dyDescent="0.2">
      <c r="A139" s="74"/>
    </row>
    <row r="140" spans="1:1" s="59" customFormat="1" x14ac:dyDescent="0.2">
      <c r="A140" s="74"/>
    </row>
    <row r="141" spans="1:1" s="59" customFormat="1" x14ac:dyDescent="0.2">
      <c r="A141" s="74"/>
    </row>
    <row r="142" spans="1:1" s="59" customFormat="1" x14ac:dyDescent="0.2">
      <c r="A142" s="74"/>
    </row>
    <row r="143" spans="1:1" s="59" customFormat="1" x14ac:dyDescent="0.2">
      <c r="A143" s="74"/>
    </row>
    <row r="144" spans="1:1" s="59" customFormat="1" x14ac:dyDescent="0.2">
      <c r="A144" s="74"/>
    </row>
    <row r="145" spans="1:1" s="59" customFormat="1" x14ac:dyDescent="0.2">
      <c r="A145" s="74"/>
    </row>
    <row r="146" spans="1:1" s="59" customFormat="1" x14ac:dyDescent="0.2">
      <c r="A146" s="74"/>
    </row>
    <row r="147" spans="1:1" s="59" customFormat="1" x14ac:dyDescent="0.2">
      <c r="A147" s="74"/>
    </row>
    <row r="148" spans="1:1" s="59" customFormat="1" x14ac:dyDescent="0.2">
      <c r="A148" s="74"/>
    </row>
    <row r="149" spans="1:1" s="59" customFormat="1" x14ac:dyDescent="0.2">
      <c r="A149" s="74"/>
    </row>
    <row r="150" spans="1:1" s="59" customFormat="1" x14ac:dyDescent="0.2">
      <c r="A150" s="74"/>
    </row>
    <row r="151" spans="1:1" s="59" customFormat="1" x14ac:dyDescent="0.2">
      <c r="A151" s="74"/>
    </row>
    <row r="152" spans="1:1" s="59" customFormat="1" x14ac:dyDescent="0.2">
      <c r="A152" s="74"/>
    </row>
    <row r="153" spans="1:1" s="59" customFormat="1" x14ac:dyDescent="0.2">
      <c r="A153" s="74"/>
    </row>
    <row r="154" spans="1:1" s="59" customFormat="1" x14ac:dyDescent="0.2">
      <c r="A154" s="74"/>
    </row>
    <row r="155" spans="1:1" s="59" customFormat="1" x14ac:dyDescent="0.2">
      <c r="A155" s="74"/>
    </row>
    <row r="156" spans="1:1" s="59" customFormat="1" x14ac:dyDescent="0.2">
      <c r="A156" s="74"/>
    </row>
    <row r="157" spans="1:1" s="59" customFormat="1" x14ac:dyDescent="0.2">
      <c r="A157" s="74"/>
    </row>
    <row r="158" spans="1:1" s="59" customFormat="1" x14ac:dyDescent="0.2">
      <c r="A158" s="74"/>
    </row>
    <row r="159" spans="1:1" s="59" customFormat="1" x14ac:dyDescent="0.2">
      <c r="A159" s="74"/>
    </row>
    <row r="160" spans="1:1" s="59" customFormat="1" x14ac:dyDescent="0.2">
      <c r="A160" s="74"/>
    </row>
    <row r="161" spans="1:1" s="59" customFormat="1" x14ac:dyDescent="0.2">
      <c r="A161" s="74"/>
    </row>
    <row r="162" spans="1:1" s="59" customFormat="1" x14ac:dyDescent="0.2">
      <c r="A162" s="74"/>
    </row>
    <row r="163" spans="1:1" s="59" customFormat="1" x14ac:dyDescent="0.2">
      <c r="A163" s="74"/>
    </row>
    <row r="164" spans="1:1" s="59" customFormat="1" x14ac:dyDescent="0.2">
      <c r="A164" s="74"/>
    </row>
    <row r="165" spans="1:1" s="59" customFormat="1" x14ac:dyDescent="0.2">
      <c r="A165" s="74"/>
    </row>
    <row r="166" spans="1:1" s="59" customFormat="1" x14ac:dyDescent="0.2">
      <c r="A166" s="74"/>
    </row>
    <row r="167" spans="1:1" s="59" customFormat="1" x14ac:dyDescent="0.2">
      <c r="A167" s="74"/>
    </row>
    <row r="168" spans="1:1" s="59" customFormat="1" x14ac:dyDescent="0.2">
      <c r="A168" s="74"/>
    </row>
    <row r="169" spans="1:1" s="59" customFormat="1" x14ac:dyDescent="0.2">
      <c r="A169" s="74"/>
    </row>
    <row r="170" spans="1:1" s="59" customFormat="1" x14ac:dyDescent="0.2">
      <c r="A170" s="74"/>
    </row>
    <row r="171" spans="1:1" s="59" customFormat="1" x14ac:dyDescent="0.2">
      <c r="A171" s="74"/>
    </row>
    <row r="172" spans="1:1" s="59" customFormat="1" x14ac:dyDescent="0.2">
      <c r="A172" s="74"/>
    </row>
    <row r="173" spans="1:1" s="59" customFormat="1" x14ac:dyDescent="0.2">
      <c r="A173" s="74"/>
    </row>
    <row r="174" spans="1:1" s="59" customFormat="1" x14ac:dyDescent="0.2">
      <c r="A174" s="74"/>
    </row>
    <row r="175" spans="1:1" s="59" customFormat="1" x14ac:dyDescent="0.2">
      <c r="A175" s="74"/>
    </row>
    <row r="176" spans="1:1" s="59" customFormat="1" x14ac:dyDescent="0.2">
      <c r="A176" s="74"/>
    </row>
    <row r="177" spans="1:1" s="59" customFormat="1" x14ac:dyDescent="0.2">
      <c r="A177" s="74"/>
    </row>
    <row r="178" spans="1:1" s="59" customFormat="1" x14ac:dyDescent="0.2">
      <c r="A178" s="74"/>
    </row>
    <row r="179" spans="1:1" s="59" customFormat="1" x14ac:dyDescent="0.2">
      <c r="A179" s="74"/>
    </row>
    <row r="180" spans="1:1" s="59" customFormat="1" x14ac:dyDescent="0.2">
      <c r="A180" s="74"/>
    </row>
    <row r="181" spans="1:1" s="59" customFormat="1" x14ac:dyDescent="0.2">
      <c r="A181" s="74"/>
    </row>
    <row r="182" spans="1:1" s="59" customFormat="1" x14ac:dyDescent="0.2">
      <c r="A182" s="74"/>
    </row>
    <row r="183" spans="1:1" s="59" customFormat="1" x14ac:dyDescent="0.2">
      <c r="A183" s="74"/>
    </row>
    <row r="184" spans="1:1" s="59" customFormat="1" x14ac:dyDescent="0.2">
      <c r="A184" s="74"/>
    </row>
    <row r="185" spans="1:1" s="59" customFormat="1" x14ac:dyDescent="0.2">
      <c r="A185" s="74"/>
    </row>
    <row r="186" spans="1:1" s="59" customFormat="1" x14ac:dyDescent="0.2">
      <c r="A186" s="74"/>
    </row>
    <row r="187" spans="1:1" s="59" customFormat="1" x14ac:dyDescent="0.2">
      <c r="A187" s="74"/>
    </row>
    <row r="188" spans="1:1" s="59" customFormat="1" x14ac:dyDescent="0.2">
      <c r="A188" s="74"/>
    </row>
    <row r="189" spans="1:1" s="59" customFormat="1" x14ac:dyDescent="0.2">
      <c r="A189" s="74"/>
    </row>
    <row r="190" spans="1:1" s="59" customFormat="1" x14ac:dyDescent="0.2">
      <c r="A190" s="74"/>
    </row>
    <row r="191" spans="1:1" s="59" customFormat="1" x14ac:dyDescent="0.2">
      <c r="A191" s="74"/>
    </row>
    <row r="192" spans="1:1" s="59" customFormat="1" x14ac:dyDescent="0.2">
      <c r="A192" s="74"/>
    </row>
    <row r="193" spans="1:1" s="59" customFormat="1" x14ac:dyDescent="0.2">
      <c r="A193" s="74"/>
    </row>
    <row r="194" spans="1:1" s="59" customFormat="1" x14ac:dyDescent="0.2">
      <c r="A194" s="74"/>
    </row>
    <row r="195" spans="1:1" s="59" customFormat="1" x14ac:dyDescent="0.2">
      <c r="A195" s="74"/>
    </row>
    <row r="196" spans="1:1" s="59" customFormat="1" x14ac:dyDescent="0.2">
      <c r="A196" s="74"/>
    </row>
    <row r="197" spans="1:1" s="59" customFormat="1" x14ac:dyDescent="0.2">
      <c r="A197" s="74"/>
    </row>
    <row r="198" spans="1:1" s="59" customFormat="1" x14ac:dyDescent="0.2">
      <c r="A198" s="74"/>
    </row>
    <row r="199" spans="1:1" s="59" customFormat="1" x14ac:dyDescent="0.2">
      <c r="A199" s="74"/>
    </row>
    <row r="200" spans="1:1" s="59" customFormat="1" x14ac:dyDescent="0.2">
      <c r="A200" s="74"/>
    </row>
    <row r="201" spans="1:1" s="59" customFormat="1" x14ac:dyDescent="0.2">
      <c r="A201" s="74"/>
    </row>
    <row r="202" spans="1:1" s="59" customFormat="1" x14ac:dyDescent="0.2">
      <c r="A202" s="74"/>
    </row>
    <row r="203" spans="1:1" s="59" customFormat="1" x14ac:dyDescent="0.2">
      <c r="A203" s="74"/>
    </row>
    <row r="204" spans="1:1" s="59" customFormat="1" x14ac:dyDescent="0.2">
      <c r="A204" s="74"/>
    </row>
    <row r="205" spans="1:1" s="59" customFormat="1" x14ac:dyDescent="0.2">
      <c r="A205" s="74"/>
    </row>
    <row r="206" spans="1:1" s="59" customFormat="1" x14ac:dyDescent="0.2">
      <c r="A206" s="74"/>
    </row>
    <row r="207" spans="1:1" s="59" customFormat="1" x14ac:dyDescent="0.2">
      <c r="A207" s="74"/>
    </row>
    <row r="208" spans="1:1" s="59" customFormat="1" x14ac:dyDescent="0.2">
      <c r="A208" s="74"/>
    </row>
    <row r="209" spans="1:1" s="59" customFormat="1" x14ac:dyDescent="0.2">
      <c r="A209" s="74"/>
    </row>
    <row r="210" spans="1:1" s="59" customFormat="1" x14ac:dyDescent="0.2">
      <c r="A210" s="74"/>
    </row>
    <row r="211" spans="1:1" s="59" customFormat="1" x14ac:dyDescent="0.2">
      <c r="A211" s="74"/>
    </row>
    <row r="212" spans="1:1" s="59" customFormat="1" x14ac:dyDescent="0.2">
      <c r="A212" s="74"/>
    </row>
    <row r="213" spans="1:1" s="59" customFormat="1" x14ac:dyDescent="0.2">
      <c r="A213" s="74"/>
    </row>
    <row r="214" spans="1:1" s="59" customFormat="1" x14ac:dyDescent="0.2">
      <c r="A214" s="74"/>
    </row>
    <row r="215" spans="1:1" s="59" customFormat="1" x14ac:dyDescent="0.2">
      <c r="A215" s="74"/>
    </row>
    <row r="216" spans="1:1" s="59" customFormat="1" x14ac:dyDescent="0.2">
      <c r="A216" s="74"/>
    </row>
    <row r="217" spans="1:1" s="59" customFormat="1" x14ac:dyDescent="0.2">
      <c r="A217" s="74"/>
    </row>
    <row r="218" spans="1:1" s="59" customFormat="1" x14ac:dyDescent="0.2">
      <c r="A218" s="74"/>
    </row>
    <row r="219" spans="1:1" s="59" customFormat="1" x14ac:dyDescent="0.2">
      <c r="A219" s="74"/>
    </row>
    <row r="220" spans="1:1" s="59" customFormat="1" x14ac:dyDescent="0.2">
      <c r="A220" s="74"/>
    </row>
    <row r="221" spans="1:1" s="59" customFormat="1" x14ac:dyDescent="0.2">
      <c r="A221" s="74"/>
    </row>
    <row r="222" spans="1:1" s="59" customFormat="1" x14ac:dyDescent="0.2">
      <c r="A222" s="74"/>
    </row>
    <row r="223" spans="1:1" s="59" customFormat="1" x14ac:dyDescent="0.2">
      <c r="A223" s="74"/>
    </row>
    <row r="224" spans="1:1" s="59" customFormat="1" x14ac:dyDescent="0.2">
      <c r="A224" s="74"/>
    </row>
    <row r="225" spans="1:1" s="59" customFormat="1" x14ac:dyDescent="0.2">
      <c r="A225" s="74"/>
    </row>
    <row r="226" spans="1:1" s="59" customFormat="1" x14ac:dyDescent="0.2">
      <c r="A226" s="74"/>
    </row>
    <row r="227" spans="1:1" s="59" customFormat="1" x14ac:dyDescent="0.2">
      <c r="A227" s="74"/>
    </row>
    <row r="228" spans="1:1" s="59" customFormat="1" x14ac:dyDescent="0.2">
      <c r="A228" s="74"/>
    </row>
    <row r="229" spans="1:1" s="59" customFormat="1" x14ac:dyDescent="0.2">
      <c r="A229" s="74"/>
    </row>
    <row r="230" spans="1:1" s="59" customFormat="1" x14ac:dyDescent="0.2">
      <c r="A230" s="74"/>
    </row>
    <row r="231" spans="1:1" s="59" customFormat="1" x14ac:dyDescent="0.2">
      <c r="A231" s="74"/>
    </row>
    <row r="232" spans="1:1" s="59" customFormat="1" x14ac:dyDescent="0.2">
      <c r="A232" s="74"/>
    </row>
    <row r="233" spans="1:1" s="59" customFormat="1" x14ac:dyDescent="0.2">
      <c r="A233" s="74"/>
    </row>
    <row r="234" spans="1:1" s="59" customFormat="1" x14ac:dyDescent="0.2">
      <c r="A234" s="74"/>
    </row>
    <row r="235" spans="1:1" s="59" customFormat="1" x14ac:dyDescent="0.2">
      <c r="A235" s="74"/>
    </row>
    <row r="236" spans="1:1" s="59" customFormat="1" x14ac:dyDescent="0.2">
      <c r="A236" s="74"/>
    </row>
    <row r="237" spans="1:1" s="59" customFormat="1" x14ac:dyDescent="0.2">
      <c r="A237" s="74"/>
    </row>
    <row r="238" spans="1:1" s="59" customFormat="1" x14ac:dyDescent="0.2">
      <c r="A238" s="74"/>
    </row>
    <row r="239" spans="1:1" s="59" customFormat="1" x14ac:dyDescent="0.2">
      <c r="A239" s="74"/>
    </row>
    <row r="240" spans="1:1" s="59" customFormat="1" x14ac:dyDescent="0.2">
      <c r="A240" s="74"/>
    </row>
    <row r="241" spans="1:1" s="59" customFormat="1" x14ac:dyDescent="0.2">
      <c r="A241" s="74"/>
    </row>
    <row r="242" spans="1:1" s="59" customFormat="1" x14ac:dyDescent="0.2">
      <c r="A242" s="74"/>
    </row>
    <row r="243" spans="1:1" s="59" customFormat="1" x14ac:dyDescent="0.2">
      <c r="A243" s="74"/>
    </row>
    <row r="244" spans="1:1" s="59" customFormat="1" x14ac:dyDescent="0.2">
      <c r="A244" s="74"/>
    </row>
    <row r="245" spans="1:1" s="59" customFormat="1" x14ac:dyDescent="0.2">
      <c r="A245" s="74"/>
    </row>
    <row r="246" spans="1:1" s="59" customFormat="1" x14ac:dyDescent="0.2">
      <c r="A246" s="74"/>
    </row>
    <row r="247" spans="1:1" s="59" customFormat="1" x14ac:dyDescent="0.2">
      <c r="A247" s="74"/>
    </row>
    <row r="248" spans="1:1" s="59" customFormat="1" x14ac:dyDescent="0.2">
      <c r="A248" s="74"/>
    </row>
    <row r="249" spans="1:1" s="59" customFormat="1" x14ac:dyDescent="0.2">
      <c r="A249" s="74"/>
    </row>
    <row r="250" spans="1:1" s="59" customFormat="1" x14ac:dyDescent="0.2">
      <c r="A250" s="74"/>
    </row>
    <row r="251" spans="1:1" s="59" customFormat="1" x14ac:dyDescent="0.2">
      <c r="A251" s="74"/>
    </row>
    <row r="252" spans="1:1" s="59" customFormat="1" x14ac:dyDescent="0.2">
      <c r="A252" s="74"/>
    </row>
    <row r="253" spans="1:1" s="59" customFormat="1" x14ac:dyDescent="0.2">
      <c r="A253" s="74"/>
    </row>
    <row r="254" spans="1:1" s="59" customFormat="1" x14ac:dyDescent="0.2">
      <c r="A254" s="74"/>
    </row>
    <row r="255" spans="1:1" s="59" customFormat="1" x14ac:dyDescent="0.2">
      <c r="A255" s="74"/>
    </row>
    <row r="256" spans="1:1" s="59" customFormat="1" x14ac:dyDescent="0.2">
      <c r="A256" s="74"/>
    </row>
    <row r="257" spans="1:1" s="59" customFormat="1" x14ac:dyDescent="0.2">
      <c r="A257" s="74"/>
    </row>
    <row r="258" spans="1:1" s="59" customFormat="1" x14ac:dyDescent="0.2">
      <c r="A258" s="74"/>
    </row>
    <row r="259" spans="1:1" s="59" customFormat="1" x14ac:dyDescent="0.2">
      <c r="A259" s="74"/>
    </row>
    <row r="260" spans="1:1" s="59" customFormat="1" x14ac:dyDescent="0.2">
      <c r="A260" s="74"/>
    </row>
    <row r="261" spans="1:1" s="59" customFormat="1" x14ac:dyDescent="0.2">
      <c r="A261" s="74"/>
    </row>
    <row r="262" spans="1:1" s="59" customFormat="1" x14ac:dyDescent="0.2">
      <c r="A262" s="74"/>
    </row>
    <row r="263" spans="1:1" s="59" customFormat="1" x14ac:dyDescent="0.2">
      <c r="A263" s="74"/>
    </row>
    <row r="264" spans="1:1" s="59" customFormat="1" x14ac:dyDescent="0.2">
      <c r="A264" s="74"/>
    </row>
    <row r="265" spans="1:1" s="59" customFormat="1" x14ac:dyDescent="0.2">
      <c r="A265" s="74"/>
    </row>
    <row r="266" spans="1:1" s="59" customFormat="1" x14ac:dyDescent="0.2">
      <c r="A266" s="74"/>
    </row>
    <row r="267" spans="1:1" s="59" customFormat="1" x14ac:dyDescent="0.2">
      <c r="A267" s="74"/>
    </row>
    <row r="268" spans="1:1" s="59" customFormat="1" x14ac:dyDescent="0.2">
      <c r="A268" s="74"/>
    </row>
    <row r="269" spans="1:1" s="59" customFormat="1" x14ac:dyDescent="0.2">
      <c r="A269" s="74"/>
    </row>
    <row r="270" spans="1:1" s="59" customFormat="1" x14ac:dyDescent="0.2">
      <c r="A270" s="74"/>
    </row>
    <row r="271" spans="1:1" s="59" customFormat="1" x14ac:dyDescent="0.2">
      <c r="A271" s="74"/>
    </row>
    <row r="272" spans="1:1" s="59" customFormat="1" x14ac:dyDescent="0.2">
      <c r="A272" s="74"/>
    </row>
    <row r="273" spans="1:1" s="59" customFormat="1" x14ac:dyDescent="0.2">
      <c r="A273" s="74"/>
    </row>
    <row r="274" spans="1:1" s="59" customFormat="1" x14ac:dyDescent="0.2">
      <c r="A274" s="74"/>
    </row>
    <row r="275" spans="1:1" s="59" customFormat="1" x14ac:dyDescent="0.2">
      <c r="A275" s="74"/>
    </row>
    <row r="276" spans="1:1" s="59" customFormat="1" x14ac:dyDescent="0.2">
      <c r="A276" s="74"/>
    </row>
    <row r="277" spans="1:1" s="59" customFormat="1" x14ac:dyDescent="0.2">
      <c r="A277" s="74"/>
    </row>
    <row r="278" spans="1:1" s="59" customFormat="1" x14ac:dyDescent="0.2">
      <c r="A278" s="74"/>
    </row>
    <row r="279" spans="1:1" s="59" customFormat="1" x14ac:dyDescent="0.2">
      <c r="A279" s="74"/>
    </row>
    <row r="280" spans="1:1" s="59" customFormat="1" x14ac:dyDescent="0.2">
      <c r="A280" s="74"/>
    </row>
    <row r="281" spans="1:1" s="59" customFormat="1" x14ac:dyDescent="0.2">
      <c r="A281" s="74"/>
    </row>
    <row r="282" spans="1:1" s="59" customFormat="1" x14ac:dyDescent="0.2">
      <c r="A282" s="74"/>
    </row>
    <row r="283" spans="1:1" s="59" customFormat="1" x14ac:dyDescent="0.2">
      <c r="A283" s="74"/>
    </row>
    <row r="284" spans="1:1" s="59" customFormat="1" x14ac:dyDescent="0.2">
      <c r="A284" s="74"/>
    </row>
    <row r="285" spans="1:1" s="59" customFormat="1" x14ac:dyDescent="0.2">
      <c r="A285" s="74"/>
    </row>
    <row r="286" spans="1:1" s="59" customFormat="1" x14ac:dyDescent="0.2">
      <c r="A286" s="74"/>
    </row>
    <row r="287" spans="1:1" s="59" customFormat="1" x14ac:dyDescent="0.2">
      <c r="A287" s="74"/>
    </row>
    <row r="288" spans="1:1" s="59" customFormat="1" x14ac:dyDescent="0.2">
      <c r="A288" s="74"/>
    </row>
    <row r="289" spans="1:1" s="59" customFormat="1" x14ac:dyDescent="0.2">
      <c r="A289" s="74"/>
    </row>
    <row r="290" spans="1:1" s="59" customFormat="1" x14ac:dyDescent="0.2">
      <c r="A290" s="74"/>
    </row>
    <row r="291" spans="1:1" s="59" customFormat="1" x14ac:dyDescent="0.2">
      <c r="A291" s="74"/>
    </row>
    <row r="292" spans="1:1" s="59" customFormat="1" x14ac:dyDescent="0.2">
      <c r="A292" s="74"/>
    </row>
    <row r="293" spans="1:1" s="59" customFormat="1" x14ac:dyDescent="0.2">
      <c r="A293" s="74"/>
    </row>
    <row r="294" spans="1:1" s="59" customFormat="1" x14ac:dyDescent="0.2">
      <c r="A294" s="74"/>
    </row>
    <row r="295" spans="1:1" s="59" customFormat="1" x14ac:dyDescent="0.2">
      <c r="A295" s="74"/>
    </row>
    <row r="296" spans="1:1" s="59" customFormat="1" x14ac:dyDescent="0.2">
      <c r="A296" s="74"/>
    </row>
    <row r="297" spans="1:1" s="59" customFormat="1" x14ac:dyDescent="0.2">
      <c r="A297" s="74"/>
    </row>
    <row r="298" spans="1:1" s="59" customFormat="1" x14ac:dyDescent="0.2">
      <c r="A298" s="74"/>
    </row>
    <row r="299" spans="1:1" s="59" customFormat="1" x14ac:dyDescent="0.2">
      <c r="A299" s="74"/>
    </row>
    <row r="300" spans="1:1" s="59" customFormat="1" x14ac:dyDescent="0.2">
      <c r="A300" s="74"/>
    </row>
    <row r="301" spans="1:1" s="59" customFormat="1" x14ac:dyDescent="0.2">
      <c r="A301" s="74"/>
    </row>
    <row r="302" spans="1:1" s="59" customFormat="1" x14ac:dyDescent="0.2">
      <c r="A302" s="74"/>
    </row>
  </sheetData>
  <mergeCells count="1">
    <mergeCell ref="A1:C4"/>
  </mergeCells>
  <conditionalFormatting sqref="C1:E1048576">
    <cfRule type="notContainsBlanks" dxfId="9" priority="13">
      <formula>LEN(TRIM(C1))&gt;0</formula>
    </cfRule>
  </conditionalFormatting>
  <conditionalFormatting sqref="F1:H1048576">
    <cfRule type="notContainsBlanks" dxfId="8" priority="6">
      <formula>LEN(TRIM(F1))&gt;0</formula>
    </cfRule>
  </conditionalFormatting>
  <conditionalFormatting sqref="I1:K1048576">
    <cfRule type="notContainsBlanks" dxfId="7" priority="5">
      <formula>LEN(TRIM(I1))&gt;0</formula>
    </cfRule>
  </conditionalFormatting>
  <conditionalFormatting sqref="L1:M1048576">
    <cfRule type="notContainsBlanks" dxfId="6" priority="4">
      <formula>LEN(TRIM(L1))&gt;0</formula>
    </cfRule>
  </conditionalFormatting>
  <conditionalFormatting sqref="B6:B1000000">
    <cfRule type="notContainsBlanks" dxfId="5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zoomScale="110" zoomScaleNormal="100" workbookViewId="0">
      <selection activeCell="I2" sqref="I2"/>
    </sheetView>
  </sheetViews>
  <sheetFormatPr baseColWidth="10" defaultRowHeight="16" x14ac:dyDescent="0.2"/>
  <cols>
    <col min="1" max="2" width="13.7109375" style="51" customWidth="1"/>
    <col min="3" max="3" width="19.5703125" style="51" customWidth="1"/>
    <col min="4" max="4" width="17" style="51" customWidth="1"/>
    <col min="5" max="5" width="18.140625" style="51" customWidth="1"/>
    <col min="6" max="6" width="20.140625" style="56" customWidth="1"/>
    <col min="7" max="7" width="17.140625" style="56" customWidth="1"/>
    <col min="8" max="9" width="20" style="51" customWidth="1"/>
    <col min="10" max="10" width="19.5703125" style="60" customWidth="1"/>
    <col min="11" max="11" width="18.7109375" style="60" customWidth="1"/>
    <col min="12" max="31" width="10.7109375" style="51" customWidth="1"/>
    <col min="32" max="16384" width="10.7109375" style="51"/>
  </cols>
  <sheetData>
    <row r="1" spans="1:11" s="53" customFormat="1" ht="18" customHeight="1" x14ac:dyDescent="0.2">
      <c r="A1" s="61" t="s">
        <v>74</v>
      </c>
      <c r="B1" s="61" t="s">
        <v>89</v>
      </c>
      <c r="C1" s="61" t="s">
        <v>75</v>
      </c>
      <c r="D1" s="61" t="s">
        <v>76</v>
      </c>
      <c r="E1" s="61" t="s">
        <v>77</v>
      </c>
      <c r="F1" s="62" t="s">
        <v>78</v>
      </c>
      <c r="G1" s="62" t="s">
        <v>79</v>
      </c>
      <c r="H1" s="61" t="s">
        <v>80</v>
      </c>
      <c r="I1" s="61" t="s">
        <v>81</v>
      </c>
      <c r="J1" s="62" t="s">
        <v>85</v>
      </c>
      <c r="K1" s="79" t="s">
        <v>90</v>
      </c>
    </row>
    <row r="2" spans="1:11" x14ac:dyDescent="0.2">
      <c r="A2" s="58" t="str" cm="1">
        <f t="array" aca="1" ref="A2:A42" ca="1">_xlfn._xlws.FILTER(_xlfn.UNIQUE(RECEIVED_CURRENCY), (_xlfn.UNIQUE(RECEIVED_CURRENCY) &lt;&gt; 0)*(_xlfn.UNIQUE(RECEIVED_CURRENCY) &lt;&gt; "USD"))</f>
        <v>XRP</v>
      </c>
      <c r="B2" s="58" cm="1">
        <f t="array" aca="1" ref="B2:B42" ca="1">INDEX(PRICES, MATCH(CURRENCY, PRICES_SYMBOL, 0))</f>
        <v>0.61392024999999995</v>
      </c>
      <c r="C2" s="59" cm="1">
        <f t="array" aca="1" ref="C2:C42" ca="1">SUMIFS(RECEIVED_QUANTITY, RECEIVED_CURRENCY, CURRENCY)</f>
        <v>23683.790361000003</v>
      </c>
      <c r="D2" s="58" cm="1">
        <f t="array" aca="1" ref="D2:D42" ca="1">SUMIFS(SENT_QUANTITY, SENT_CURRENCY, CURRENCY) + SUMIFS(FEE_QUANTITY, FEE_CURRENCY, CURRENCY)</f>
        <v>11410.344722000002</v>
      </c>
      <c r="E2" s="57" cm="1">
        <f t="array" aca="1" ref="E2:E42" ca="1">IF(QUANTITY_BOUGHT-QUANTITY_SOLD &gt; 0, QUANTITY_BOUGHT-QUANTITY_SOLD, 0)</f>
        <v>12273.445639000001</v>
      </c>
      <c r="F2" s="60" cm="1">
        <f t="array" aca="1" ref="F2:F42" ca="1">SUMIFS(RECEIVED_COST_BASIS, RECEIVED_CURRENCY, CURRENCY)+ SUMIFS(FEE_COST_BASIS, SENT_CURRENCY, CURRENCY)</f>
        <v>9150.11</v>
      </c>
      <c r="G2" s="60" cm="1">
        <f t="array" aca="1" ref="G2:G42" ca="1">SUMIFS(SENT_COST_BASIS, SENT_CURRENCY, CURRENCY)+SUMIFS(FEE_COST_BASIS, SENT_CURRENCY, CURRENCY)</f>
        <v>2067.69</v>
      </c>
      <c r="H2" s="60" cm="1">
        <f t="array" aca="1" ref="H2:H42" ca="1">IF(COST_BASIS_BOUGHT-COST_BASIS_SOLD &gt; 0, COST_BASIS_BOUGHT-COST_BASIS_SOLD, 0)</f>
        <v>7082.42</v>
      </c>
      <c r="I2" s="60" cm="1">
        <f t="array" aca="1" ref="I2:I42" ca="1">CURRENT_QUANTITY * INDEX(PRICES, MATCH(CURRENCY, PRICES_SYMBOL, 0))</f>
        <v>7534.91681505629</v>
      </c>
      <c r="J2" s="60" cm="1">
        <f t="array" aca="1" ref="J2:J42" ca="1">CURRENCY_VALUE-CURRENT_COST_BASIS</f>
        <v>452.49681505628996</v>
      </c>
      <c r="K2" s="60" cm="1">
        <f t="array" aca="1" ref="K2:K42" ca="1">SUMIFS(REALIZED_RETURN, SENT_CURRENCY, CURRENCY) + SUMIFS(FEE_REALIZED_RETURN, FEE_CURRENCY, CURRENCY)</f>
        <v>12.4</v>
      </c>
    </row>
    <row r="3" spans="1:11" x14ac:dyDescent="0.2">
      <c r="A3" s="58" t="str">
        <f ca="1"/>
        <v>HBAR</v>
      </c>
      <c r="B3" s="58">
        <f ca="1"/>
        <v>0.10069435</v>
      </c>
      <c r="C3" s="59">
        <f ca="1"/>
        <v>168484.69461331997</v>
      </c>
      <c r="D3" s="58">
        <f ca="1"/>
        <v>86964.549318769976</v>
      </c>
      <c r="E3" s="57">
        <f ca="1"/>
        <v>81520.145294549991</v>
      </c>
      <c r="F3" s="60">
        <f ca="1"/>
        <v>5531.7</v>
      </c>
      <c r="G3" s="60">
        <f ca="1"/>
        <v>531.69999999999993</v>
      </c>
      <c r="H3" s="60">
        <f ca="1"/>
        <v>5000</v>
      </c>
      <c r="I3" s="60">
        <f ca="1"/>
        <v>8208.6180423402693</v>
      </c>
      <c r="J3" s="60">
        <f ca="1"/>
        <v>3208.6180423402693</v>
      </c>
      <c r="K3" s="60">
        <f ca="1"/>
        <v>-26.89</v>
      </c>
    </row>
    <row r="4" spans="1:11" x14ac:dyDescent="0.2">
      <c r="A4" s="58" t="str">
        <f ca="1"/>
        <v>ATOM</v>
      </c>
      <c r="B4" s="58">
        <f ca="1"/>
        <v>10.75846816</v>
      </c>
      <c r="C4" s="59">
        <f ca="1"/>
        <v>314.50585499999994</v>
      </c>
      <c r="D4" s="58">
        <f ca="1"/>
        <v>314.913118</v>
      </c>
      <c r="E4" s="57">
        <f ca="1"/>
        <v>0</v>
      </c>
      <c r="F4" s="60">
        <f ca="1"/>
        <v>1880.5</v>
      </c>
      <c r="G4" s="60">
        <f ca="1"/>
        <v>1881.78</v>
      </c>
      <c r="H4" s="60">
        <f ca="1"/>
        <v>0</v>
      </c>
      <c r="I4" s="60">
        <f ca="1"/>
        <v>0</v>
      </c>
      <c r="J4" s="60">
        <f ca="1"/>
        <v>0</v>
      </c>
      <c r="K4" s="60">
        <f ca="1"/>
        <v>-132.68</v>
      </c>
    </row>
    <row r="5" spans="1:11" x14ac:dyDescent="0.2">
      <c r="A5" s="58" t="str">
        <f ca="1"/>
        <v>SOL</v>
      </c>
      <c r="B5" s="58">
        <f ca="1"/>
        <v>172.47016776999999</v>
      </c>
      <c r="C5" s="59">
        <f ca="1"/>
        <v>15.34091162</v>
      </c>
      <c r="D5" s="58">
        <f ca="1"/>
        <v>15.38473508</v>
      </c>
      <c r="E5" s="57">
        <f ca="1"/>
        <v>0</v>
      </c>
      <c r="F5" s="60">
        <f ca="1"/>
        <v>602.2600000000001</v>
      </c>
      <c r="G5" s="60">
        <f ca="1"/>
        <v>602.25999999999988</v>
      </c>
      <c r="H5" s="60">
        <f ca="1"/>
        <v>2.2737367544323206E-13</v>
      </c>
      <c r="I5" s="60">
        <f ca="1"/>
        <v>0</v>
      </c>
      <c r="J5" s="60">
        <f ca="1"/>
        <v>-2.2737367544323206E-13</v>
      </c>
      <c r="K5" s="60">
        <f ca="1"/>
        <v>-163.41</v>
      </c>
    </row>
    <row r="6" spans="1:11" x14ac:dyDescent="0.2">
      <c r="A6" s="58" t="str">
        <f ca="1"/>
        <v>ADA</v>
      </c>
      <c r="B6" s="58">
        <f ca="1"/>
        <v>0.58759815999999998</v>
      </c>
      <c r="C6" s="59">
        <f ca="1"/>
        <v>7812.7755000000006</v>
      </c>
      <c r="D6" s="58">
        <f ca="1"/>
        <v>7817.4406089999993</v>
      </c>
      <c r="E6" s="57">
        <f ca="1"/>
        <v>0</v>
      </c>
      <c r="F6" s="60">
        <f ca="1"/>
        <v>1322.6499999999999</v>
      </c>
      <c r="G6" s="60">
        <f ca="1"/>
        <v>1326.1299999999999</v>
      </c>
      <c r="H6" s="60">
        <f ca="1"/>
        <v>0</v>
      </c>
      <c r="I6" s="60">
        <f ca="1"/>
        <v>0</v>
      </c>
      <c r="J6" s="60">
        <f ca="1"/>
        <v>0</v>
      </c>
      <c r="K6" s="60">
        <f ca="1"/>
        <v>-154.29</v>
      </c>
    </row>
    <row r="7" spans="1:11" x14ac:dyDescent="0.2">
      <c r="A7" s="58" t="str">
        <f ca="1"/>
        <v>USDC</v>
      </c>
      <c r="B7" s="58">
        <f ca="1"/>
        <v>1.00109421</v>
      </c>
      <c r="C7" s="59">
        <f ca="1"/>
        <v>2500.1205420000001</v>
      </c>
      <c r="D7" s="58">
        <f ca="1"/>
        <v>2499.9605879999999</v>
      </c>
      <c r="E7" s="57">
        <f ca="1"/>
        <v>0.15995400000019799</v>
      </c>
      <c r="F7" s="60">
        <f ca="1"/>
        <v>1502.8200000000002</v>
      </c>
      <c r="G7" s="60">
        <f ca="1"/>
        <v>1502.66</v>
      </c>
      <c r="H7" s="60">
        <f ca="1"/>
        <v>0.16000000000008185</v>
      </c>
      <c r="I7" s="60">
        <f ca="1"/>
        <v>0.16012902326653822</v>
      </c>
      <c r="J7" s="60">
        <f ca="1"/>
        <v>1.2902326645636286E-4</v>
      </c>
      <c r="K7" s="60">
        <f ca="1"/>
        <v>-13.149999999999999</v>
      </c>
    </row>
    <row r="8" spans="1:11" x14ac:dyDescent="0.2">
      <c r="A8" s="58" t="str">
        <f ca="1"/>
        <v>ETH</v>
      </c>
      <c r="B8" s="58">
        <f ca="1"/>
        <v>3560.3747093000002</v>
      </c>
      <c r="C8" s="59">
        <f ca="1"/>
        <v>6.9329730500000002</v>
      </c>
      <c r="D8" s="58">
        <f ca="1"/>
        <v>6.932657279999999</v>
      </c>
      <c r="E8" s="57">
        <f ca="1"/>
        <v>3.1577000000115873E-4</v>
      </c>
      <c r="F8" s="60">
        <f ca="1"/>
        <v>6066.2900000000036</v>
      </c>
      <c r="G8" s="60">
        <f ca="1"/>
        <v>6123.3900000000012</v>
      </c>
      <c r="H8" s="60">
        <f ca="1"/>
        <v>0</v>
      </c>
      <c r="I8" s="60">
        <f ca="1"/>
        <v>1.1242595219597866</v>
      </c>
      <c r="J8" s="60">
        <f ca="1"/>
        <v>1.1242595219597866</v>
      </c>
      <c r="K8" s="60">
        <f ca="1"/>
        <v>168.14999999999984</v>
      </c>
    </row>
    <row r="9" spans="1:11" x14ac:dyDescent="0.2">
      <c r="A9" s="58" t="str">
        <f ca="1"/>
        <v>BTC</v>
      </c>
      <c r="B9" s="58">
        <f ca="1"/>
        <v>70821.435898509997</v>
      </c>
      <c r="C9" s="59">
        <f ca="1"/>
        <v>1.1118220000000002E-2</v>
      </c>
      <c r="D9" s="58">
        <f ca="1"/>
        <v>1.1118230000000002E-2</v>
      </c>
      <c r="E9" s="57">
        <f ca="1"/>
        <v>0</v>
      </c>
      <c r="F9" s="60">
        <f ca="1"/>
        <v>457.29999999999995</v>
      </c>
      <c r="G9" s="60">
        <f ca="1"/>
        <v>459.33</v>
      </c>
      <c r="H9" s="60">
        <f ca="1"/>
        <v>0</v>
      </c>
      <c r="I9" s="60">
        <f ca="1"/>
        <v>0</v>
      </c>
      <c r="J9" s="60">
        <f ca="1"/>
        <v>0</v>
      </c>
      <c r="K9" s="60">
        <f ca="1"/>
        <v>-29.310000000000002</v>
      </c>
    </row>
    <row r="10" spans="1:11" x14ac:dyDescent="0.2">
      <c r="A10" s="58" t="str">
        <f ca="1"/>
        <v>CSPR</v>
      </c>
      <c r="B10" s="58">
        <f ca="1"/>
        <v>3.6031460000000001E-2</v>
      </c>
      <c r="C10" s="59">
        <f ca="1"/>
        <v>21143.138177159999</v>
      </c>
      <c r="D10" s="58">
        <f ca="1"/>
        <v>21143.13817717</v>
      </c>
      <c r="E10" s="57">
        <f ca="1"/>
        <v>0</v>
      </c>
      <c r="F10" s="60">
        <f ca="1"/>
        <v>903.04</v>
      </c>
      <c r="G10" s="60">
        <f ca="1"/>
        <v>900.28</v>
      </c>
      <c r="H10" s="60">
        <f ca="1"/>
        <v>2.7599999999999909</v>
      </c>
      <c r="I10" s="60">
        <f ca="1"/>
        <v>0</v>
      </c>
      <c r="J10" s="60">
        <f ca="1"/>
        <v>-2.7599999999999909</v>
      </c>
      <c r="K10" s="60">
        <f ca="1"/>
        <v>-164.51</v>
      </c>
    </row>
    <row r="11" spans="1:11" x14ac:dyDescent="0.2">
      <c r="A11" s="58" t="str">
        <f ca="1"/>
        <v>DOGE</v>
      </c>
      <c r="B11" s="58">
        <f ca="1"/>
        <v>0.19458112</v>
      </c>
      <c r="C11" s="59">
        <f ca="1"/>
        <v>2.36</v>
      </c>
      <c r="D11" s="58">
        <f ca="1"/>
        <v>2.3085714300000002</v>
      </c>
      <c r="E11" s="57">
        <f ca="1"/>
        <v>5.1428569999999674E-2</v>
      </c>
      <c r="F11" s="60">
        <f ca="1"/>
        <v>0.16</v>
      </c>
      <c r="G11" s="60">
        <f ca="1"/>
        <v>0.16</v>
      </c>
      <c r="H11" s="60">
        <f ca="1"/>
        <v>0</v>
      </c>
      <c r="I11" s="60">
        <f ca="1"/>
        <v>1.0007028750598336E-2</v>
      </c>
      <c r="J11" s="60">
        <f ca="1"/>
        <v>1.0007028750598336E-2</v>
      </c>
      <c r="K11" s="60">
        <f ca="1"/>
        <v>0</v>
      </c>
    </row>
    <row r="12" spans="1:11" x14ac:dyDescent="0.2">
      <c r="A12" s="58" t="str">
        <f ca="1"/>
        <v>LINK</v>
      </c>
      <c r="B12" s="58">
        <f ca="1"/>
        <v>17.36079088</v>
      </c>
      <c r="C12" s="59">
        <f ca="1"/>
        <v>416.48075627999998</v>
      </c>
      <c r="D12" s="58">
        <f ca="1"/>
        <v>416.48075628000004</v>
      </c>
      <c r="E12" s="57">
        <f ca="1"/>
        <v>0</v>
      </c>
      <c r="F12" s="60">
        <f ca="1"/>
        <v>2496.2900000000013</v>
      </c>
      <c r="G12" s="60">
        <f ca="1"/>
        <v>2503.2099999999996</v>
      </c>
      <c r="H12" s="60">
        <f ca="1"/>
        <v>0</v>
      </c>
      <c r="I12" s="60">
        <f ca="1"/>
        <v>0</v>
      </c>
      <c r="J12" s="60">
        <f ca="1"/>
        <v>0</v>
      </c>
      <c r="K12" s="60">
        <f ca="1"/>
        <v>-220.98000000000002</v>
      </c>
    </row>
    <row r="13" spans="1:11" x14ac:dyDescent="0.2">
      <c r="A13" s="58" t="str">
        <f ca="1"/>
        <v>ALGO</v>
      </c>
      <c r="B13" s="58">
        <f ca="1"/>
        <v>0.23171844999999999</v>
      </c>
      <c r="C13" s="59">
        <f ca="1"/>
        <v>10996.823197999998</v>
      </c>
      <c r="D13" s="58">
        <f ca="1"/>
        <v>11007.762099</v>
      </c>
      <c r="E13" s="57">
        <f ca="1"/>
        <v>0</v>
      </c>
      <c r="F13" s="60">
        <f ca="1"/>
        <v>2496.83</v>
      </c>
      <c r="G13" s="60">
        <f ca="1"/>
        <v>2499.8199999999997</v>
      </c>
      <c r="H13" s="60">
        <f ca="1"/>
        <v>0</v>
      </c>
      <c r="I13" s="60">
        <f ca="1"/>
        <v>0</v>
      </c>
      <c r="J13" s="60">
        <f ca="1"/>
        <v>0</v>
      </c>
      <c r="K13" s="60">
        <f ca="1"/>
        <v>-74.48</v>
      </c>
    </row>
    <row r="14" spans="1:11" x14ac:dyDescent="0.2">
      <c r="A14" s="58" t="str">
        <f ca="1"/>
        <v>ARB</v>
      </c>
      <c r="B14" s="58">
        <f ca="1"/>
        <v>1.4515421100000001</v>
      </c>
      <c r="C14" s="59">
        <f ca="1"/>
        <v>314.03690116000001</v>
      </c>
      <c r="D14" s="58">
        <f ca="1"/>
        <v>314.03690116000001</v>
      </c>
      <c r="E14" s="57">
        <f ca="1"/>
        <v>0</v>
      </c>
      <c r="F14" s="60">
        <f ca="1"/>
        <v>389.68</v>
      </c>
      <c r="G14" s="60">
        <f ca="1"/>
        <v>389.68</v>
      </c>
      <c r="H14" s="60">
        <f ca="1"/>
        <v>0</v>
      </c>
      <c r="I14" s="60">
        <f ca="1"/>
        <v>0</v>
      </c>
      <c r="J14" s="60">
        <f ca="1"/>
        <v>0</v>
      </c>
      <c r="K14" s="60">
        <f ca="1"/>
        <v>-26.45</v>
      </c>
    </row>
    <row r="15" spans="1:11" x14ac:dyDescent="0.2">
      <c r="A15" s="58" t="str">
        <f ca="1"/>
        <v>OP</v>
      </c>
      <c r="B15" s="58">
        <f ca="1"/>
        <v>2.9919456000000002</v>
      </c>
      <c r="C15" s="59">
        <f ca="1"/>
        <v>288.75017883999999</v>
      </c>
      <c r="D15" s="58">
        <f ca="1"/>
        <v>288.75017883999999</v>
      </c>
      <c r="E15" s="57">
        <f ca="1"/>
        <v>0</v>
      </c>
      <c r="F15" s="60">
        <f ca="1"/>
        <v>765.76</v>
      </c>
      <c r="G15" s="60">
        <f ca="1"/>
        <v>765.76</v>
      </c>
      <c r="H15" s="60">
        <f ca="1"/>
        <v>0</v>
      </c>
      <c r="I15" s="60">
        <f ca="1"/>
        <v>0</v>
      </c>
      <c r="J15" s="60">
        <f ca="1"/>
        <v>0</v>
      </c>
      <c r="K15" s="60">
        <f ca="1"/>
        <v>-172.53</v>
      </c>
    </row>
    <row r="16" spans="1:11" x14ac:dyDescent="0.2">
      <c r="A16" s="58" t="str">
        <f ca="1"/>
        <v>FIL</v>
      </c>
      <c r="B16" s="58">
        <f ca="1"/>
        <v>8.2334110900000006</v>
      </c>
      <c r="C16" s="59">
        <f ca="1"/>
        <v>33.367037410000002</v>
      </c>
      <c r="D16" s="58">
        <f ca="1"/>
        <v>33.367037410000002</v>
      </c>
      <c r="E16" s="57">
        <f ca="1"/>
        <v>0</v>
      </c>
      <c r="F16" s="60">
        <f ca="1"/>
        <v>200</v>
      </c>
      <c r="G16" s="60">
        <f ca="1"/>
        <v>200</v>
      </c>
      <c r="H16" s="60">
        <f ca="1"/>
        <v>0</v>
      </c>
      <c r="I16" s="60">
        <f ca="1"/>
        <v>0</v>
      </c>
      <c r="J16" s="60">
        <f ca="1"/>
        <v>0</v>
      </c>
      <c r="K16" s="60">
        <f ca="1"/>
        <v>-5.61</v>
      </c>
    </row>
    <row r="17" spans="1:11" x14ac:dyDescent="0.2">
      <c r="A17" s="58" t="str">
        <f ca="1"/>
        <v>XLM</v>
      </c>
      <c r="B17" s="58">
        <f ca="1"/>
        <v>0.13015978</v>
      </c>
      <c r="C17" s="59">
        <f ca="1"/>
        <v>4970.8263010000001</v>
      </c>
      <c r="D17" s="58">
        <f ca="1"/>
        <v>4970.826301000001</v>
      </c>
      <c r="E17" s="57">
        <f ca="1"/>
        <v>0</v>
      </c>
      <c r="F17" s="60">
        <f ca="1"/>
        <v>473.23</v>
      </c>
      <c r="G17" s="60">
        <f ca="1"/>
        <v>476.22</v>
      </c>
      <c r="H17" s="60">
        <f ca="1"/>
        <v>0</v>
      </c>
      <c r="I17" s="60">
        <f ca="1"/>
        <v>0</v>
      </c>
      <c r="J17" s="60">
        <f ca="1"/>
        <v>0</v>
      </c>
      <c r="K17" s="60">
        <f ca="1"/>
        <v>-26.740000000000006</v>
      </c>
    </row>
    <row r="18" spans="1:11" x14ac:dyDescent="0.2">
      <c r="A18" s="58" t="str">
        <f ca="1"/>
        <v>QNT</v>
      </c>
      <c r="B18" s="58">
        <f ca="1"/>
        <v>115.75066594</v>
      </c>
      <c r="C18" s="59">
        <f ca="1"/>
        <v>5.8445141200000004</v>
      </c>
      <c r="D18" s="58">
        <f ca="1"/>
        <v>5.8445141199999995</v>
      </c>
      <c r="E18" s="57">
        <f ca="1"/>
        <v>8.8817841970012523E-16</v>
      </c>
      <c r="F18" s="60">
        <f ca="1"/>
        <v>778.57999999999993</v>
      </c>
      <c r="G18" s="60">
        <f ca="1"/>
        <v>783.06000000000006</v>
      </c>
      <c r="H18" s="60">
        <f ca="1"/>
        <v>0</v>
      </c>
      <c r="I18" s="60">
        <f ca="1"/>
        <v>1.0280724355382631E-13</v>
      </c>
      <c r="J18" s="60">
        <f ca="1"/>
        <v>1.0280724355382631E-13</v>
      </c>
      <c r="K18" s="60">
        <f ca="1"/>
        <v>-43.75</v>
      </c>
    </row>
    <row r="19" spans="1:11" x14ac:dyDescent="0.2">
      <c r="A19" s="58" t="str">
        <f ca="1"/>
        <v>AVAX</v>
      </c>
      <c r="B19" s="58">
        <f ca="1"/>
        <v>46.463279720000003</v>
      </c>
      <c r="C19" s="59">
        <f ca="1"/>
        <v>4.5437105100000004</v>
      </c>
      <c r="D19" s="58">
        <f ca="1"/>
        <v>4.5437105100000004</v>
      </c>
      <c r="E19" s="57">
        <f ca="1"/>
        <v>0</v>
      </c>
      <c r="F19" s="60">
        <f ca="1"/>
        <v>58.510000000000005</v>
      </c>
      <c r="G19" s="60">
        <f ca="1"/>
        <v>60</v>
      </c>
      <c r="H19" s="60">
        <f ca="1"/>
        <v>0</v>
      </c>
      <c r="I19" s="60">
        <f ca="1"/>
        <v>0</v>
      </c>
      <c r="J19" s="60">
        <f ca="1"/>
        <v>0</v>
      </c>
      <c r="K19" s="60">
        <f ca="1"/>
        <v>20.53</v>
      </c>
    </row>
    <row r="20" spans="1:11" x14ac:dyDescent="0.2">
      <c r="A20" s="58" t="str">
        <f ca="1"/>
        <v>MATIC</v>
      </c>
      <c r="B20" s="58">
        <f ca="1"/>
        <v>0.88029062000000002</v>
      </c>
      <c r="C20" s="59">
        <f ca="1"/>
        <v>342.91233002000001</v>
      </c>
      <c r="D20" s="58">
        <f ca="1"/>
        <v>342.91233002000001</v>
      </c>
      <c r="E20" s="57">
        <f ca="1"/>
        <v>0</v>
      </c>
      <c r="F20" s="60">
        <f ca="1"/>
        <v>380.62</v>
      </c>
      <c r="G20" s="60">
        <f ca="1"/>
        <v>383.61</v>
      </c>
      <c r="H20" s="60">
        <f ca="1"/>
        <v>0</v>
      </c>
      <c r="I20" s="60">
        <f ca="1"/>
        <v>0</v>
      </c>
      <c r="J20" s="60">
        <f ca="1"/>
        <v>0</v>
      </c>
      <c r="K20" s="60">
        <f ca="1"/>
        <v>-12.11</v>
      </c>
    </row>
    <row r="21" spans="1:11" x14ac:dyDescent="0.2">
      <c r="A21" s="58" t="str">
        <f ca="1"/>
        <v>GALA</v>
      </c>
      <c r="B21" s="58">
        <f ca="1"/>
        <v>5.9156340000000002E-2</v>
      </c>
      <c r="C21" s="59">
        <f ca="1"/>
        <v>56.116802880000002</v>
      </c>
      <c r="D21" s="58">
        <f ca="1"/>
        <v>56.116802880000002</v>
      </c>
      <c r="E21" s="57">
        <f ca="1"/>
        <v>0</v>
      </c>
      <c r="F21" s="60">
        <f ca="1"/>
        <v>19.37</v>
      </c>
      <c r="G21" s="60">
        <f ca="1"/>
        <v>19.37</v>
      </c>
      <c r="H21" s="60">
        <f ca="1"/>
        <v>0</v>
      </c>
      <c r="I21" s="60">
        <f ca="1"/>
        <v>0</v>
      </c>
      <c r="J21" s="60">
        <f ca="1"/>
        <v>0</v>
      </c>
      <c r="K21" s="60">
        <f ca="1"/>
        <v>-0.49</v>
      </c>
    </row>
    <row r="22" spans="1:11" x14ac:dyDescent="0.2">
      <c r="A22" s="58" t="str">
        <f ca="1"/>
        <v>FIDA</v>
      </c>
      <c r="B22" s="58">
        <f ca="1"/>
        <v>0.45343704000000001</v>
      </c>
      <c r="C22" s="59">
        <f ca="1"/>
        <v>3.853386</v>
      </c>
      <c r="D22" s="58">
        <f ca="1"/>
        <v>3.853386</v>
      </c>
      <c r="E22" s="57">
        <f ca="1"/>
        <v>0</v>
      </c>
      <c r="F22" s="60">
        <f ca="1"/>
        <v>13.74</v>
      </c>
      <c r="G22" s="60">
        <f ca="1"/>
        <v>13.74</v>
      </c>
      <c r="H22" s="60">
        <f ca="1"/>
        <v>0</v>
      </c>
      <c r="I22" s="60">
        <f ca="1"/>
        <v>0</v>
      </c>
      <c r="J22" s="60">
        <f ca="1"/>
        <v>0</v>
      </c>
      <c r="K22" s="60">
        <f ca="1"/>
        <v>-1.6</v>
      </c>
    </row>
    <row r="23" spans="1:11" x14ac:dyDescent="0.2">
      <c r="A23" s="58" t="str">
        <f ca="1"/>
        <v>RNDR</v>
      </c>
      <c r="B23" s="58">
        <f ca="1"/>
        <v>9.07820976</v>
      </c>
      <c r="C23" s="59">
        <f ca="1"/>
        <v>0.80862630000000002</v>
      </c>
      <c r="D23" s="58">
        <f ca="1"/>
        <v>0.80862630999999996</v>
      </c>
      <c r="E23" s="57">
        <f ca="1"/>
        <v>0</v>
      </c>
      <c r="F23" s="60">
        <f ca="1"/>
        <v>2.98</v>
      </c>
      <c r="G23" s="60">
        <f ca="1"/>
        <v>2.98</v>
      </c>
      <c r="H23" s="60">
        <f ca="1"/>
        <v>0</v>
      </c>
      <c r="I23" s="60">
        <f ca="1"/>
        <v>0</v>
      </c>
      <c r="J23" s="60">
        <f ca="1"/>
        <v>0</v>
      </c>
      <c r="K23" s="60">
        <f ca="1"/>
        <v>-1.08</v>
      </c>
    </row>
    <row r="24" spans="1:11" x14ac:dyDescent="0.2">
      <c r="A24" s="58" t="str">
        <f ca="1"/>
        <v>NKN</v>
      </c>
      <c r="B24" s="58">
        <f ca="1"/>
        <v>0.18211332999999999</v>
      </c>
      <c r="C24" s="59">
        <f ca="1"/>
        <v>36.42306705</v>
      </c>
      <c r="D24" s="58">
        <f ca="1"/>
        <v>36.42306705</v>
      </c>
      <c r="E24" s="57">
        <f ca="1"/>
        <v>0</v>
      </c>
      <c r="F24" s="60">
        <f ca="1"/>
        <v>9.8699999999999992</v>
      </c>
      <c r="G24" s="60">
        <f ca="1"/>
        <v>9.8699999999999992</v>
      </c>
      <c r="H24" s="60">
        <f ca="1"/>
        <v>0</v>
      </c>
      <c r="I24" s="60">
        <f ca="1"/>
        <v>0</v>
      </c>
      <c r="J24" s="60">
        <f ca="1"/>
        <v>0</v>
      </c>
      <c r="K24" s="60">
        <f ca="1"/>
        <v>-0.55000000000000004</v>
      </c>
    </row>
    <row r="25" spans="1:11" x14ac:dyDescent="0.2">
      <c r="A25" s="58" t="str">
        <f ca="1"/>
        <v>SHPING</v>
      </c>
      <c r="B25" s="58">
        <f ca="1"/>
        <v>1.103437E-2</v>
      </c>
      <c r="C25" s="59">
        <f ca="1"/>
        <v>1442.9762798199999</v>
      </c>
      <c r="D25" s="58">
        <f ca="1"/>
        <v>1442.9762798199999</v>
      </c>
      <c r="E25" s="57">
        <f ca="1"/>
        <v>0</v>
      </c>
      <c r="F25" s="60">
        <f ca="1"/>
        <v>52.39</v>
      </c>
      <c r="G25" s="60">
        <f ca="1"/>
        <v>52.39</v>
      </c>
      <c r="H25" s="60">
        <f ca="1"/>
        <v>0</v>
      </c>
      <c r="I25" s="60">
        <f ca="1"/>
        <v>0</v>
      </c>
      <c r="J25" s="60">
        <f ca="1"/>
        <v>0</v>
      </c>
      <c r="K25" s="60">
        <f ca="1"/>
        <v>-1.22</v>
      </c>
    </row>
    <row r="26" spans="1:11" x14ac:dyDescent="0.2">
      <c r="A26" s="58" t="str">
        <f ca="1"/>
        <v>TRAC</v>
      </c>
      <c r="B26" s="58">
        <f ca="1"/>
        <v>3.85203557</v>
      </c>
      <c r="C26" s="59">
        <f ca="1"/>
        <v>37.85224736</v>
      </c>
      <c r="D26" s="58">
        <f ca="1"/>
        <v>37.85224736</v>
      </c>
      <c r="E26" s="57">
        <f ca="1"/>
        <v>0</v>
      </c>
      <c r="F26" s="60">
        <f ca="1"/>
        <v>24.45</v>
      </c>
      <c r="G26" s="60">
        <f ca="1"/>
        <v>24.45</v>
      </c>
      <c r="H26" s="60">
        <f ca="1"/>
        <v>0</v>
      </c>
      <c r="I26" s="60">
        <f ca="1"/>
        <v>0</v>
      </c>
      <c r="J26" s="60">
        <f ca="1"/>
        <v>0</v>
      </c>
      <c r="K26" s="60">
        <f ca="1"/>
        <v>-2.4700000000000002</v>
      </c>
    </row>
    <row r="27" spans="1:11" x14ac:dyDescent="0.2">
      <c r="A27" s="58" t="str">
        <f ca="1"/>
        <v>SUKU</v>
      </c>
      <c r="B27" s="58">
        <f ca="1"/>
        <v>0.27812292</v>
      </c>
      <c r="C27" s="59">
        <f ca="1"/>
        <v>52.526181739999998</v>
      </c>
      <c r="D27" s="58">
        <f ca="1"/>
        <v>52.526181739999998</v>
      </c>
      <c r="E27" s="57">
        <f ca="1"/>
        <v>0</v>
      </c>
      <c r="F27" s="60">
        <f ca="1"/>
        <v>40.04</v>
      </c>
      <c r="G27" s="60">
        <f ca="1"/>
        <v>40.04</v>
      </c>
      <c r="H27" s="60">
        <f ca="1"/>
        <v>0</v>
      </c>
      <c r="I27" s="60">
        <f ca="1"/>
        <v>0</v>
      </c>
      <c r="J27" s="60">
        <f ca="1"/>
        <v>0</v>
      </c>
      <c r="K27" s="60">
        <f ca="1"/>
        <v>-16.52</v>
      </c>
    </row>
    <row r="28" spans="1:11" x14ac:dyDescent="0.2">
      <c r="A28" s="58" t="str">
        <f ca="1"/>
        <v>FARM</v>
      </c>
      <c r="B28" s="58">
        <f ca="1"/>
        <v>93.108098720000001</v>
      </c>
      <c r="C28" s="59">
        <f ca="1"/>
        <v>0.39812682900000002</v>
      </c>
      <c r="D28" s="58">
        <f ca="1"/>
        <v>0.39812682999999999</v>
      </c>
      <c r="E28" s="57">
        <f ca="1"/>
        <v>0</v>
      </c>
      <c r="F28" s="60">
        <f ca="1"/>
        <v>58.91</v>
      </c>
      <c r="G28" s="60">
        <f ca="1"/>
        <v>58.91</v>
      </c>
      <c r="H28" s="60">
        <f ca="1"/>
        <v>0</v>
      </c>
      <c r="I28" s="60">
        <f ca="1"/>
        <v>0</v>
      </c>
      <c r="J28" s="60">
        <f ca="1"/>
        <v>0</v>
      </c>
      <c r="K28" s="60">
        <f ca="1"/>
        <v>-18.87</v>
      </c>
    </row>
    <row r="29" spans="1:11" x14ac:dyDescent="0.2">
      <c r="A29" s="58" t="str">
        <f ca="1"/>
        <v>GRT</v>
      </c>
      <c r="B29" s="58">
        <f ca="1"/>
        <v>0.31789508999999999</v>
      </c>
      <c r="C29" s="59">
        <f ca="1"/>
        <v>7.1263997500000009</v>
      </c>
      <c r="D29" s="58">
        <f ca="1"/>
        <v>7.1263997499999991</v>
      </c>
      <c r="E29" s="57">
        <f ca="1"/>
        <v>1.7763568394002505E-15</v>
      </c>
      <c r="F29" s="60">
        <f ca="1"/>
        <v>5</v>
      </c>
      <c r="G29" s="60">
        <f ca="1"/>
        <v>5</v>
      </c>
      <c r="H29" s="60">
        <f ca="1"/>
        <v>0</v>
      </c>
      <c r="I29" s="60">
        <f ca="1"/>
        <v>5.6469511733325815E-16</v>
      </c>
      <c r="J29" s="60">
        <f ca="1"/>
        <v>5.6469511733325815E-16</v>
      </c>
      <c r="K29" s="60">
        <f ca="1"/>
        <v>-0.33999999999999997</v>
      </c>
    </row>
    <row r="30" spans="1:11" x14ac:dyDescent="0.2">
      <c r="A30" s="58" t="str">
        <f ca="1"/>
        <v>POWR</v>
      </c>
      <c r="B30" s="58">
        <f ca="1"/>
        <v>0.39326947000000001</v>
      </c>
      <c r="C30" s="59">
        <f ca="1"/>
        <v>78.847219999999993</v>
      </c>
      <c r="D30" s="58">
        <f ca="1"/>
        <v>78.847219999999993</v>
      </c>
      <c r="E30" s="57">
        <f ca="1"/>
        <v>0</v>
      </c>
      <c r="F30" s="60">
        <f ca="1"/>
        <v>49.04</v>
      </c>
      <c r="G30" s="60">
        <f ca="1"/>
        <v>49.04</v>
      </c>
      <c r="H30" s="60">
        <f ca="1"/>
        <v>0</v>
      </c>
      <c r="I30" s="60">
        <f ca="1"/>
        <v>0</v>
      </c>
      <c r="J30" s="60">
        <f ca="1"/>
        <v>0</v>
      </c>
      <c r="K30" s="60">
        <f ca="1"/>
        <v>-3.09</v>
      </c>
    </row>
    <row r="31" spans="1:11" x14ac:dyDescent="0.2">
      <c r="A31" s="58" t="str">
        <f ca="1"/>
        <v>GODS</v>
      </c>
      <c r="B31" s="58">
        <f ca="1"/>
        <v>0.29452329999999999</v>
      </c>
      <c r="C31" s="59">
        <f ca="1"/>
        <v>13.196624590000001</v>
      </c>
      <c r="D31" s="58">
        <f ca="1"/>
        <v>13.196624590000001</v>
      </c>
      <c r="E31" s="57">
        <f ca="1"/>
        <v>0</v>
      </c>
      <c r="F31" s="60">
        <f ca="1"/>
        <v>49.03</v>
      </c>
      <c r="G31" s="60">
        <f ca="1"/>
        <v>49.03</v>
      </c>
      <c r="H31" s="60">
        <f ca="1"/>
        <v>0</v>
      </c>
      <c r="I31" s="60">
        <f ca="1"/>
        <v>0</v>
      </c>
      <c r="J31" s="60">
        <f ca="1"/>
        <v>0</v>
      </c>
      <c r="K31" s="60">
        <f ca="1"/>
        <v>-7.53</v>
      </c>
    </row>
    <row r="32" spans="1:11" x14ac:dyDescent="0.2">
      <c r="A32" s="58" t="str">
        <f ca="1"/>
        <v>ASM</v>
      </c>
      <c r="B32" s="58">
        <f ca="1"/>
        <v>3.7242480000000001E-2</v>
      </c>
      <c r="C32" s="59">
        <f ca="1"/>
        <v>242.62441733</v>
      </c>
      <c r="D32" s="58">
        <f ca="1"/>
        <v>242.62441733</v>
      </c>
      <c r="E32" s="57">
        <f ca="1"/>
        <v>0</v>
      </c>
      <c r="F32" s="60">
        <f ca="1"/>
        <v>23.77</v>
      </c>
      <c r="G32" s="60">
        <f ca="1"/>
        <v>23.77</v>
      </c>
      <c r="H32" s="60">
        <f ca="1"/>
        <v>0</v>
      </c>
      <c r="I32" s="60">
        <f ca="1"/>
        <v>0</v>
      </c>
      <c r="J32" s="60">
        <f ca="1"/>
        <v>0</v>
      </c>
      <c r="K32" s="60">
        <f ca="1"/>
        <v>-3.05</v>
      </c>
    </row>
    <row r="33" spans="1:11" x14ac:dyDescent="0.2">
      <c r="A33" s="58" t="str">
        <f ca="1"/>
        <v>AMP</v>
      </c>
      <c r="B33" s="58">
        <f ca="1"/>
        <v>9.1062999999999995E-3</v>
      </c>
      <c r="C33" s="59">
        <f ca="1"/>
        <v>625.34742832000018</v>
      </c>
      <c r="D33" s="58">
        <f ca="1"/>
        <v>625.34742832000006</v>
      </c>
      <c r="E33" s="57">
        <f ca="1"/>
        <v>1.1368683772161603E-13</v>
      </c>
      <c r="F33" s="60">
        <f ca="1"/>
        <v>30.25</v>
      </c>
      <c r="G33" s="60">
        <f ca="1"/>
        <v>30.25</v>
      </c>
      <c r="H33" s="60">
        <f ca="1"/>
        <v>0</v>
      </c>
      <c r="I33" s="60">
        <f ca="1"/>
        <v>1.035266450344352E-15</v>
      </c>
      <c r="J33" s="60">
        <f ca="1"/>
        <v>1.035266450344352E-15</v>
      </c>
      <c r="K33" s="60">
        <f ca="1"/>
        <v>-3.4899999999999998</v>
      </c>
    </row>
    <row r="34" spans="1:11" x14ac:dyDescent="0.2">
      <c r="A34" s="58" t="str">
        <f ca="1"/>
        <v>ACH</v>
      </c>
      <c r="B34" s="58">
        <f ca="1"/>
        <v>3.3744040000000003E-2</v>
      </c>
      <c r="C34" s="59">
        <f ca="1"/>
        <v>465.85208393000005</v>
      </c>
      <c r="D34" s="58">
        <f ca="1"/>
        <v>465.85208394</v>
      </c>
      <c r="E34" s="57">
        <f ca="1"/>
        <v>0</v>
      </c>
      <c r="F34" s="60">
        <f ca="1"/>
        <v>29.380000000000003</v>
      </c>
      <c r="G34" s="60">
        <f ca="1"/>
        <v>29.38</v>
      </c>
      <c r="H34" s="60">
        <f ca="1"/>
        <v>3.5527136788005009E-15</v>
      </c>
      <c r="I34" s="60">
        <f ca="1"/>
        <v>0</v>
      </c>
      <c r="J34" s="60">
        <f ca="1"/>
        <v>-3.5527136788005009E-15</v>
      </c>
      <c r="K34" s="60">
        <f ca="1"/>
        <v>0.6</v>
      </c>
    </row>
    <row r="35" spans="1:11" x14ac:dyDescent="0.2">
      <c r="A35" s="58" t="str">
        <f ca="1"/>
        <v>MDT</v>
      </c>
      <c r="B35" s="58">
        <f ca="1"/>
        <v>0.10566747999999999</v>
      </c>
      <c r="C35" s="59">
        <f ca="1"/>
        <v>132.27014911999999</v>
      </c>
      <c r="D35" s="58">
        <f ca="1"/>
        <v>132.27014912000001</v>
      </c>
      <c r="E35" s="57">
        <f ca="1"/>
        <v>0</v>
      </c>
      <c r="F35" s="60">
        <f ca="1"/>
        <v>19.670000000000002</v>
      </c>
      <c r="G35" s="60">
        <f ca="1"/>
        <v>19.670000000000002</v>
      </c>
      <c r="H35" s="60">
        <f ca="1"/>
        <v>0</v>
      </c>
      <c r="I35" s="60">
        <f ca="1"/>
        <v>0</v>
      </c>
      <c r="J35" s="60">
        <f ca="1"/>
        <v>0</v>
      </c>
      <c r="K35" s="60">
        <f ca="1"/>
        <v>-4.46</v>
      </c>
    </row>
    <row r="36" spans="1:11" x14ac:dyDescent="0.2">
      <c r="A36" s="58" t="str">
        <f ca="1"/>
        <v>COVAL</v>
      </c>
      <c r="B36" s="58">
        <f ca="1"/>
        <v>2.936745E-2</v>
      </c>
      <c r="C36" s="59">
        <f ca="1"/>
        <v>256.62583760999996</v>
      </c>
      <c r="D36" s="58">
        <f ca="1"/>
        <v>256.62583761000002</v>
      </c>
      <c r="E36" s="57">
        <f ca="1"/>
        <v>0</v>
      </c>
      <c r="F36" s="60">
        <f ca="1"/>
        <v>43.400000000000006</v>
      </c>
      <c r="G36" s="60">
        <f ca="1"/>
        <v>43.4</v>
      </c>
      <c r="H36" s="60">
        <f ca="1"/>
        <v>7.1054273576010019E-15</v>
      </c>
      <c r="I36" s="60">
        <f ca="1"/>
        <v>0</v>
      </c>
      <c r="J36" s="60">
        <f ca="1"/>
        <v>-7.1054273576010019E-15</v>
      </c>
      <c r="K36" s="60">
        <f ca="1"/>
        <v>3.69</v>
      </c>
    </row>
    <row r="37" spans="1:11" x14ac:dyDescent="0.2">
      <c r="A37" s="58" t="str">
        <f ca="1"/>
        <v>SPELL</v>
      </c>
      <c r="B37" s="58">
        <f ca="1"/>
        <v>1.21699E-3</v>
      </c>
      <c r="C37" s="59">
        <f ca="1"/>
        <v>2853.6429327400001</v>
      </c>
      <c r="D37" s="58">
        <f ca="1"/>
        <v>2853.6429327400001</v>
      </c>
      <c r="E37" s="57">
        <f ca="1"/>
        <v>0</v>
      </c>
      <c r="F37" s="60">
        <f ca="1"/>
        <v>51.66</v>
      </c>
      <c r="G37" s="60">
        <f ca="1"/>
        <v>51.66</v>
      </c>
      <c r="H37" s="60">
        <f ca="1"/>
        <v>0</v>
      </c>
      <c r="I37" s="60">
        <f ca="1"/>
        <v>0</v>
      </c>
      <c r="J37" s="60">
        <f ca="1"/>
        <v>0</v>
      </c>
      <c r="K37" s="60">
        <f ca="1"/>
        <v>-11.29</v>
      </c>
    </row>
    <row r="38" spans="1:11" x14ac:dyDescent="0.2">
      <c r="A38" s="58" t="str">
        <f ca="1"/>
        <v>IDEX</v>
      </c>
      <c r="B38" s="58">
        <f ca="1"/>
        <v>8.7141830000000003E-2</v>
      </c>
      <c r="C38" s="59">
        <f ca="1"/>
        <v>27.310846389999998</v>
      </c>
      <c r="D38" s="58">
        <f ca="1"/>
        <v>27.310846389999998</v>
      </c>
      <c r="E38" s="57">
        <f ca="1"/>
        <v>0</v>
      </c>
      <c r="F38" s="60">
        <f ca="1"/>
        <v>9.6999999999999993</v>
      </c>
      <c r="G38" s="60">
        <f ca="1"/>
        <v>9.6999999999999993</v>
      </c>
      <c r="H38" s="60">
        <f ca="1"/>
        <v>0</v>
      </c>
      <c r="I38" s="60">
        <f ca="1"/>
        <v>0</v>
      </c>
      <c r="J38" s="60">
        <f ca="1"/>
        <v>0</v>
      </c>
      <c r="K38" s="60">
        <f ca="1"/>
        <v>-0.23</v>
      </c>
    </row>
    <row r="39" spans="1:11" x14ac:dyDescent="0.2">
      <c r="A39" s="58" t="str">
        <f ca="1"/>
        <v>IOTX</v>
      </c>
      <c r="B39" s="58">
        <f ca="1"/>
        <v>7.5732679999999997E-2</v>
      </c>
      <c r="C39" s="59">
        <f ca="1"/>
        <v>16.80154576</v>
      </c>
      <c r="D39" s="58">
        <f ca="1"/>
        <v>16.801545770000001</v>
      </c>
      <c r="E39" s="57">
        <f ca="1"/>
        <v>0</v>
      </c>
      <c r="F39" s="60">
        <f ca="1"/>
        <v>2.98</v>
      </c>
      <c r="G39" s="60">
        <f ca="1"/>
        <v>2.98</v>
      </c>
      <c r="H39" s="60">
        <f ca="1"/>
        <v>0</v>
      </c>
      <c r="I39" s="60">
        <f ca="1"/>
        <v>0</v>
      </c>
      <c r="J39" s="60">
        <f ca="1"/>
        <v>0</v>
      </c>
      <c r="K39" s="60">
        <f ca="1"/>
        <v>0.02</v>
      </c>
    </row>
    <row r="40" spans="1:11" x14ac:dyDescent="0.2">
      <c r="A40" s="58" t="str">
        <f ca="1"/>
        <v>FET</v>
      </c>
      <c r="B40" s="58">
        <f ca="1"/>
        <v>2.59994953</v>
      </c>
      <c r="C40" s="59">
        <f ca="1"/>
        <v>4.4508185500000002</v>
      </c>
      <c r="D40" s="58">
        <f ca="1"/>
        <v>4.4508185500000002</v>
      </c>
      <c r="E40" s="57">
        <f ca="1"/>
        <v>0</v>
      </c>
      <c r="F40" s="60">
        <f ca="1"/>
        <v>3</v>
      </c>
      <c r="G40" s="60">
        <f ca="1"/>
        <v>3</v>
      </c>
      <c r="H40" s="60">
        <f ca="1"/>
        <v>0</v>
      </c>
      <c r="I40" s="60">
        <f ca="1"/>
        <v>0</v>
      </c>
      <c r="J40" s="60">
        <f ca="1"/>
        <v>0</v>
      </c>
      <c r="K40" s="60">
        <f ca="1"/>
        <v>-0.01</v>
      </c>
    </row>
    <row r="41" spans="1:11" x14ac:dyDescent="0.2">
      <c r="A41" s="58" t="str">
        <f ca="1"/>
        <v>ANKR</v>
      </c>
      <c r="B41" s="58">
        <f ca="1"/>
        <v>5.9569230000000001E-2</v>
      </c>
      <c r="C41" s="59">
        <f ca="1"/>
        <v>25.615779320000001</v>
      </c>
      <c r="D41" s="58">
        <f ca="1"/>
        <v>25.615779329999999</v>
      </c>
      <c r="E41" s="57">
        <f ca="1"/>
        <v>0</v>
      </c>
      <c r="F41" s="60">
        <f ca="1"/>
        <v>4</v>
      </c>
      <c r="G41" s="60">
        <f ca="1"/>
        <v>4</v>
      </c>
      <c r="H41" s="60">
        <f ca="1"/>
        <v>0</v>
      </c>
      <c r="I41" s="60">
        <f ca="1"/>
        <v>0</v>
      </c>
      <c r="J41" s="60">
        <f ca="1"/>
        <v>0</v>
      </c>
      <c r="K41" s="60">
        <f ca="1"/>
        <v>-0.14000000000000001</v>
      </c>
    </row>
    <row r="42" spans="1:11" x14ac:dyDescent="0.2">
      <c r="A42" s="58" t="str">
        <f ca="1"/>
        <v>CLV</v>
      </c>
      <c r="B42" s="58">
        <f ca="1"/>
        <v>0.10456288</v>
      </c>
      <c r="C42" s="59">
        <f ca="1"/>
        <v>4.3668122</v>
      </c>
      <c r="D42" s="58">
        <f ca="1"/>
        <v>4.3668122199999999</v>
      </c>
      <c r="E42" s="57">
        <f ca="1"/>
        <v>0</v>
      </c>
      <c r="F42" s="60">
        <f ca="1"/>
        <v>5</v>
      </c>
      <c r="G42" s="60">
        <f ca="1"/>
        <v>5</v>
      </c>
      <c r="H42" s="60">
        <f ca="1"/>
        <v>0</v>
      </c>
      <c r="I42" s="60">
        <f ca="1"/>
        <v>0</v>
      </c>
      <c r="J42" s="60">
        <f ca="1"/>
        <v>0</v>
      </c>
      <c r="K42" s="60">
        <f ca="1"/>
        <v>-0.13</v>
      </c>
    </row>
    <row r="43" spans="1:11" x14ac:dyDescent="0.2">
      <c r="D43" s="52"/>
    </row>
  </sheetData>
  <conditionalFormatting sqref="C1:E1048576">
    <cfRule type="notContainsBlanks" dxfId="4" priority="5">
      <formula>LEN(TRIM(C1))&gt;0</formula>
    </cfRule>
  </conditionalFormatting>
  <conditionalFormatting sqref="F1:I1048576">
    <cfRule type="notContainsBlanks" dxfId="3" priority="8">
      <formula>LEN(TRIM(F1))&gt;0</formula>
    </cfRule>
  </conditionalFormatting>
  <conditionalFormatting sqref="J1:J42">
    <cfRule type="notContainsBlanks" dxfId="2" priority="7">
      <formula>LEN(TRIM(J1))&gt;0</formula>
    </cfRule>
  </conditionalFormatting>
  <conditionalFormatting sqref="A1:B1048576">
    <cfRule type="notContainsBlanks" dxfId="1" priority="2">
      <formula>LEN(TRIM(A1))&gt;0</formula>
    </cfRule>
  </conditionalFormatting>
  <conditionalFormatting sqref="K1:K1048576">
    <cfRule type="notContainsBlanks" dxfId="0" priority="1">
      <formula>LEN(TRIM(K1))&gt;0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2292-3618-A846-A8C7-5C1DBC17F45F}">
  <sheetPr codeName="Sheet10"/>
  <dimension ref="A1:H15"/>
  <sheetViews>
    <sheetView tabSelected="1" zoomScale="125" workbookViewId="0">
      <selection activeCell="E22" sqref="E22"/>
    </sheetView>
  </sheetViews>
  <sheetFormatPr baseColWidth="10" defaultRowHeight="16" x14ac:dyDescent="0.2"/>
  <cols>
    <col min="1" max="2" width="15.5703125" customWidth="1"/>
    <col min="3" max="3" width="15.42578125" customWidth="1"/>
    <col min="4" max="4" width="12.28515625" customWidth="1"/>
    <col min="5" max="5" width="24.5703125" style="285" customWidth="1"/>
    <col min="6" max="6" width="12.85546875" style="285" customWidth="1"/>
    <col min="7" max="7" width="11.140625" style="285" customWidth="1"/>
  </cols>
  <sheetData>
    <row r="1" spans="1:8" s="283" customFormat="1" x14ac:dyDescent="0.2">
      <c r="A1" s="283" t="s">
        <v>74</v>
      </c>
      <c r="B1" s="283" t="s">
        <v>84</v>
      </c>
      <c r="C1" s="283" t="s">
        <v>141</v>
      </c>
      <c r="D1" s="283" t="s">
        <v>142</v>
      </c>
      <c r="E1" s="284" t="s">
        <v>143</v>
      </c>
      <c r="F1" s="284" t="s">
        <v>82</v>
      </c>
      <c r="G1" s="284" t="s">
        <v>144</v>
      </c>
      <c r="H1" s="283" t="s">
        <v>145</v>
      </c>
    </row>
    <row r="2" spans="1:8" x14ac:dyDescent="0.2">
      <c r="A2" s="40" t="s">
        <v>41</v>
      </c>
      <c r="B2" s="40">
        <v>2.669E-5</v>
      </c>
      <c r="C2" s="78">
        <v>45140</v>
      </c>
      <c r="D2" s="78">
        <v>45140</v>
      </c>
      <c r="E2" s="285">
        <v>0.78</v>
      </c>
      <c r="F2" s="285">
        <v>0.79</v>
      </c>
      <c r="G2" s="285">
        <f>E2-F2</f>
        <v>-1.0000000000000009E-2</v>
      </c>
      <c r="H2" t="str">
        <f>IF(D2-C2 &gt; 365, "LONG", "SHORT")</f>
        <v>SHORT</v>
      </c>
    </row>
    <row r="3" spans="1:8" x14ac:dyDescent="0.2">
      <c r="A3" t="s">
        <v>41</v>
      </c>
      <c r="B3">
        <v>3.2610999999999998E-3</v>
      </c>
      <c r="C3" s="78">
        <v>45140</v>
      </c>
      <c r="D3" s="78">
        <v>45140</v>
      </c>
      <c r="E3" s="285">
        <v>94.96</v>
      </c>
      <c r="F3" s="285">
        <v>95.98</v>
      </c>
      <c r="G3" s="285">
        <f t="shared" ref="G3:G15" si="0">E3-F3</f>
        <v>-1.0200000000000102</v>
      </c>
      <c r="H3" t="str">
        <f t="shared" ref="H3:H15" si="1">IF(D3-C3 &gt; 365, "LONG", "SHORT")</f>
        <v>SHORT</v>
      </c>
    </row>
    <row r="4" spans="1:8" x14ac:dyDescent="0.2">
      <c r="A4" t="s">
        <v>41</v>
      </c>
      <c r="B4">
        <v>1.1001E-4</v>
      </c>
      <c r="C4" s="78">
        <v>45140</v>
      </c>
      <c r="D4" s="78">
        <v>45141</v>
      </c>
      <c r="E4" s="285">
        <v>3.17</v>
      </c>
      <c r="F4" s="285">
        <v>3.24</v>
      </c>
      <c r="G4" s="285">
        <f t="shared" si="0"/>
        <v>-7.0000000000000284E-2</v>
      </c>
      <c r="H4" t="str">
        <f t="shared" si="1"/>
        <v>SHORT</v>
      </c>
    </row>
    <row r="5" spans="1:8" x14ac:dyDescent="0.2">
      <c r="A5" t="s">
        <v>48</v>
      </c>
      <c r="B5">
        <v>33.367037410000002</v>
      </c>
      <c r="C5" s="78">
        <v>45006</v>
      </c>
      <c r="D5" s="78">
        <v>45006</v>
      </c>
      <c r="E5" s="285">
        <v>194.96</v>
      </c>
      <c r="F5" s="285">
        <v>200</v>
      </c>
      <c r="G5" s="285">
        <f t="shared" si="0"/>
        <v>-5.039999999999992</v>
      </c>
      <c r="H5" t="str">
        <f t="shared" si="1"/>
        <v>SHORT</v>
      </c>
    </row>
    <row r="6" spans="1:8" x14ac:dyDescent="0.2">
      <c r="A6" t="s">
        <v>42</v>
      </c>
      <c r="B6">
        <v>3.17769331</v>
      </c>
      <c r="C6" s="78">
        <v>44886</v>
      </c>
      <c r="D6" s="78">
        <v>44987</v>
      </c>
      <c r="E6" s="285">
        <v>23.08</v>
      </c>
      <c r="F6" s="285">
        <v>20</v>
      </c>
      <c r="G6" s="285">
        <f t="shared" si="0"/>
        <v>3.0799999999999983</v>
      </c>
      <c r="H6" t="str">
        <f t="shared" si="1"/>
        <v>SHORT</v>
      </c>
    </row>
    <row r="7" spans="1:8" x14ac:dyDescent="0.2">
      <c r="A7" t="s">
        <v>42</v>
      </c>
      <c r="B7">
        <v>2.9604284399999998</v>
      </c>
      <c r="C7" s="78">
        <v>44893</v>
      </c>
      <c r="D7" s="78">
        <v>44987</v>
      </c>
      <c r="E7" s="285">
        <v>21.5</v>
      </c>
      <c r="F7" s="285">
        <v>20</v>
      </c>
      <c r="G7" s="285">
        <f t="shared" si="0"/>
        <v>1.5</v>
      </c>
      <c r="H7" t="str">
        <f t="shared" si="1"/>
        <v>SHORT</v>
      </c>
    </row>
    <row r="8" spans="1:8" x14ac:dyDescent="0.2">
      <c r="A8" t="s">
        <v>42</v>
      </c>
      <c r="B8">
        <v>2.64100863</v>
      </c>
      <c r="C8" s="78">
        <v>44900</v>
      </c>
      <c r="D8" s="78">
        <v>44987</v>
      </c>
      <c r="E8" s="285">
        <v>19.18</v>
      </c>
      <c r="F8" s="285">
        <v>20</v>
      </c>
      <c r="G8" s="285">
        <f t="shared" si="0"/>
        <v>-0.82000000000000028</v>
      </c>
      <c r="H8" t="str">
        <f t="shared" si="1"/>
        <v>SHORT</v>
      </c>
    </row>
    <row r="9" spans="1:8" x14ac:dyDescent="0.2">
      <c r="A9" t="s">
        <v>42</v>
      </c>
      <c r="B9">
        <v>2.5693987200000001</v>
      </c>
      <c r="C9" s="78">
        <v>44958</v>
      </c>
      <c r="D9" s="78">
        <v>44987</v>
      </c>
      <c r="E9" s="285">
        <v>18.66</v>
      </c>
      <c r="F9" s="285">
        <v>20</v>
      </c>
      <c r="G9" s="285">
        <f t="shared" si="0"/>
        <v>-1.3399999999999999</v>
      </c>
      <c r="H9" t="str">
        <f t="shared" si="1"/>
        <v>SHORT</v>
      </c>
    </row>
    <row r="10" spans="1:8" x14ac:dyDescent="0.2">
      <c r="A10" t="s">
        <v>42</v>
      </c>
      <c r="B10">
        <v>13.39468619</v>
      </c>
      <c r="C10" s="78">
        <v>44966</v>
      </c>
      <c r="D10" s="78">
        <v>44987</v>
      </c>
      <c r="E10" s="285">
        <v>97.28</v>
      </c>
      <c r="F10" s="285">
        <v>100</v>
      </c>
      <c r="G10" s="285">
        <f t="shared" si="0"/>
        <v>-2.7199999999999989</v>
      </c>
      <c r="H10" t="str">
        <f t="shared" si="1"/>
        <v>SHORT</v>
      </c>
    </row>
    <row r="11" spans="1:8" x14ac:dyDescent="0.2">
      <c r="A11" t="s">
        <v>42</v>
      </c>
      <c r="B11">
        <v>2.63709192</v>
      </c>
      <c r="C11" s="78">
        <v>44966</v>
      </c>
      <c r="D11" s="78">
        <v>44987</v>
      </c>
      <c r="E11" s="285">
        <v>19.149999999999999</v>
      </c>
      <c r="F11" s="285">
        <v>20</v>
      </c>
      <c r="G11" s="285">
        <f t="shared" si="0"/>
        <v>-0.85000000000000142</v>
      </c>
      <c r="H11" t="str">
        <f t="shared" si="1"/>
        <v>SHORT</v>
      </c>
    </row>
    <row r="12" spans="1:8" x14ac:dyDescent="0.2">
      <c r="A12" t="s">
        <v>42</v>
      </c>
      <c r="B12">
        <v>13.799135100000001</v>
      </c>
      <c r="C12" s="78">
        <v>44967</v>
      </c>
      <c r="D12" s="78">
        <v>44987</v>
      </c>
      <c r="E12" s="285">
        <v>100.22</v>
      </c>
      <c r="F12" s="285">
        <v>100</v>
      </c>
      <c r="G12" s="285">
        <f t="shared" si="0"/>
        <v>0.21999999999999886</v>
      </c>
      <c r="H12" t="str">
        <f t="shared" si="1"/>
        <v>SHORT</v>
      </c>
    </row>
    <row r="13" spans="1:8" x14ac:dyDescent="0.2">
      <c r="A13" t="s">
        <v>42</v>
      </c>
      <c r="B13">
        <v>28.723336209999999</v>
      </c>
      <c r="C13" s="78">
        <v>44968</v>
      </c>
      <c r="D13" s="78">
        <v>44987</v>
      </c>
      <c r="E13" s="285">
        <v>208.61</v>
      </c>
      <c r="F13" s="285">
        <v>198.03</v>
      </c>
      <c r="G13" s="285">
        <f t="shared" si="0"/>
        <v>10.580000000000013</v>
      </c>
      <c r="H13" t="str">
        <f t="shared" si="1"/>
        <v>SHORT</v>
      </c>
    </row>
    <row r="14" spans="1:8" x14ac:dyDescent="0.2">
      <c r="A14" t="s">
        <v>42</v>
      </c>
      <c r="B14">
        <v>23.956347149999999</v>
      </c>
      <c r="C14" s="78">
        <v>44968</v>
      </c>
      <c r="D14" s="78">
        <v>44987</v>
      </c>
      <c r="E14" s="285">
        <v>173.99</v>
      </c>
      <c r="F14" s="285">
        <v>165.21</v>
      </c>
      <c r="G14" s="285">
        <f t="shared" si="0"/>
        <v>8.7800000000000011</v>
      </c>
      <c r="H14" t="str">
        <f t="shared" si="1"/>
        <v>SHORT</v>
      </c>
    </row>
    <row r="15" spans="1:8" x14ac:dyDescent="0.2">
      <c r="A15" t="s">
        <v>42</v>
      </c>
      <c r="B15">
        <v>13.840589789999999</v>
      </c>
      <c r="C15" s="78">
        <v>44974</v>
      </c>
      <c r="D15" s="78">
        <v>44987</v>
      </c>
      <c r="E15" s="285">
        <v>100.52</v>
      </c>
      <c r="F15" s="285">
        <v>100</v>
      </c>
      <c r="G15" s="285">
        <f t="shared" si="0"/>
        <v>0.51999999999999602</v>
      </c>
      <c r="H15" t="str">
        <f t="shared" si="1"/>
        <v>SHORT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7"/>
  <sheetViews>
    <sheetView zoomScale="68" workbookViewId="0">
      <selection activeCell="X9" sqref="X9"/>
    </sheetView>
  </sheetViews>
  <sheetFormatPr baseColWidth="10" defaultRowHeight="16" x14ac:dyDescent="0.2"/>
  <cols>
    <col min="1" max="1" width="10.7109375" style="39"/>
    <col min="2" max="2" width="13.7109375" style="39" customWidth="1"/>
    <col min="3" max="3" width="11.85546875" style="39" customWidth="1"/>
    <col min="4" max="4" width="10.7109375" style="39"/>
    <col min="5" max="5" width="12.28515625" style="39" customWidth="1"/>
    <col min="6" max="6" width="10.7109375" style="39"/>
    <col min="7" max="7" width="9.28515625" style="39" customWidth="1"/>
    <col min="8" max="8" width="16.85546875" style="39" customWidth="1"/>
    <col min="9" max="9" width="10.85546875" style="39" customWidth="1"/>
    <col min="10" max="10" width="18.7109375" style="39" customWidth="1"/>
    <col min="11" max="11" width="12" style="39" customWidth="1"/>
    <col min="12" max="12" width="13" style="39" customWidth="1"/>
    <col min="13" max="13" width="22" style="39" customWidth="1"/>
    <col min="14" max="14" width="10.7109375" style="39"/>
    <col min="15" max="15" width="19.85546875" style="39" customWidth="1"/>
    <col min="16" max="16" width="17.140625" style="39" customWidth="1"/>
    <col min="17" max="17" width="12.28515625" style="39" customWidth="1"/>
    <col min="18" max="18" width="10.7109375" style="39"/>
    <col min="19" max="19" width="11.42578125" style="39" customWidth="1"/>
    <col min="20" max="20" width="15.42578125" style="39" customWidth="1"/>
    <col min="21" max="24" width="10.7109375" style="39"/>
    <col min="25" max="25" width="18" style="39" customWidth="1"/>
    <col min="26" max="16384" width="10.7109375" style="39"/>
  </cols>
  <sheetData>
    <row r="3" spans="1:39" ht="33" thickBot="1" x14ac:dyDescent="0.4">
      <c r="B3" s="235" t="s">
        <v>140</v>
      </c>
      <c r="C3" s="235"/>
      <c r="D3" s="235"/>
      <c r="E3" s="235"/>
      <c r="H3" s="281" t="s">
        <v>139</v>
      </c>
      <c r="I3" s="280"/>
      <c r="J3" s="280"/>
      <c r="K3" s="280"/>
      <c r="L3" s="280"/>
      <c r="M3" s="279"/>
      <c r="O3" s="278" t="s">
        <v>138</v>
      </c>
      <c r="P3" s="268">
        <f>P4+T4</f>
        <v>4509.3162436719749</v>
      </c>
      <c r="Q3" s="277"/>
      <c r="R3" s="269" t="s">
        <v>137</v>
      </c>
      <c r="S3" s="269"/>
      <c r="T3" s="268">
        <v>50000</v>
      </c>
      <c r="U3" s="276"/>
    </row>
    <row r="4" spans="1:39" ht="34" thickTop="1" thickBot="1" x14ac:dyDescent="0.4">
      <c r="B4" s="275" t="s">
        <v>118</v>
      </c>
      <c r="C4" s="274"/>
      <c r="D4" s="273" t="s">
        <v>117</v>
      </c>
      <c r="E4" s="272"/>
      <c r="H4" s="240" t="s">
        <v>136</v>
      </c>
      <c r="I4" s="239"/>
      <c r="J4" s="240" t="s">
        <v>135</v>
      </c>
      <c r="K4" s="239"/>
      <c r="L4" s="240" t="s">
        <v>134</v>
      </c>
      <c r="M4" s="239"/>
      <c r="N4" s="271"/>
      <c r="O4" s="270" t="s">
        <v>133</v>
      </c>
      <c r="P4" s="268">
        <f>[1]HBAR!M9+[1]XRP!M9</f>
        <v>2297.6657646962576</v>
      </c>
      <c r="Q4" s="268"/>
      <c r="R4" s="269" t="s">
        <v>132</v>
      </c>
      <c r="S4" s="269"/>
      <c r="T4" s="268">
        <f>SUM([1]HBAR!M10:M13)+SUM([1]XRP!M10:M13)</f>
        <v>2211.6504789757173</v>
      </c>
      <c r="U4" s="267"/>
      <c r="Y4" s="55"/>
      <c r="AM4" s="39" t="s">
        <v>131</v>
      </c>
    </row>
    <row r="5" spans="1:39" ht="20" thickTop="1" x14ac:dyDescent="0.2">
      <c r="A5" s="39">
        <v>1</v>
      </c>
      <c r="B5" s="212" t="s">
        <v>130</v>
      </c>
      <c r="C5" s="211"/>
      <c r="D5" s="266">
        <v>0</v>
      </c>
      <c r="E5" s="265"/>
      <c r="H5" s="264">
        <v>12000</v>
      </c>
      <c r="I5" s="263"/>
      <c r="J5" s="264">
        <v>100000</v>
      </c>
      <c r="K5" s="263"/>
      <c r="L5" s="246" t="s">
        <v>129</v>
      </c>
      <c r="M5" s="245"/>
      <c r="X5" s="282"/>
      <c r="AM5" s="39" t="s">
        <v>129</v>
      </c>
    </row>
    <row r="6" spans="1:39" ht="34" customHeight="1" x14ac:dyDescent="0.2">
      <c r="A6" s="262">
        <v>2</v>
      </c>
      <c r="B6" s="261" t="s">
        <v>128</v>
      </c>
      <c r="C6" s="260"/>
      <c r="D6" s="259">
        <v>0.15</v>
      </c>
      <c r="E6" s="258"/>
      <c r="H6" s="257"/>
      <c r="I6" s="256"/>
      <c r="J6" s="257"/>
      <c r="K6" s="256"/>
      <c r="L6" s="244"/>
      <c r="M6" s="243"/>
      <c r="O6" s="255" t="s">
        <v>114</v>
      </c>
      <c r="P6" s="254"/>
      <c r="Q6" s="254"/>
      <c r="R6" s="216"/>
      <c r="S6" s="216"/>
      <c r="T6" s="216"/>
      <c r="U6" s="215"/>
    </row>
    <row r="7" spans="1:39" ht="26" thickBot="1" x14ac:dyDescent="0.3">
      <c r="A7" s="39">
        <v>3</v>
      </c>
      <c r="B7" s="253" t="s">
        <v>127</v>
      </c>
      <c r="C7" s="252"/>
      <c r="D7" s="251">
        <v>0.2</v>
      </c>
      <c r="E7" s="250"/>
      <c r="H7" s="240" t="s">
        <v>126</v>
      </c>
      <c r="I7" s="239"/>
      <c r="J7" s="240" t="s">
        <v>125</v>
      </c>
      <c r="K7" s="239"/>
      <c r="L7" s="240" t="s">
        <v>124</v>
      </c>
      <c r="M7" s="239"/>
      <c r="O7" s="249" t="s">
        <v>106</v>
      </c>
      <c r="P7" s="248" t="s">
        <v>105</v>
      </c>
      <c r="Q7" s="248"/>
      <c r="R7" s="248" t="s">
        <v>104</v>
      </c>
      <c r="S7" s="248"/>
      <c r="T7" s="248" t="s">
        <v>103</v>
      </c>
      <c r="U7" s="247"/>
    </row>
    <row r="8" spans="1:39" ht="24" thickTop="1" x14ac:dyDescent="0.25">
      <c r="H8" s="246" t="s">
        <v>123</v>
      </c>
      <c r="I8" s="245"/>
      <c r="J8" s="234">
        <v>50000</v>
      </c>
      <c r="K8" s="233"/>
      <c r="L8" s="246" t="s">
        <v>122</v>
      </c>
      <c r="M8" s="245"/>
      <c r="O8" s="195" t="s">
        <v>100</v>
      </c>
      <c r="P8" s="194">
        <f>IF(T4=0, 0.05, 0.085)</f>
        <v>8.5000000000000006E-2</v>
      </c>
      <c r="Q8" s="194"/>
      <c r="R8" s="202">
        <f>T8/P3</f>
        <v>6.7166187195847743E-2</v>
      </c>
      <c r="S8" s="202"/>
      <c r="T8" s="242">
        <f>(0.05*P4)+(0.085*T4)</f>
        <v>302.87357894774885</v>
      </c>
      <c r="U8" s="241"/>
      <c r="X8" s="282"/>
    </row>
    <row r="9" spans="1:39" ht="23" x14ac:dyDescent="0.25">
      <c r="H9" s="244"/>
      <c r="I9" s="243"/>
      <c r="J9" s="226"/>
      <c r="K9" s="225"/>
      <c r="L9" s="244"/>
      <c r="M9" s="243"/>
      <c r="O9" s="195" t="s">
        <v>98</v>
      </c>
      <c r="P9" s="194">
        <f>IF(O25&gt;O26,O25,O26)</f>
        <v>0.12</v>
      </c>
      <c r="Q9" s="194"/>
      <c r="R9" s="194">
        <f>T9/P3</f>
        <v>5.8855499516681509E-2</v>
      </c>
      <c r="S9" s="194"/>
      <c r="T9" s="242">
        <f>Q25+Q26</f>
        <v>265.39805999999999</v>
      </c>
      <c r="U9" s="241"/>
      <c r="X9" s="282"/>
    </row>
    <row r="10" spans="1:39" ht="25" x14ac:dyDescent="0.25">
      <c r="H10" s="240" t="s">
        <v>121</v>
      </c>
      <c r="I10" s="239"/>
      <c r="J10" s="240" t="s">
        <v>118</v>
      </c>
      <c r="K10" s="239"/>
      <c r="L10" s="240" t="s">
        <v>120</v>
      </c>
      <c r="M10" s="239"/>
      <c r="O10" s="238"/>
      <c r="P10" s="237"/>
      <c r="Q10" s="237"/>
      <c r="R10" s="237"/>
      <c r="S10" s="237"/>
      <c r="T10" s="237"/>
      <c r="U10" s="236"/>
    </row>
    <row r="11" spans="1:39" ht="26" thickBot="1" x14ac:dyDescent="0.3">
      <c r="B11" s="235" t="s">
        <v>119</v>
      </c>
      <c r="C11" s="235"/>
      <c r="D11" s="235"/>
      <c r="E11" s="235"/>
      <c r="H11" s="234">
        <f>J8+J5-H5</f>
        <v>138000</v>
      </c>
      <c r="I11" s="233"/>
      <c r="J11" s="234">
        <f>H11-B22</f>
        <v>123400</v>
      </c>
      <c r="K11" s="233"/>
      <c r="L11" s="234">
        <f>J5-H5</f>
        <v>88000</v>
      </c>
      <c r="M11" s="233"/>
      <c r="O11" s="175" t="s">
        <v>96</v>
      </c>
      <c r="P11" s="174"/>
      <c r="Q11" s="173"/>
      <c r="R11" s="173"/>
      <c r="S11" s="173"/>
      <c r="T11" s="232">
        <f>T8+T9</f>
        <v>568.2716389477489</v>
      </c>
      <c r="U11" s="231"/>
    </row>
    <row r="12" spans="1:39" ht="27" thickTop="1" thickBot="1" x14ac:dyDescent="0.3">
      <c r="B12" s="230" t="s">
        <v>118</v>
      </c>
      <c r="C12" s="229"/>
      <c r="D12" s="228" t="s">
        <v>117</v>
      </c>
      <c r="E12" s="227"/>
      <c r="H12" s="226"/>
      <c r="I12" s="225"/>
      <c r="J12" s="226"/>
      <c r="K12" s="225"/>
      <c r="L12" s="226"/>
      <c r="M12" s="225"/>
      <c r="O12" s="224" t="s">
        <v>95</v>
      </c>
      <c r="P12" s="167"/>
      <c r="Q12" s="167"/>
      <c r="R12" s="167"/>
      <c r="S12" s="167"/>
      <c r="T12" s="223">
        <f>P3-T11</f>
        <v>3941.0446047242258</v>
      </c>
      <c r="U12" s="222"/>
    </row>
    <row r="13" spans="1:39" ht="29" customHeight="1" thickTop="1" x14ac:dyDescent="0.2">
      <c r="A13" s="39">
        <v>1</v>
      </c>
      <c r="B13" s="212" t="s">
        <v>116</v>
      </c>
      <c r="C13" s="211"/>
      <c r="D13" s="197">
        <v>0.1</v>
      </c>
      <c r="E13" s="196"/>
      <c r="H13" s="221"/>
      <c r="I13" s="220"/>
      <c r="J13" s="219"/>
      <c r="K13" s="219"/>
      <c r="L13" s="219"/>
      <c r="M13" s="219"/>
    </row>
    <row r="14" spans="1:39" ht="32" customHeight="1" x14ac:dyDescent="0.25">
      <c r="A14" s="39">
        <v>2</v>
      </c>
      <c r="B14" s="204" t="s">
        <v>115</v>
      </c>
      <c r="C14" s="203"/>
      <c r="D14" s="187">
        <v>0.12</v>
      </c>
      <c r="E14" s="186"/>
      <c r="H14" s="218" t="s">
        <v>114</v>
      </c>
      <c r="I14" s="217"/>
      <c r="J14" s="217"/>
      <c r="K14" s="216"/>
      <c r="L14" s="216"/>
      <c r="M14" s="215"/>
      <c r="O14" s="214" t="s">
        <v>107</v>
      </c>
      <c r="P14" s="213"/>
      <c r="Q14" s="213"/>
      <c r="R14" s="159"/>
      <c r="S14" s="159"/>
      <c r="T14" s="159"/>
      <c r="U14" s="158"/>
    </row>
    <row r="15" spans="1:39" ht="23" x14ac:dyDescent="0.25">
      <c r="A15" s="39">
        <v>3</v>
      </c>
      <c r="B15" s="212" t="s">
        <v>113</v>
      </c>
      <c r="C15" s="211"/>
      <c r="D15" s="197">
        <v>0.22</v>
      </c>
      <c r="E15" s="196"/>
      <c r="H15" s="210" t="s">
        <v>106</v>
      </c>
      <c r="I15" s="209" t="s">
        <v>105</v>
      </c>
      <c r="J15" s="209"/>
      <c r="K15" s="209" t="s">
        <v>104</v>
      </c>
      <c r="L15" s="209"/>
      <c r="M15" s="208" t="s">
        <v>103</v>
      </c>
      <c r="O15" s="207" t="s">
        <v>106</v>
      </c>
      <c r="P15" s="206" t="s">
        <v>105</v>
      </c>
      <c r="Q15" s="206"/>
      <c r="R15" s="206" t="s">
        <v>104</v>
      </c>
      <c r="S15" s="206"/>
      <c r="T15" s="206" t="s">
        <v>103</v>
      </c>
      <c r="U15" s="205"/>
    </row>
    <row r="16" spans="1:39" ht="23" x14ac:dyDescent="0.25">
      <c r="A16" s="39">
        <v>4</v>
      </c>
      <c r="B16" s="204" t="s">
        <v>112</v>
      </c>
      <c r="C16" s="203"/>
      <c r="D16" s="187">
        <v>0.24</v>
      </c>
      <c r="E16" s="186"/>
      <c r="H16" s="195" t="s">
        <v>100</v>
      </c>
      <c r="I16" s="194">
        <f>IF(L5="More than a year", C25,C26)</f>
        <v>8.5000000000000006E-2</v>
      </c>
      <c r="J16" s="194"/>
      <c r="K16" s="202">
        <f>I16</f>
        <v>8.5000000000000006E-2</v>
      </c>
      <c r="L16" s="202"/>
      <c r="M16" s="193">
        <f>IF(L5="More than a year", (J5-H5)*C25,(J5-H5)*C26)</f>
        <v>7480.0000000000009</v>
      </c>
      <c r="O16" s="192" t="s">
        <v>100</v>
      </c>
      <c r="P16" s="146">
        <f>C25</f>
        <v>0.05</v>
      </c>
      <c r="Q16" s="146"/>
      <c r="R16" s="152">
        <f>C25</f>
        <v>0.05</v>
      </c>
      <c r="S16" s="151"/>
      <c r="T16" s="201">
        <f>P16*J8</f>
        <v>2500</v>
      </c>
      <c r="U16" s="200"/>
    </row>
    <row r="17" spans="1:21" ht="23" x14ac:dyDescent="0.25">
      <c r="A17" s="39">
        <v>5</v>
      </c>
      <c r="B17" s="199" t="s">
        <v>111</v>
      </c>
      <c r="C17" s="198"/>
      <c r="D17" s="197">
        <v>0.32</v>
      </c>
      <c r="E17" s="196"/>
      <c r="H17" s="195" t="s">
        <v>98</v>
      </c>
      <c r="I17" s="194">
        <f>H36</f>
        <v>0.24</v>
      </c>
      <c r="J17" s="194"/>
      <c r="K17" s="194">
        <f>I36</f>
        <v>0.21184659090909091</v>
      </c>
      <c r="L17" s="194"/>
      <c r="M17" s="193">
        <f>J36</f>
        <v>18642.5</v>
      </c>
      <c r="O17" s="192" t="s">
        <v>98</v>
      </c>
      <c r="P17" s="146">
        <f>H35</f>
        <v>0.12</v>
      </c>
      <c r="Q17" s="146"/>
      <c r="R17" s="146">
        <f>I35</f>
        <v>8.0320000000000003E-2</v>
      </c>
      <c r="S17" s="146"/>
      <c r="T17" s="191">
        <f>J35</f>
        <v>4016</v>
      </c>
      <c r="U17" s="190"/>
    </row>
    <row r="18" spans="1:21" ht="19" x14ac:dyDescent="0.2">
      <c r="A18" s="39">
        <v>6</v>
      </c>
      <c r="B18" s="189" t="s">
        <v>110</v>
      </c>
      <c r="C18" s="188"/>
      <c r="D18" s="187">
        <v>0.35</v>
      </c>
      <c r="E18" s="186"/>
      <c r="H18" s="185"/>
      <c r="I18" s="184"/>
      <c r="J18" s="184"/>
      <c r="K18" s="184"/>
      <c r="L18" s="184"/>
      <c r="M18" s="183"/>
      <c r="O18" s="182"/>
      <c r="P18" s="181"/>
      <c r="Q18" s="181"/>
      <c r="R18" s="181"/>
      <c r="S18" s="181"/>
      <c r="T18" s="181"/>
      <c r="U18" s="180"/>
    </row>
    <row r="19" spans="1:21" ht="26" thickBot="1" x14ac:dyDescent="0.3">
      <c r="A19" s="39">
        <v>7</v>
      </c>
      <c r="B19" s="179" t="s">
        <v>109</v>
      </c>
      <c r="C19" s="178"/>
      <c r="D19" s="177">
        <v>0.37</v>
      </c>
      <c r="E19" s="176"/>
      <c r="H19" s="175" t="s">
        <v>96</v>
      </c>
      <c r="I19" s="174"/>
      <c r="J19" s="173"/>
      <c r="K19" s="173"/>
      <c r="L19" s="173"/>
      <c r="M19" s="172">
        <f>M16+M17</f>
        <v>26122.5</v>
      </c>
      <c r="O19" s="139" t="s">
        <v>96</v>
      </c>
      <c r="P19" s="138"/>
      <c r="Q19" s="138"/>
      <c r="R19" s="137"/>
      <c r="S19" s="137"/>
      <c r="T19" s="171">
        <f>T16+T17</f>
        <v>6516</v>
      </c>
      <c r="U19" s="170"/>
    </row>
    <row r="20" spans="1:21" ht="26" thickTop="1" x14ac:dyDescent="0.25">
      <c r="H20" s="169" t="s">
        <v>95</v>
      </c>
      <c r="I20" s="168"/>
      <c r="J20" s="167"/>
      <c r="K20" s="167"/>
      <c r="L20" s="167"/>
      <c r="M20" s="166">
        <f>L11-M19</f>
        <v>61877.5</v>
      </c>
      <c r="O20" s="135" t="s">
        <v>95</v>
      </c>
      <c r="P20" s="134"/>
      <c r="Q20" s="134"/>
      <c r="R20" s="133"/>
      <c r="S20" s="133"/>
      <c r="T20" s="165">
        <f>J8-T19</f>
        <v>43484</v>
      </c>
      <c r="U20" s="164"/>
    </row>
    <row r="21" spans="1:21" ht="33" customHeight="1" x14ac:dyDescent="0.25">
      <c r="B21" s="163" t="s">
        <v>108</v>
      </c>
      <c r="C21" s="163"/>
      <c r="D21" s="163"/>
      <c r="E21" s="163"/>
    </row>
    <row r="22" spans="1:21" ht="25" x14ac:dyDescent="0.25">
      <c r="B22" s="162">
        <v>14600</v>
      </c>
      <c r="C22" s="162"/>
      <c r="D22" s="162"/>
      <c r="H22" s="161" t="s">
        <v>107</v>
      </c>
      <c r="I22" s="160"/>
      <c r="J22" s="160"/>
      <c r="K22" s="159"/>
      <c r="L22" s="159"/>
      <c r="M22" s="158"/>
      <c r="O22" s="129" t="s">
        <v>94</v>
      </c>
      <c r="P22" s="128"/>
      <c r="Q22" s="128"/>
      <c r="R22" s="128"/>
      <c r="S22" s="128"/>
      <c r="T22" s="127">
        <f>T19+T11</f>
        <v>7084.2716389477491</v>
      </c>
      <c r="U22" s="157"/>
    </row>
    <row r="23" spans="1:21" ht="25" x14ac:dyDescent="0.25">
      <c r="H23" s="156" t="s">
        <v>106</v>
      </c>
      <c r="I23" s="155" t="s">
        <v>105</v>
      </c>
      <c r="J23" s="155"/>
      <c r="K23" s="155" t="s">
        <v>104</v>
      </c>
      <c r="L23" s="155"/>
      <c r="M23" s="154" t="s">
        <v>103</v>
      </c>
      <c r="O23" s="125" t="s">
        <v>102</v>
      </c>
      <c r="P23" s="124"/>
      <c r="Q23" s="124"/>
      <c r="R23" s="124"/>
      <c r="S23" s="124"/>
      <c r="T23" s="123">
        <f>J8+P3-T22</f>
        <v>47425.044604724222</v>
      </c>
      <c r="U23" s="122"/>
    </row>
    <row r="24" spans="1:21" ht="23" x14ac:dyDescent="0.25">
      <c r="B24" s="153" t="s">
        <v>101</v>
      </c>
      <c r="C24" s="153"/>
      <c r="H24" s="147" t="s">
        <v>100</v>
      </c>
      <c r="I24" s="146">
        <f>C25</f>
        <v>0.05</v>
      </c>
      <c r="J24" s="146"/>
      <c r="K24" s="152">
        <f>C25</f>
        <v>0.05</v>
      </c>
      <c r="L24" s="151"/>
      <c r="M24" s="150">
        <f>I24*J8</f>
        <v>2500</v>
      </c>
      <c r="O24" s="149"/>
      <c r="P24" s="149"/>
      <c r="Q24" s="149"/>
      <c r="R24" s="149"/>
    </row>
    <row r="25" spans="1:21" ht="23" x14ac:dyDescent="0.25">
      <c r="B25" s="141" t="s">
        <v>99</v>
      </c>
      <c r="C25" s="148">
        <v>0.05</v>
      </c>
      <c r="H25" s="147" t="s">
        <v>98</v>
      </c>
      <c r="I25" s="146">
        <f>H35</f>
        <v>0.12</v>
      </c>
      <c r="J25" s="146"/>
      <c r="K25" s="146">
        <f>I35</f>
        <v>8.0320000000000003E-2</v>
      </c>
      <c r="L25" s="146"/>
      <c r="M25" s="145">
        <f>J35</f>
        <v>4016</v>
      </c>
      <c r="O25" s="76" cm="1">
        <f t="array" ref="O25:Q25">capitalGainsTax(T4,T3-B22,"Less than a year")</f>
        <v>0.12</v>
      </c>
      <c r="P25" s="76">
        <v>0.11999999999999998</v>
      </c>
      <c r="Q25" s="76">
        <v>265.39805999999999</v>
      </c>
    </row>
    <row r="26" spans="1:21" ht="19" x14ac:dyDescent="0.2">
      <c r="B26" s="144" t="s">
        <v>97</v>
      </c>
      <c r="C26" s="143">
        <v>8.5000000000000006E-2</v>
      </c>
      <c r="H26" s="142"/>
      <c r="I26" s="141"/>
      <c r="J26" s="141"/>
      <c r="K26" s="141"/>
      <c r="L26" s="141"/>
      <c r="M26" s="140"/>
      <c r="O26" s="76" cm="1">
        <f t="array" ref="O26:Q26">capitalGainsTax(P4,T3-B22,"More than a year")</f>
        <v>0</v>
      </c>
      <c r="P26" s="76">
        <v>0</v>
      </c>
      <c r="Q26" s="76">
        <v>0</v>
      </c>
    </row>
    <row r="27" spans="1:21" ht="25" x14ac:dyDescent="0.25">
      <c r="H27" s="139" t="s">
        <v>96</v>
      </c>
      <c r="I27" s="138"/>
      <c r="J27" s="138"/>
      <c r="K27" s="137"/>
      <c r="L27" s="137"/>
      <c r="M27" s="136">
        <f>M24+M25</f>
        <v>6516</v>
      </c>
    </row>
    <row r="28" spans="1:21" ht="25" x14ac:dyDescent="0.25">
      <c r="H28" s="135" t="s">
        <v>95</v>
      </c>
      <c r="I28" s="134"/>
      <c r="J28" s="134"/>
      <c r="K28" s="133"/>
      <c r="L28" s="133"/>
      <c r="M28" s="132">
        <f>J8-M27</f>
        <v>43484</v>
      </c>
    </row>
    <row r="30" spans="1:21" ht="25" x14ac:dyDescent="0.25">
      <c r="M30" s="131"/>
      <c r="N30" s="130"/>
    </row>
    <row r="31" spans="1:21" ht="25" x14ac:dyDescent="0.25">
      <c r="H31" s="129" t="s">
        <v>94</v>
      </c>
      <c r="I31" s="128"/>
      <c r="J31" s="128"/>
      <c r="K31" s="128"/>
      <c r="L31" s="127">
        <f>M27+M19</f>
        <v>32638.5</v>
      </c>
      <c r="M31" s="127"/>
      <c r="N31" s="126"/>
    </row>
    <row r="32" spans="1:21" ht="25" x14ac:dyDescent="0.25">
      <c r="H32" s="125" t="s">
        <v>93</v>
      </c>
      <c r="I32" s="124"/>
      <c r="J32" s="124"/>
      <c r="K32" s="124"/>
      <c r="L32" s="123">
        <f>H11-L31</f>
        <v>105361.5</v>
      </c>
      <c r="M32" s="122"/>
    </row>
    <row r="35" spans="8:13" x14ac:dyDescent="0.2">
      <c r="H35" s="76" cm="1">
        <f t="array" ref="H35:J35">regularWageTax(J11-L11)</f>
        <v>0.12</v>
      </c>
      <c r="I35" s="76">
        <v>8.0320000000000003E-2</v>
      </c>
      <c r="J35" s="76">
        <v>4016</v>
      </c>
    </row>
    <row r="36" spans="8:13" x14ac:dyDescent="0.2">
      <c r="H36" s="76" cm="1">
        <f t="array" ref="H36:J36">capitalGainsTax(L11,J11-L11,L5)</f>
        <v>0.24</v>
      </c>
      <c r="I36" s="76">
        <v>0.21184659090909091</v>
      </c>
      <c r="J36" s="76">
        <v>18642.5</v>
      </c>
    </row>
    <row r="37" spans="8:13" x14ac:dyDescent="0.2">
      <c r="K37" s="282"/>
      <c r="L37" s="282"/>
      <c r="M37" s="282"/>
    </row>
  </sheetData>
  <mergeCells count="103">
    <mergeCell ref="B24:C24"/>
    <mergeCell ref="J7:K7"/>
    <mergeCell ref="H22:J22"/>
    <mergeCell ref="I23:J23"/>
    <mergeCell ref="K23:L23"/>
    <mergeCell ref="I24:J24"/>
    <mergeCell ref="B11:E11"/>
    <mergeCell ref="B12:C12"/>
    <mergeCell ref="B13:C13"/>
    <mergeCell ref="B6:C6"/>
    <mergeCell ref="D13:E13"/>
    <mergeCell ref="D14:E14"/>
    <mergeCell ref="B7:C7"/>
    <mergeCell ref="D12:E12"/>
    <mergeCell ref="H27:J27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B18:C18"/>
    <mergeCell ref="I17:J17"/>
    <mergeCell ref="K15:L15"/>
    <mergeCell ref="H19:I19"/>
    <mergeCell ref="D15:E15"/>
    <mergeCell ref="D16:E16"/>
    <mergeCell ref="K24:L24"/>
    <mergeCell ref="H14:J14"/>
    <mergeCell ref="B21:E21"/>
    <mergeCell ref="B22:D22"/>
    <mergeCell ref="D17:E17"/>
    <mergeCell ref="D18:E18"/>
    <mergeCell ref="D19:E19"/>
    <mergeCell ref="B19:C19"/>
    <mergeCell ref="B14:C14"/>
    <mergeCell ref="B15:C15"/>
    <mergeCell ref="J5:K6"/>
    <mergeCell ref="H28:J28"/>
    <mergeCell ref="H20:I20"/>
    <mergeCell ref="K25:L25"/>
    <mergeCell ref="H8:I9"/>
    <mergeCell ref="J8:K9"/>
    <mergeCell ref="L8:M9"/>
    <mergeCell ref="I16:J16"/>
    <mergeCell ref="I25:J25"/>
    <mergeCell ref="I15:J15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P3:Q3"/>
    <mergeCell ref="R3:S3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T19:U19"/>
    <mergeCell ref="T20:U20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T3:U3"/>
    <mergeCell ref="H3:M3"/>
    <mergeCell ref="H11:I12"/>
    <mergeCell ref="J11:K12"/>
    <mergeCell ref="L11:M12"/>
    <mergeCell ref="R4:S4"/>
    <mergeCell ref="P4:Q4"/>
    <mergeCell ref="T4:U4"/>
    <mergeCell ref="R8:S8"/>
    <mergeCell ref="T7:U7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B3" sqref="B3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87</v>
      </c>
      <c r="B1" t="s">
        <v>88</v>
      </c>
    </row>
    <row r="2" spans="1:2" x14ac:dyDescent="0.2">
      <c r="A2" t="s">
        <v>86</v>
      </c>
      <c r="B2" t="s">
        <v>89</v>
      </c>
    </row>
    <row r="3" spans="1:2" x14ac:dyDescent="0.2">
      <c r="A3" t="s">
        <v>41</v>
      </c>
      <c r="B3">
        <v>70821.435898509997</v>
      </c>
    </row>
    <row r="4" spans="1:2" x14ac:dyDescent="0.2">
      <c r="A4" t="s">
        <v>40</v>
      </c>
      <c r="B4">
        <v>3560.3747093000002</v>
      </c>
    </row>
    <row r="5" spans="1:2" x14ac:dyDescent="0.2">
      <c r="A5" t="s">
        <v>34</v>
      </c>
      <c r="B5">
        <v>172.47016776999999</v>
      </c>
    </row>
    <row r="6" spans="1:2" x14ac:dyDescent="0.2">
      <c r="A6" t="s">
        <v>15</v>
      </c>
      <c r="B6">
        <v>0.61392024999999995</v>
      </c>
    </row>
    <row r="7" spans="1:2" x14ac:dyDescent="0.2">
      <c r="A7" t="s">
        <v>37</v>
      </c>
      <c r="B7">
        <v>1.00109421</v>
      </c>
    </row>
    <row r="8" spans="1:2" x14ac:dyDescent="0.2">
      <c r="A8" t="s">
        <v>38</v>
      </c>
      <c r="B8">
        <v>0.19458112</v>
      </c>
    </row>
    <row r="9" spans="1:2" x14ac:dyDescent="0.2">
      <c r="A9" t="s">
        <v>35</v>
      </c>
      <c r="B9">
        <v>0.58759815999999998</v>
      </c>
    </row>
    <row r="10" spans="1:2" x14ac:dyDescent="0.2">
      <c r="A10" t="s">
        <v>50</v>
      </c>
      <c r="B10">
        <v>46.463279720000003</v>
      </c>
    </row>
    <row r="11" spans="1:2" x14ac:dyDescent="0.2">
      <c r="A11" t="s">
        <v>42</v>
      </c>
      <c r="B11">
        <v>17.36079088</v>
      </c>
    </row>
    <row r="12" spans="1:2" x14ac:dyDescent="0.2">
      <c r="A12" t="s">
        <v>51</v>
      </c>
      <c r="B12">
        <v>0.88029062000000002</v>
      </c>
    </row>
    <row r="13" spans="1:2" x14ac:dyDescent="0.2">
      <c r="A13" t="s">
        <v>48</v>
      </c>
      <c r="B13">
        <v>8.2334110900000006</v>
      </c>
    </row>
    <row r="14" spans="1:2" x14ac:dyDescent="0.2">
      <c r="A14" t="s">
        <v>33</v>
      </c>
      <c r="B14">
        <v>10.75846816</v>
      </c>
    </row>
    <row r="15" spans="1:2" x14ac:dyDescent="0.2">
      <c r="A15" t="s">
        <v>46</v>
      </c>
      <c r="B15">
        <v>1.4515421100000001</v>
      </c>
    </row>
    <row r="16" spans="1:2" x14ac:dyDescent="0.2">
      <c r="A16" t="s">
        <v>45</v>
      </c>
      <c r="B16">
        <v>0.13015978</v>
      </c>
    </row>
    <row r="17" spans="1:2" x14ac:dyDescent="0.2">
      <c r="A17" t="s">
        <v>16</v>
      </c>
      <c r="B17">
        <v>0.10069435</v>
      </c>
    </row>
    <row r="18" spans="1:2" x14ac:dyDescent="0.2">
      <c r="A18" t="s">
        <v>52</v>
      </c>
      <c r="B18">
        <v>9.07820976</v>
      </c>
    </row>
    <row r="19" spans="1:2" x14ac:dyDescent="0.2">
      <c r="A19" t="s">
        <v>47</v>
      </c>
      <c r="B19">
        <v>2.9919456000000002</v>
      </c>
    </row>
    <row r="20" spans="1:2" x14ac:dyDescent="0.2">
      <c r="A20" t="s">
        <v>56</v>
      </c>
      <c r="B20">
        <v>0.31789508999999999</v>
      </c>
    </row>
    <row r="21" spans="1:2" x14ac:dyDescent="0.2">
      <c r="A21" t="s">
        <v>71</v>
      </c>
      <c r="B21">
        <v>2.59994953</v>
      </c>
    </row>
    <row r="22" spans="1:2" x14ac:dyDescent="0.2">
      <c r="A22" t="s">
        <v>53</v>
      </c>
      <c r="B22">
        <v>5.9156340000000002E-2</v>
      </c>
    </row>
    <row r="23" spans="1:2" x14ac:dyDescent="0.2">
      <c r="A23" t="s">
        <v>44</v>
      </c>
      <c r="B23">
        <v>0.23171844999999999</v>
      </c>
    </row>
    <row r="24" spans="1:2" x14ac:dyDescent="0.2">
      <c r="A24" t="s">
        <v>49</v>
      </c>
      <c r="B24">
        <v>115.75066594</v>
      </c>
    </row>
    <row r="25" spans="1:2" x14ac:dyDescent="0.2">
      <c r="A25" t="s">
        <v>70</v>
      </c>
      <c r="B25">
        <v>7.5732679999999997E-2</v>
      </c>
    </row>
    <row r="26" spans="1:2" x14ac:dyDescent="0.2">
      <c r="A26" t="s">
        <v>72</v>
      </c>
      <c r="B26">
        <v>5.9569230000000001E-2</v>
      </c>
    </row>
    <row r="27" spans="1:2" x14ac:dyDescent="0.2">
      <c r="A27" t="s">
        <v>64</v>
      </c>
      <c r="B27">
        <v>9.1062999999999995E-3</v>
      </c>
    </row>
    <row r="28" spans="1:2" x14ac:dyDescent="0.2">
      <c r="A28" t="s">
        <v>43</v>
      </c>
      <c r="B28">
        <v>3.6031460000000001E-2</v>
      </c>
    </row>
    <row r="29" spans="1:2" x14ac:dyDescent="0.2">
      <c r="A29" t="s">
        <v>62</v>
      </c>
      <c r="B29">
        <v>0.39326947000000001</v>
      </c>
    </row>
    <row r="30" spans="1:2" x14ac:dyDescent="0.2">
      <c r="A30" t="s">
        <v>68</v>
      </c>
      <c r="B30">
        <v>1.21699E-3</v>
      </c>
    </row>
    <row r="31" spans="1:2" x14ac:dyDescent="0.2">
      <c r="A31" t="s">
        <v>65</v>
      </c>
      <c r="B31">
        <v>3.3744040000000003E-2</v>
      </c>
    </row>
    <row r="32" spans="1:2" x14ac:dyDescent="0.2">
      <c r="A32" t="s">
        <v>54</v>
      </c>
      <c r="B32">
        <v>0.18211332999999999</v>
      </c>
    </row>
    <row r="33" spans="1:2" x14ac:dyDescent="0.2">
      <c r="A33" t="s">
        <v>73</v>
      </c>
      <c r="B33">
        <v>0.10456288</v>
      </c>
    </row>
    <row r="34" spans="1:2" x14ac:dyDescent="0.2">
      <c r="A34" t="s">
        <v>61</v>
      </c>
      <c r="B34">
        <v>0.29452329999999999</v>
      </c>
    </row>
    <row r="35" spans="1:2" x14ac:dyDescent="0.2">
      <c r="A35" t="s">
        <v>57</v>
      </c>
      <c r="B35">
        <v>3.85203557</v>
      </c>
    </row>
    <row r="36" spans="1:2" x14ac:dyDescent="0.2">
      <c r="A36" t="s">
        <v>69</v>
      </c>
      <c r="B36">
        <v>8.7141830000000003E-2</v>
      </c>
    </row>
    <row r="37" spans="1:2" x14ac:dyDescent="0.2">
      <c r="A37" t="s">
        <v>59</v>
      </c>
      <c r="B37">
        <v>0.27812292</v>
      </c>
    </row>
    <row r="38" spans="1:2" x14ac:dyDescent="0.2">
      <c r="A38" t="s">
        <v>66</v>
      </c>
      <c r="B38">
        <v>0.10566747999999999</v>
      </c>
    </row>
    <row r="39" spans="1:2" x14ac:dyDescent="0.2">
      <c r="A39" t="s">
        <v>60</v>
      </c>
      <c r="B39">
        <v>93.108098720000001</v>
      </c>
    </row>
    <row r="40" spans="1:2" x14ac:dyDescent="0.2">
      <c r="A40" t="s">
        <v>55</v>
      </c>
      <c r="B40">
        <v>0.45343704000000001</v>
      </c>
    </row>
    <row r="41" spans="1:2" x14ac:dyDescent="0.2">
      <c r="A41" t="s">
        <v>67</v>
      </c>
      <c r="B41">
        <v>2.936745E-2</v>
      </c>
    </row>
    <row r="42" spans="1:2" x14ac:dyDescent="0.2">
      <c r="A42" t="s">
        <v>63</v>
      </c>
      <c r="B42">
        <v>3.7242480000000001E-2</v>
      </c>
    </row>
    <row r="43" spans="1:2" x14ac:dyDescent="0.2">
      <c r="A43" t="s">
        <v>58</v>
      </c>
      <c r="B43">
        <v>1.103437E-2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34"/>
  <sheetViews>
    <sheetView workbookViewId="0">
      <selection activeCell="G16" sqref="G16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17</v>
      </c>
      <c r="B1" t="s">
        <v>86</v>
      </c>
      <c r="C1" t="s">
        <v>84</v>
      </c>
      <c r="D1" t="s">
        <v>81</v>
      </c>
    </row>
    <row r="2" spans="1:4" x14ac:dyDescent="0.2">
      <c r="A2" s="78">
        <v>45392</v>
      </c>
      <c r="B2" t="s">
        <v>15</v>
      </c>
      <c r="C2">
        <v>12273.445639</v>
      </c>
      <c r="D2">
        <v>7589.2804469663088</v>
      </c>
    </row>
    <row r="3" spans="1:4" x14ac:dyDescent="0.2">
      <c r="A3" s="78"/>
      <c r="B3" t="s">
        <v>16</v>
      </c>
      <c r="C3">
        <v>81520.145294550006</v>
      </c>
      <c r="D3">
        <v>8257.4461637673485</v>
      </c>
    </row>
    <row r="4" spans="1:4" x14ac:dyDescent="0.2">
      <c r="A4" s="78">
        <v>45391</v>
      </c>
      <c r="B4" t="s">
        <v>15</v>
      </c>
      <c r="C4">
        <v>12273.445639</v>
      </c>
      <c r="D4">
        <v>7532.1392115737281</v>
      </c>
    </row>
    <row r="5" spans="1:4" x14ac:dyDescent="0.2">
      <c r="A5" s="78"/>
      <c r="B5" t="s">
        <v>16</v>
      </c>
      <c r="C5">
        <v>81520.145294550006</v>
      </c>
      <c r="D5">
        <v>8435.5049107240629</v>
      </c>
    </row>
    <row r="6" spans="1:4" x14ac:dyDescent="0.2">
      <c r="A6" s="78">
        <v>45390</v>
      </c>
      <c r="B6" t="s">
        <v>15</v>
      </c>
      <c r="C6">
        <v>12273.445639</v>
      </c>
      <c r="D6">
        <v>7554.8391947519722</v>
      </c>
    </row>
    <row r="7" spans="1:4" x14ac:dyDescent="0.2">
      <c r="A7" s="78"/>
      <c r="B7" t="s">
        <v>16</v>
      </c>
      <c r="C7">
        <v>81520.145294550006</v>
      </c>
      <c r="D7">
        <v>8922.5519099950707</v>
      </c>
    </row>
    <row r="8" spans="1:4" x14ac:dyDescent="0.2">
      <c r="A8" s="78">
        <v>45389</v>
      </c>
      <c r="B8" t="s">
        <v>15</v>
      </c>
      <c r="C8">
        <v>12273.445639</v>
      </c>
      <c r="D8">
        <v>7298.6572822115149</v>
      </c>
    </row>
    <row r="9" spans="1:4" x14ac:dyDescent="0.2">
      <c r="A9" s="78"/>
      <c r="B9" t="s">
        <v>16</v>
      </c>
      <c r="C9">
        <v>81520.145294550006</v>
      </c>
      <c r="D9">
        <v>8623.4708009384249</v>
      </c>
    </row>
    <row r="10" spans="1:4" x14ac:dyDescent="0.2">
      <c r="A10" s="78">
        <v>45388</v>
      </c>
      <c r="B10" t="s">
        <v>15</v>
      </c>
      <c r="C10">
        <v>12273.445639</v>
      </c>
      <c r="D10">
        <v>7283.0525779571772</v>
      </c>
    </row>
    <row r="11" spans="1:4" x14ac:dyDescent="0.2">
      <c r="A11" s="78"/>
      <c r="B11" t="s">
        <v>16</v>
      </c>
      <c r="C11">
        <v>81520.145294550006</v>
      </c>
      <c r="D11">
        <v>8640.3617750434551</v>
      </c>
    </row>
    <row r="12" spans="1:4" x14ac:dyDescent="0.2">
      <c r="A12" s="78">
        <v>45387</v>
      </c>
      <c r="B12" t="s">
        <v>15</v>
      </c>
      <c r="C12">
        <v>12273.445639</v>
      </c>
      <c r="D12">
        <v>7217.5009639404734</v>
      </c>
    </row>
    <row r="13" spans="1:4" x14ac:dyDescent="0.2">
      <c r="A13" s="78"/>
      <c r="B13" t="s">
        <v>16</v>
      </c>
      <c r="C13">
        <v>81520.145294550006</v>
      </c>
      <c r="D13">
        <v>8548.8521511445124</v>
      </c>
    </row>
    <row r="14" spans="1:4" x14ac:dyDescent="0.2">
      <c r="A14" s="78">
        <v>45386</v>
      </c>
      <c r="B14" t="s">
        <v>15</v>
      </c>
      <c r="C14">
        <v>12273.445639</v>
      </c>
      <c r="D14">
        <v>7283.8289961283008</v>
      </c>
    </row>
    <row r="15" spans="1:4" x14ac:dyDescent="0.2">
      <c r="A15" s="78"/>
      <c r="B15" t="s">
        <v>16</v>
      </c>
      <c r="C15">
        <v>81520.145294550006</v>
      </c>
      <c r="D15">
        <v>8581.4642852695961</v>
      </c>
    </row>
    <row r="16" spans="1:4" x14ac:dyDescent="0.2">
      <c r="A16" s="78">
        <v>45385</v>
      </c>
      <c r="B16" t="s">
        <v>15</v>
      </c>
      <c r="C16">
        <v>12273.445639</v>
      </c>
      <c r="D16">
        <v>7062.0241456814874</v>
      </c>
    </row>
    <row r="17" spans="1:4" x14ac:dyDescent="0.2">
      <c r="A17" s="78"/>
      <c r="B17" t="s">
        <v>16</v>
      </c>
      <c r="C17">
        <v>81520.145294550006</v>
      </c>
      <c r="D17">
        <v>8392.6677047746834</v>
      </c>
    </row>
    <row r="18" spans="1:4" x14ac:dyDescent="0.2">
      <c r="A18" s="78">
        <v>45384</v>
      </c>
      <c r="B18" t="s">
        <v>15</v>
      </c>
      <c r="C18">
        <v>12273.445639</v>
      </c>
      <c r="D18">
        <v>7182.8770828550278</v>
      </c>
    </row>
    <row r="19" spans="1:4" x14ac:dyDescent="0.2">
      <c r="A19" s="78"/>
      <c r="B19" t="s">
        <v>16</v>
      </c>
      <c r="C19">
        <v>81520.145294550006</v>
      </c>
      <c r="D19">
        <v>8445.5188453720457</v>
      </c>
    </row>
    <row r="20" spans="1:4" x14ac:dyDescent="0.2">
      <c r="A20" s="78">
        <v>45383</v>
      </c>
      <c r="B20" t="s">
        <v>15</v>
      </c>
      <c r="C20">
        <v>12273.445639</v>
      </c>
      <c r="D20">
        <v>7513.2228862170759</v>
      </c>
    </row>
    <row r="21" spans="1:4" x14ac:dyDescent="0.2">
      <c r="A21" s="78"/>
      <c r="B21" t="s">
        <v>16</v>
      </c>
      <c r="C21">
        <v>81520.145294550006</v>
      </c>
      <c r="D21">
        <v>8967.3985875259605</v>
      </c>
    </row>
    <row r="22" spans="1:4" x14ac:dyDescent="0.2">
      <c r="A22" s="78">
        <v>45382</v>
      </c>
      <c r="B22" t="s">
        <v>15</v>
      </c>
      <c r="C22">
        <v>12273.445639</v>
      </c>
      <c r="D22">
        <v>7719.5386482674712</v>
      </c>
    </row>
    <row r="23" spans="1:4" x14ac:dyDescent="0.2">
      <c r="A23" s="78"/>
      <c r="B23" t="s">
        <v>16</v>
      </c>
      <c r="C23">
        <v>81520.145294550006</v>
      </c>
      <c r="D23">
        <v>9433.2210017680791</v>
      </c>
    </row>
    <row r="24" spans="1:4" x14ac:dyDescent="0.2">
      <c r="A24" s="78">
        <v>45381</v>
      </c>
      <c r="B24" t="s">
        <v>15</v>
      </c>
      <c r="C24">
        <v>12273.445639</v>
      </c>
      <c r="D24">
        <v>7621.9375083881032</v>
      </c>
    </row>
    <row r="25" spans="1:4" x14ac:dyDescent="0.2">
      <c r="A25" s="78"/>
      <c r="B25" t="s">
        <v>16</v>
      </c>
      <c r="C25">
        <v>81520.145294550006</v>
      </c>
      <c r="D25">
        <v>9263.3566598163707</v>
      </c>
    </row>
    <row r="26" spans="1:4" x14ac:dyDescent="0.2">
      <c r="A26" s="78">
        <v>45380</v>
      </c>
      <c r="B26" t="s">
        <v>15</v>
      </c>
      <c r="C26">
        <v>12273.445639</v>
      </c>
      <c r="D26">
        <v>7739.4491227208828</v>
      </c>
    </row>
    <row r="27" spans="1:4" x14ac:dyDescent="0.2">
      <c r="A27" s="78"/>
      <c r="B27" t="s">
        <v>16</v>
      </c>
      <c r="C27">
        <v>81520.145294550006</v>
      </c>
      <c r="D27">
        <v>9479.0222802003682</v>
      </c>
    </row>
    <row r="28" spans="1:4" x14ac:dyDescent="0.2">
      <c r="A28" s="78">
        <v>45379</v>
      </c>
      <c r="B28" t="s">
        <v>15</v>
      </c>
      <c r="C28">
        <v>12273.445639</v>
      </c>
      <c r="D28">
        <v>7659.6209140024366</v>
      </c>
    </row>
    <row r="29" spans="1:4" x14ac:dyDescent="0.2">
      <c r="A29" s="78"/>
      <c r="B29" t="s">
        <v>16</v>
      </c>
      <c r="C29">
        <v>81520.145294550006</v>
      </c>
      <c r="D29">
        <v>9470.7936367343373</v>
      </c>
    </row>
    <row r="30" spans="1:4" x14ac:dyDescent="0.2">
      <c r="A30" s="78">
        <v>45378</v>
      </c>
      <c r="B30" t="s">
        <v>15</v>
      </c>
      <c r="C30">
        <v>12273.445639</v>
      </c>
      <c r="D30">
        <v>7515.0512614139179</v>
      </c>
    </row>
    <row r="31" spans="1:4" x14ac:dyDescent="0.2">
      <c r="A31" s="78"/>
      <c r="B31" t="s">
        <v>16</v>
      </c>
      <c r="C31">
        <v>81520.145294550006</v>
      </c>
      <c r="D31">
        <v>9267.4269606709295</v>
      </c>
    </row>
    <row r="32" spans="1:4" x14ac:dyDescent="0.2">
      <c r="A32" s="78">
        <v>45377</v>
      </c>
      <c r="B32" t="s">
        <v>15</v>
      </c>
      <c r="C32">
        <v>12273.445639</v>
      </c>
      <c r="D32">
        <v>7767.4454658957238</v>
      </c>
    </row>
    <row r="33" spans="1:4" x14ac:dyDescent="0.2">
      <c r="A33" s="78"/>
      <c r="B33" t="s">
        <v>16</v>
      </c>
      <c r="C33">
        <v>81520.145294550006</v>
      </c>
      <c r="D33">
        <v>9794.9421904690553</v>
      </c>
    </row>
    <row r="34" spans="1:4" x14ac:dyDescent="0.2">
      <c r="A34" s="78">
        <v>45376</v>
      </c>
      <c r="B34" t="s">
        <v>15</v>
      </c>
      <c r="C34">
        <v>12273.445639</v>
      </c>
      <c r="D34">
        <v>7855.4668132504839</v>
      </c>
    </row>
    <row r="35" spans="1:4" x14ac:dyDescent="0.2">
      <c r="A35" s="78"/>
      <c r="B35" t="s">
        <v>16</v>
      </c>
      <c r="C35">
        <v>81520.145294550006</v>
      </c>
      <c r="D35">
        <v>9525.310233900067</v>
      </c>
    </row>
    <row r="36" spans="1:4" x14ac:dyDescent="0.2">
      <c r="A36" s="78">
        <v>45375</v>
      </c>
      <c r="B36" t="s">
        <v>15</v>
      </c>
      <c r="C36">
        <v>12273.445639</v>
      </c>
      <c r="D36">
        <v>7777.8275735617544</v>
      </c>
    </row>
    <row r="37" spans="1:4" x14ac:dyDescent="0.2">
      <c r="A37" s="78"/>
      <c r="B37" t="s">
        <v>16</v>
      </c>
      <c r="C37">
        <v>81520.145294550006</v>
      </c>
      <c r="D37">
        <v>8954.3521034730202</v>
      </c>
    </row>
    <row r="38" spans="1:4" x14ac:dyDescent="0.2">
      <c r="A38" s="78">
        <v>45374</v>
      </c>
      <c r="B38" t="s">
        <v>15</v>
      </c>
      <c r="C38">
        <v>12273.445639</v>
      </c>
      <c r="D38">
        <v>7586.4720371351923</v>
      </c>
    </row>
    <row r="39" spans="1:4" x14ac:dyDescent="0.2">
      <c r="A39" s="78"/>
      <c r="B39" t="s">
        <v>16</v>
      </c>
      <c r="C39">
        <v>81520.145294550006</v>
      </c>
      <c r="D39">
        <v>8715.5665546820364</v>
      </c>
    </row>
    <row r="40" spans="1:4" x14ac:dyDescent="0.2">
      <c r="A40" s="78">
        <v>45373</v>
      </c>
      <c r="B40" t="s">
        <v>15</v>
      </c>
      <c r="C40">
        <v>12273.445639</v>
      </c>
      <c r="D40">
        <v>7493.8401699261422</v>
      </c>
    </row>
    <row r="41" spans="1:4" x14ac:dyDescent="0.2">
      <c r="A41" s="78"/>
      <c r="B41" t="s">
        <v>16</v>
      </c>
      <c r="C41">
        <v>81520.145294550006</v>
      </c>
      <c r="D41">
        <v>8653.4661383995535</v>
      </c>
    </row>
    <row r="42" spans="1:4" x14ac:dyDescent="0.2">
      <c r="A42" s="78">
        <v>45372</v>
      </c>
      <c r="B42" t="s">
        <v>15</v>
      </c>
      <c r="C42">
        <v>12273.445639</v>
      </c>
      <c r="D42">
        <v>7871.31735462097</v>
      </c>
    </row>
    <row r="43" spans="1:4" x14ac:dyDescent="0.2">
      <c r="A43" s="78"/>
      <c r="B43" t="s">
        <v>16</v>
      </c>
      <c r="C43">
        <v>81520.145294550006</v>
      </c>
      <c r="D43">
        <v>8965.3035197918907</v>
      </c>
    </row>
    <row r="44" spans="1:4" x14ac:dyDescent="0.2">
      <c r="A44" s="78">
        <v>45371</v>
      </c>
      <c r="B44" t="s">
        <v>15</v>
      </c>
      <c r="C44">
        <v>12273.445639</v>
      </c>
      <c r="D44">
        <v>7507.6860894204101</v>
      </c>
    </row>
    <row r="45" spans="1:4" x14ac:dyDescent="0.2">
      <c r="A45" s="78"/>
      <c r="B45" t="s">
        <v>16</v>
      </c>
      <c r="C45">
        <v>81520.145294550006</v>
      </c>
      <c r="D45">
        <v>9081.1037013842524</v>
      </c>
    </row>
    <row r="46" spans="1:4" x14ac:dyDescent="0.2">
      <c r="A46" s="78">
        <v>45370</v>
      </c>
      <c r="B46" t="s">
        <v>15</v>
      </c>
      <c r="C46">
        <v>12273.445639</v>
      </c>
      <c r="D46">
        <v>7182.9113257683603</v>
      </c>
    </row>
    <row r="47" spans="1:4" x14ac:dyDescent="0.2">
      <c r="A47" s="78"/>
      <c r="B47" t="s">
        <v>16</v>
      </c>
      <c r="C47">
        <v>81520.145294550006</v>
      </c>
      <c r="D47">
        <v>8261.7055913589884</v>
      </c>
    </row>
    <row r="48" spans="1:4" x14ac:dyDescent="0.2">
      <c r="A48" s="78">
        <v>45369</v>
      </c>
      <c r="B48" t="s">
        <v>15</v>
      </c>
      <c r="C48">
        <v>12273.445639</v>
      </c>
      <c r="D48">
        <v>8025.6873535522309</v>
      </c>
    </row>
    <row r="49" spans="1:4" x14ac:dyDescent="0.2">
      <c r="A49" s="78"/>
      <c r="B49" t="s">
        <v>16</v>
      </c>
      <c r="C49">
        <v>81520.145294550006</v>
      </c>
      <c r="D49">
        <v>9119.7931623410459</v>
      </c>
    </row>
    <row r="50" spans="1:4" x14ac:dyDescent="0.2">
      <c r="A50" s="78">
        <v>45368</v>
      </c>
      <c r="B50" t="s">
        <v>15</v>
      </c>
      <c r="C50">
        <v>12273.445639</v>
      </c>
      <c r="D50">
        <v>7599.0674152533038</v>
      </c>
    </row>
    <row r="51" spans="1:4" x14ac:dyDescent="0.2">
      <c r="A51" s="78"/>
      <c r="B51" t="s">
        <v>16</v>
      </c>
      <c r="C51">
        <v>81520.145294550006</v>
      </c>
      <c r="D51">
        <v>9490.5247727014284</v>
      </c>
    </row>
    <row r="52" spans="1:4" x14ac:dyDescent="0.2">
      <c r="A52" s="78">
        <v>45367</v>
      </c>
      <c r="B52" t="s">
        <v>15</v>
      </c>
      <c r="C52">
        <v>12273.445639</v>
      </c>
      <c r="D52">
        <v>7392.3863954606904</v>
      </c>
    </row>
    <row r="53" spans="1:4" x14ac:dyDescent="0.2">
      <c r="A53" s="78"/>
      <c r="B53" t="s">
        <v>16</v>
      </c>
      <c r="C53">
        <v>81520.145294550006</v>
      </c>
      <c r="D53">
        <v>9003.563369582982</v>
      </c>
    </row>
    <row r="54" spans="1:4" x14ac:dyDescent="0.2">
      <c r="A54" s="78">
        <v>45366</v>
      </c>
      <c r="B54" t="s">
        <v>15</v>
      </c>
      <c r="C54">
        <v>12273.445639</v>
      </c>
      <c r="D54">
        <v>7784.6015336788296</v>
      </c>
    </row>
    <row r="55" spans="1:4" x14ac:dyDescent="0.2">
      <c r="A55" s="78"/>
      <c r="B55" t="s">
        <v>16</v>
      </c>
      <c r="C55">
        <v>81520.145294550006</v>
      </c>
      <c r="D55">
        <v>9812.8635792106088</v>
      </c>
    </row>
    <row r="56" spans="1:4" x14ac:dyDescent="0.2">
      <c r="A56" s="78">
        <v>45365</v>
      </c>
      <c r="B56" t="s">
        <v>15</v>
      </c>
      <c r="C56">
        <v>12273.445639</v>
      </c>
      <c r="D56">
        <v>8213.0880175905386</v>
      </c>
    </row>
    <row r="57" spans="1:4" x14ac:dyDescent="0.2">
      <c r="A57" s="78"/>
      <c r="B57" t="s">
        <v>16</v>
      </c>
      <c r="C57">
        <v>81520.145294550006</v>
      </c>
      <c r="D57">
        <v>10354.295113011971</v>
      </c>
    </row>
    <row r="58" spans="1:4" x14ac:dyDescent="0.2">
      <c r="A58" s="78">
        <v>45364</v>
      </c>
      <c r="B58" t="s">
        <v>15</v>
      </c>
      <c r="C58">
        <v>12273.445639</v>
      </c>
      <c r="D58">
        <v>8464.4377518484653</v>
      </c>
    </row>
    <row r="59" spans="1:4" x14ac:dyDescent="0.2">
      <c r="A59" s="78"/>
      <c r="B59" t="s">
        <v>16</v>
      </c>
      <c r="C59">
        <v>81520.145294550006</v>
      </c>
      <c r="D59">
        <v>10792.87920110682</v>
      </c>
    </row>
    <row r="60" spans="1:4" x14ac:dyDescent="0.2">
      <c r="A60" s="78">
        <v>45363</v>
      </c>
      <c r="B60" t="s">
        <v>15</v>
      </c>
      <c r="C60">
        <v>12273.445639</v>
      </c>
      <c r="D60">
        <v>8452.638674883412</v>
      </c>
    </row>
    <row r="61" spans="1:4" x14ac:dyDescent="0.2">
      <c r="A61" s="78"/>
      <c r="B61" t="s">
        <v>16</v>
      </c>
      <c r="C61">
        <v>81520.145294550006</v>
      </c>
      <c r="D61">
        <v>10838.618524228679</v>
      </c>
    </row>
    <row r="62" spans="1:4" x14ac:dyDescent="0.2">
      <c r="A62" s="78">
        <v>45362</v>
      </c>
      <c r="B62" t="s">
        <v>15</v>
      </c>
      <c r="C62">
        <v>12273.445639</v>
      </c>
      <c r="D62">
        <v>8800.6649903607213</v>
      </c>
    </row>
    <row r="63" spans="1:4" x14ac:dyDescent="0.2">
      <c r="A63" s="78"/>
      <c r="B63" t="s">
        <v>16</v>
      </c>
      <c r="C63">
        <v>81520.145294550006</v>
      </c>
      <c r="D63">
        <v>10812.17828030385</v>
      </c>
    </row>
    <row r="64" spans="1:4" x14ac:dyDescent="0.2">
      <c r="A64" s="78">
        <v>45361</v>
      </c>
      <c r="B64" t="s">
        <v>15</v>
      </c>
      <c r="C64">
        <v>12273.445639</v>
      </c>
      <c r="D64">
        <v>7469.0795979595669</v>
      </c>
    </row>
    <row r="65" spans="1:4" x14ac:dyDescent="0.2">
      <c r="A65" s="78"/>
      <c r="B65" t="s">
        <v>16</v>
      </c>
      <c r="C65">
        <v>81520.145294550006</v>
      </c>
      <c r="D65">
        <v>10261.50806843626</v>
      </c>
    </row>
    <row r="66" spans="1:4" x14ac:dyDescent="0.2">
      <c r="A66" s="78">
        <v>45360</v>
      </c>
      <c r="B66" t="s">
        <v>15</v>
      </c>
      <c r="C66">
        <v>12273.445639</v>
      </c>
      <c r="D66">
        <v>7640.3945614089434</v>
      </c>
    </row>
    <row r="67" spans="1:4" x14ac:dyDescent="0.2">
      <c r="A67" s="78"/>
      <c r="B67" t="s">
        <v>16</v>
      </c>
      <c r="C67">
        <v>81520.145294550006</v>
      </c>
      <c r="D67">
        <v>10645.387247829751</v>
      </c>
    </row>
    <row r="68" spans="1:4" x14ac:dyDescent="0.2">
      <c r="A68" s="78">
        <v>45359</v>
      </c>
      <c r="B68" t="s">
        <v>15</v>
      </c>
      <c r="C68">
        <v>12273.445639</v>
      </c>
      <c r="D68">
        <v>7627.7309429330799</v>
      </c>
    </row>
    <row r="69" spans="1:4" x14ac:dyDescent="0.2">
      <c r="A69" s="78"/>
      <c r="B69" t="s">
        <v>16</v>
      </c>
      <c r="C69">
        <v>81520.145294550006</v>
      </c>
      <c r="D69">
        <v>10647.45215311006</v>
      </c>
    </row>
    <row r="70" spans="1:4" x14ac:dyDescent="0.2">
      <c r="A70" s="78">
        <v>45358</v>
      </c>
      <c r="B70" t="s">
        <v>15</v>
      </c>
      <c r="C70">
        <v>12273.445639</v>
      </c>
      <c r="D70">
        <v>7712.3899798550356</v>
      </c>
    </row>
    <row r="71" spans="1:4" x14ac:dyDescent="0.2">
      <c r="A71" s="78"/>
      <c r="B71" t="s">
        <v>16</v>
      </c>
      <c r="C71">
        <v>81520.145294550006</v>
      </c>
      <c r="D71">
        <v>10917.71099959636</v>
      </c>
    </row>
    <row r="72" spans="1:4" x14ac:dyDescent="0.2">
      <c r="A72" s="78">
        <v>45357</v>
      </c>
      <c r="B72" t="s">
        <v>15</v>
      </c>
      <c r="C72">
        <v>12273.445639</v>
      </c>
      <c r="D72">
        <v>7522.5905936010431</v>
      </c>
    </row>
    <row r="73" spans="1:4" x14ac:dyDescent="0.2">
      <c r="A73" s="78"/>
      <c r="B73" t="s">
        <v>16</v>
      </c>
      <c r="C73">
        <v>81520.145294550006</v>
      </c>
      <c r="D73">
        <v>10266.750628980149</v>
      </c>
    </row>
    <row r="74" spans="1:4" x14ac:dyDescent="0.2">
      <c r="A74" s="78">
        <v>45356</v>
      </c>
      <c r="B74" t="s">
        <v>15</v>
      </c>
      <c r="C74">
        <v>12273.445639</v>
      </c>
      <c r="D74">
        <v>7306.176854151161</v>
      </c>
    </row>
    <row r="75" spans="1:4" x14ac:dyDescent="0.2">
      <c r="A75" s="78"/>
      <c r="B75" t="s">
        <v>16</v>
      </c>
      <c r="C75">
        <v>81520.145294550006</v>
      </c>
      <c r="D75">
        <v>9138.1180758018072</v>
      </c>
    </row>
    <row r="76" spans="1:4" x14ac:dyDescent="0.2">
      <c r="A76" s="78">
        <v>45355</v>
      </c>
      <c r="B76" t="s">
        <v>15</v>
      </c>
      <c r="C76">
        <v>12273.445639</v>
      </c>
      <c r="D76">
        <v>7992.1956978269836</v>
      </c>
    </row>
    <row r="77" spans="1:4" x14ac:dyDescent="0.2">
      <c r="A77" s="78"/>
      <c r="B77" t="s">
        <v>16</v>
      </c>
      <c r="C77">
        <v>81520.145294550006</v>
      </c>
      <c r="D77">
        <v>9599.1365078817162</v>
      </c>
    </row>
    <row r="78" spans="1:4" x14ac:dyDescent="0.2">
      <c r="A78" s="78">
        <v>45354</v>
      </c>
      <c r="B78" t="s">
        <v>15</v>
      </c>
      <c r="C78">
        <v>12273.445639</v>
      </c>
      <c r="D78">
        <v>7691.7621225040257</v>
      </c>
    </row>
    <row r="79" spans="1:4" x14ac:dyDescent="0.2">
      <c r="A79" s="78"/>
      <c r="B79" t="s">
        <v>16</v>
      </c>
      <c r="C79">
        <v>81520.145294550006</v>
      </c>
      <c r="D79">
        <v>9202.1896491975112</v>
      </c>
    </row>
    <row r="80" spans="1:4" x14ac:dyDescent="0.2">
      <c r="A80" s="78">
        <v>45353</v>
      </c>
      <c r="B80" t="s">
        <v>15</v>
      </c>
      <c r="C80">
        <v>12273.445639</v>
      </c>
      <c r="D80">
        <v>7898.8846181362705</v>
      </c>
    </row>
    <row r="81" spans="1:4" x14ac:dyDescent="0.2">
      <c r="A81" s="78"/>
      <c r="B81" t="s">
        <v>16</v>
      </c>
      <c r="C81">
        <v>81520.145294550006</v>
      </c>
      <c r="D81">
        <v>9407.146783295615</v>
      </c>
    </row>
    <row r="82" spans="1:4" x14ac:dyDescent="0.2">
      <c r="A82" s="78">
        <v>45352</v>
      </c>
      <c r="B82" t="s">
        <v>15</v>
      </c>
      <c r="C82">
        <v>12273.445639</v>
      </c>
      <c r="D82">
        <v>7383.9232410203194</v>
      </c>
    </row>
    <row r="83" spans="1:4" x14ac:dyDescent="0.2">
      <c r="A83" s="78"/>
      <c r="B83" t="s">
        <v>16</v>
      </c>
      <c r="C83">
        <v>81520.145294550006</v>
      </c>
      <c r="D83">
        <v>9495.7942348932684</v>
      </c>
    </row>
    <row r="84" spans="1:4" x14ac:dyDescent="0.2">
      <c r="A84" s="78">
        <v>45351</v>
      </c>
      <c r="B84" t="s">
        <v>15</v>
      </c>
      <c r="C84">
        <v>12273.445639</v>
      </c>
      <c r="D84">
        <v>7208.031632426615</v>
      </c>
    </row>
    <row r="85" spans="1:4" x14ac:dyDescent="0.2">
      <c r="A85" s="78"/>
      <c r="B85" t="s">
        <v>16</v>
      </c>
      <c r="C85">
        <v>81520.145294550006</v>
      </c>
      <c r="D85">
        <v>9307.6424787476353</v>
      </c>
    </row>
    <row r="86" spans="1:4" x14ac:dyDescent="0.2">
      <c r="A86" s="78">
        <v>45350</v>
      </c>
      <c r="B86" t="s">
        <v>15</v>
      </c>
      <c r="C86">
        <v>12273.445639</v>
      </c>
      <c r="D86">
        <v>7076.000040965072</v>
      </c>
    </row>
    <row r="87" spans="1:4" x14ac:dyDescent="0.2">
      <c r="A87" s="78"/>
      <c r="B87" t="s">
        <v>16</v>
      </c>
      <c r="C87">
        <v>81520.145294550006</v>
      </c>
      <c r="D87">
        <v>9219.6088738440503</v>
      </c>
    </row>
    <row r="88" spans="1:4" x14ac:dyDescent="0.2">
      <c r="A88" s="78">
        <v>45349</v>
      </c>
      <c r="B88" t="s">
        <v>15</v>
      </c>
      <c r="C88">
        <v>12273.445639</v>
      </c>
      <c r="D88">
        <v>7209.1196733825118</v>
      </c>
    </row>
    <row r="89" spans="1:4" x14ac:dyDescent="0.2">
      <c r="A89" s="78"/>
      <c r="B89" t="s">
        <v>16</v>
      </c>
      <c r="C89">
        <v>81520.145294550006</v>
      </c>
      <c r="D89">
        <v>8818.2868289618873</v>
      </c>
    </row>
    <row r="90" spans="1:4" x14ac:dyDescent="0.2">
      <c r="A90" s="78">
        <v>45348</v>
      </c>
      <c r="B90" t="s">
        <v>15</v>
      </c>
      <c r="C90">
        <v>12273.445639</v>
      </c>
      <c r="D90">
        <v>6766.3542628143923</v>
      </c>
    </row>
    <row r="91" spans="1:4" x14ac:dyDescent="0.2">
      <c r="A91" s="78"/>
      <c r="B91" t="s">
        <v>16</v>
      </c>
      <c r="C91">
        <v>81520.145294550006</v>
      </c>
      <c r="D91">
        <v>9110.3457927028594</v>
      </c>
    </row>
    <row r="92" spans="1:4" x14ac:dyDescent="0.2">
      <c r="A92" s="78">
        <v>45347</v>
      </c>
      <c r="B92" t="s">
        <v>15</v>
      </c>
      <c r="C92">
        <v>12273.445639</v>
      </c>
      <c r="D92">
        <v>6659.6685639419493</v>
      </c>
    </row>
    <row r="93" spans="1:4" x14ac:dyDescent="0.2">
      <c r="A93" s="78"/>
      <c r="B93" t="s">
        <v>16</v>
      </c>
      <c r="C93">
        <v>81520.145294550006</v>
      </c>
      <c r="D93">
        <v>8923.4037955133972</v>
      </c>
    </row>
    <row r="94" spans="1:4" x14ac:dyDescent="0.2">
      <c r="A94" s="78">
        <v>45346</v>
      </c>
      <c r="B94" t="s">
        <v>15</v>
      </c>
      <c r="C94">
        <v>12273.445639</v>
      </c>
      <c r="D94">
        <v>6686.3143371586739</v>
      </c>
    </row>
    <row r="95" spans="1:4" x14ac:dyDescent="0.2">
      <c r="A95" s="78"/>
      <c r="B95" t="s">
        <v>16</v>
      </c>
      <c r="C95">
        <v>81520.145294550006</v>
      </c>
      <c r="D95">
        <v>8963.1774744026079</v>
      </c>
    </row>
    <row r="96" spans="1:4" x14ac:dyDescent="0.2">
      <c r="A96" s="78">
        <v>45345</v>
      </c>
      <c r="B96" t="s">
        <v>16</v>
      </c>
      <c r="C96">
        <v>81520.145294550006</v>
      </c>
      <c r="D96">
        <v>8931.6462974041297</v>
      </c>
    </row>
    <row r="97" spans="1:4" x14ac:dyDescent="0.2">
      <c r="A97" s="78"/>
      <c r="B97" t="s">
        <v>15</v>
      </c>
      <c r="C97">
        <v>8656.7882490000011</v>
      </c>
      <c r="D97">
        <v>4630.1361745217346</v>
      </c>
    </row>
    <row r="98" spans="1:4" x14ac:dyDescent="0.2">
      <c r="A98" s="78">
        <v>45344</v>
      </c>
      <c r="B98" t="s">
        <v>16</v>
      </c>
      <c r="C98">
        <v>81520.145294550006</v>
      </c>
      <c r="D98">
        <v>9578.2746874993882</v>
      </c>
    </row>
    <row r="99" spans="1:4" x14ac:dyDescent="0.2">
      <c r="A99" s="78"/>
      <c r="B99" t="s">
        <v>15</v>
      </c>
      <c r="C99">
        <v>8656.7882490000011</v>
      </c>
      <c r="D99">
        <v>4684.9707817594926</v>
      </c>
    </row>
    <row r="100" spans="1:4" x14ac:dyDescent="0.2">
      <c r="A100" s="78">
        <v>45343</v>
      </c>
      <c r="B100" t="s">
        <v>16</v>
      </c>
      <c r="C100">
        <v>81520.145294550006</v>
      </c>
      <c r="D100">
        <v>8527.4196897451202</v>
      </c>
    </row>
    <row r="101" spans="1:4" x14ac:dyDescent="0.2">
      <c r="A101" s="78"/>
      <c r="B101" t="s">
        <v>15</v>
      </c>
      <c r="C101">
        <v>8656.7882490000011</v>
      </c>
      <c r="D101">
        <v>4756.7406638487691</v>
      </c>
    </row>
    <row r="102" spans="1:4" x14ac:dyDescent="0.2">
      <c r="A102" s="78">
        <v>45342</v>
      </c>
      <c r="B102" t="s">
        <v>16</v>
      </c>
      <c r="C102">
        <v>81520.145294550006</v>
      </c>
      <c r="D102">
        <v>8767.5193432782526</v>
      </c>
    </row>
    <row r="103" spans="1:4" x14ac:dyDescent="0.2">
      <c r="A103" s="78"/>
      <c r="B103" t="s">
        <v>15</v>
      </c>
      <c r="C103">
        <v>8656.7882490000011</v>
      </c>
      <c r="D103">
        <v>4876.2923812214613</v>
      </c>
    </row>
    <row r="104" spans="1:4" x14ac:dyDescent="0.2">
      <c r="A104" s="78">
        <v>45341</v>
      </c>
      <c r="B104" t="s">
        <v>16</v>
      </c>
      <c r="C104">
        <v>81520.145294550006</v>
      </c>
      <c r="D104">
        <v>9027.6330076826507</v>
      </c>
    </row>
    <row r="105" spans="1:4" x14ac:dyDescent="0.2">
      <c r="A105" s="78"/>
      <c r="B105" t="s">
        <v>15</v>
      </c>
      <c r="C105">
        <v>8656.7882490000011</v>
      </c>
      <c r="D105">
        <v>4868.2402696316549</v>
      </c>
    </row>
    <row r="106" spans="1:4" x14ac:dyDescent="0.2">
      <c r="A106" s="78">
        <v>45340</v>
      </c>
      <c r="B106" t="s">
        <v>16</v>
      </c>
      <c r="C106">
        <v>81520.145294550006</v>
      </c>
      <c r="D106">
        <v>7315.6113171212937</v>
      </c>
    </row>
    <row r="107" spans="1:4" x14ac:dyDescent="0.2">
      <c r="A107" s="78"/>
      <c r="B107" t="s">
        <v>15</v>
      </c>
      <c r="C107">
        <v>8656.7882490000011</v>
      </c>
      <c r="D107">
        <v>4821.8219650653391</v>
      </c>
    </row>
    <row r="108" spans="1:4" x14ac:dyDescent="0.2">
      <c r="A108" s="78">
        <v>45339</v>
      </c>
      <c r="B108" t="s">
        <v>16</v>
      </c>
      <c r="C108">
        <v>81520.145294550006</v>
      </c>
      <c r="D108">
        <v>6802.3816775845844</v>
      </c>
    </row>
    <row r="109" spans="1:4" x14ac:dyDescent="0.2">
      <c r="A109" s="78"/>
      <c r="B109" t="s">
        <v>15</v>
      </c>
      <c r="C109">
        <v>8656.7882490000011</v>
      </c>
      <c r="D109">
        <v>4760.8267544701794</v>
      </c>
    </row>
    <row r="110" spans="1:4" x14ac:dyDescent="0.2">
      <c r="A110" s="78">
        <v>45338</v>
      </c>
      <c r="B110" t="s">
        <v>16</v>
      </c>
      <c r="C110">
        <v>81520.145294550006</v>
      </c>
      <c r="D110">
        <v>6971.5033710126572</v>
      </c>
    </row>
    <row r="111" spans="1:4" x14ac:dyDescent="0.2">
      <c r="A111" s="78"/>
      <c r="B111" t="s">
        <v>15</v>
      </c>
      <c r="C111">
        <v>8656.7882490000011</v>
      </c>
      <c r="D111">
        <v>4892.1478948746826</v>
      </c>
    </row>
    <row r="112" spans="1:4" x14ac:dyDescent="0.2">
      <c r="A112" s="78">
        <v>45337</v>
      </c>
      <c r="B112" t="s">
        <v>16</v>
      </c>
      <c r="C112">
        <v>81520.145294550006</v>
      </c>
      <c r="D112">
        <v>6742.8964275631524</v>
      </c>
    </row>
    <row r="113" spans="1:4" x14ac:dyDescent="0.2">
      <c r="A113" s="78"/>
      <c r="B113" t="s">
        <v>15</v>
      </c>
      <c r="C113">
        <v>8656.7882490000011</v>
      </c>
      <c r="D113">
        <v>4870.9222291990773</v>
      </c>
    </row>
    <row r="114" spans="1:4" x14ac:dyDescent="0.2">
      <c r="A114" s="78">
        <v>45336</v>
      </c>
      <c r="B114" t="s">
        <v>16</v>
      </c>
      <c r="C114">
        <v>81520.145294550006</v>
      </c>
      <c r="D114">
        <v>6712.8562540221092</v>
      </c>
    </row>
    <row r="115" spans="1:4" x14ac:dyDescent="0.2">
      <c r="A115" s="78"/>
      <c r="B115" t="s">
        <v>15</v>
      </c>
      <c r="C115">
        <v>8656.7882490000011</v>
      </c>
      <c r="D115">
        <v>4658.781140566145</v>
      </c>
    </row>
    <row r="116" spans="1:4" x14ac:dyDescent="0.2">
      <c r="A116" s="78">
        <v>45335</v>
      </c>
      <c r="B116" t="s">
        <v>16</v>
      </c>
      <c r="C116">
        <v>81520.145294550006</v>
      </c>
      <c r="D116">
        <v>6648.3852319144607</v>
      </c>
    </row>
    <row r="117" spans="1:4" x14ac:dyDescent="0.2">
      <c r="A117" s="78"/>
      <c r="B117" t="s">
        <v>15</v>
      </c>
      <c r="C117">
        <v>8656.7882490000011</v>
      </c>
      <c r="D117">
        <v>4545.3161841470892</v>
      </c>
    </row>
    <row r="118" spans="1:4" x14ac:dyDescent="0.2">
      <c r="A118" s="78">
        <v>45334</v>
      </c>
      <c r="B118" t="s">
        <v>16</v>
      </c>
      <c r="C118">
        <v>81520.145294550006</v>
      </c>
      <c r="D118">
        <v>6513.3960233212156</v>
      </c>
    </row>
    <row r="119" spans="1:4" x14ac:dyDescent="0.2">
      <c r="A119" s="78"/>
      <c r="B119" t="s">
        <v>15</v>
      </c>
      <c r="C119">
        <v>8656.7882490000011</v>
      </c>
      <c r="D119">
        <v>4606.8336587773119</v>
      </c>
    </row>
    <row r="120" spans="1:4" x14ac:dyDescent="0.2">
      <c r="A120" s="78">
        <v>45333</v>
      </c>
      <c r="B120" t="s">
        <v>16</v>
      </c>
      <c r="C120">
        <v>81520.145294550006</v>
      </c>
      <c r="D120">
        <v>6374.1563543523134</v>
      </c>
    </row>
    <row r="121" spans="1:4" x14ac:dyDescent="0.2">
      <c r="A121" s="78"/>
      <c r="B121" t="s">
        <v>15</v>
      </c>
      <c r="C121">
        <v>8656.7882490000011</v>
      </c>
      <c r="D121">
        <v>4552.4307655695302</v>
      </c>
    </row>
    <row r="122" spans="1:4" x14ac:dyDescent="0.2">
      <c r="A122" s="78">
        <v>45332</v>
      </c>
      <c r="B122" t="s">
        <v>16</v>
      </c>
      <c r="C122">
        <v>81520.145294550006</v>
      </c>
      <c r="D122">
        <v>6426.4759836023541</v>
      </c>
    </row>
    <row r="123" spans="1:4" x14ac:dyDescent="0.2">
      <c r="A123" s="78"/>
      <c r="B123" t="s">
        <v>15</v>
      </c>
      <c r="C123">
        <v>8656.7882490000011</v>
      </c>
      <c r="D123">
        <v>4534.5588262294696</v>
      </c>
    </row>
    <row r="124" spans="1:4" x14ac:dyDescent="0.2">
      <c r="A124" s="78">
        <v>45331</v>
      </c>
      <c r="B124" t="s">
        <v>16</v>
      </c>
      <c r="C124">
        <v>81520.145294550006</v>
      </c>
      <c r="D124">
        <v>6474.5899885566514</v>
      </c>
    </row>
    <row r="125" spans="1:4" x14ac:dyDescent="0.2">
      <c r="A125" s="78"/>
      <c r="B125" t="s">
        <v>15</v>
      </c>
      <c r="C125">
        <v>8656.7882490000011</v>
      </c>
      <c r="D125">
        <v>4550.7808682971536</v>
      </c>
    </row>
    <row r="126" spans="1:4" x14ac:dyDescent="0.2">
      <c r="A126" s="78">
        <v>45330</v>
      </c>
      <c r="B126" t="s">
        <v>16</v>
      </c>
      <c r="C126">
        <v>81520.145294550006</v>
      </c>
      <c r="D126">
        <v>6201.2129965128306</v>
      </c>
    </row>
    <row r="127" spans="1:4" x14ac:dyDescent="0.2">
      <c r="A127" s="78"/>
      <c r="B127" t="s">
        <v>15</v>
      </c>
      <c r="C127">
        <v>8656.7882490000011</v>
      </c>
      <c r="D127">
        <v>4450.1994635575547</v>
      </c>
    </row>
    <row r="128" spans="1:4" x14ac:dyDescent="0.2">
      <c r="A128" s="78">
        <v>45329</v>
      </c>
      <c r="B128" t="s">
        <v>16</v>
      </c>
      <c r="C128">
        <v>81520.145294550006</v>
      </c>
      <c r="D128">
        <v>6191.671878707557</v>
      </c>
    </row>
    <row r="129" spans="1:4" x14ac:dyDescent="0.2">
      <c r="A129" s="78"/>
      <c r="B129" t="s">
        <v>15</v>
      </c>
      <c r="C129">
        <v>8656.7882490000011</v>
      </c>
      <c r="D129">
        <v>4444.3750898557464</v>
      </c>
    </row>
    <row r="130" spans="1:4" x14ac:dyDescent="0.2">
      <c r="A130" s="78">
        <v>45328</v>
      </c>
      <c r="B130" t="s">
        <v>16</v>
      </c>
      <c r="C130">
        <v>81520.145294550006</v>
      </c>
      <c r="D130">
        <v>6105.5254651675396</v>
      </c>
    </row>
    <row r="131" spans="1:4" x14ac:dyDescent="0.2">
      <c r="A131" s="78"/>
      <c r="B131" t="s">
        <v>15</v>
      </c>
      <c r="C131">
        <v>8656.7882490000011</v>
      </c>
      <c r="D131">
        <v>4372.6260706261492</v>
      </c>
    </row>
    <row r="132" spans="1:4" x14ac:dyDescent="0.2">
      <c r="A132" s="78">
        <v>45327</v>
      </c>
      <c r="B132" t="s">
        <v>16</v>
      </c>
      <c r="C132">
        <v>81509.269995989991</v>
      </c>
      <c r="D132">
        <v>5653.1642656761805</v>
      </c>
    </row>
    <row r="133" spans="1:4" x14ac:dyDescent="0.2">
      <c r="A133" s="78"/>
      <c r="B133" t="s">
        <v>15</v>
      </c>
      <c r="C133">
        <v>8656.7882490000011</v>
      </c>
      <c r="D133">
        <v>4380.9811698046706</v>
      </c>
    </row>
    <row r="134" spans="1:4" x14ac:dyDescent="0.2">
      <c r="A134" s="78">
        <v>45326</v>
      </c>
      <c r="B134" t="s">
        <v>16</v>
      </c>
      <c r="C134">
        <v>81509.269995989991</v>
      </c>
      <c r="D134">
        <v>5580.9454222743343</v>
      </c>
    </row>
    <row r="135" spans="1:4" x14ac:dyDescent="0.2">
      <c r="A135" s="78"/>
      <c r="B135" t="s">
        <v>15</v>
      </c>
      <c r="C135">
        <v>8656.7882490000011</v>
      </c>
      <c r="D135">
        <v>4357.1339689436209</v>
      </c>
    </row>
    <row r="136" spans="1:4" x14ac:dyDescent="0.2">
      <c r="A136" s="78">
        <v>45325</v>
      </c>
      <c r="B136" t="s">
        <v>16</v>
      </c>
      <c r="C136">
        <v>81509.269995989991</v>
      </c>
      <c r="D136">
        <v>5649.9495400675387</v>
      </c>
    </row>
    <row r="137" spans="1:4" x14ac:dyDescent="0.2">
      <c r="A137" s="78"/>
      <c r="B137" t="s">
        <v>15</v>
      </c>
      <c r="C137">
        <v>8656.7882490000011</v>
      </c>
      <c r="D137">
        <v>4493.0843268642766</v>
      </c>
    </row>
    <row r="138" spans="1:4" x14ac:dyDescent="0.2">
      <c r="A138" s="78">
        <v>45324</v>
      </c>
      <c r="B138" t="s">
        <v>16</v>
      </c>
      <c r="C138">
        <v>81509.269995989991</v>
      </c>
      <c r="D138">
        <v>5639.7877793771386</v>
      </c>
    </row>
    <row r="139" spans="1:4" x14ac:dyDescent="0.2">
      <c r="A139" s="78"/>
      <c r="B139" t="s">
        <v>15</v>
      </c>
      <c r="C139">
        <v>8656.7882490000011</v>
      </c>
      <c r="D139">
        <v>4415.5384625195011</v>
      </c>
    </row>
    <row r="140" spans="1:4" x14ac:dyDescent="0.2">
      <c r="A140" s="78">
        <v>45323</v>
      </c>
      <c r="B140" t="s">
        <v>16</v>
      </c>
      <c r="C140">
        <v>81509.269995989991</v>
      </c>
      <c r="D140">
        <v>5725.2388376701356</v>
      </c>
    </row>
    <row r="141" spans="1:4" x14ac:dyDescent="0.2">
      <c r="A141" s="78"/>
      <c r="B141" t="s">
        <v>15</v>
      </c>
      <c r="C141">
        <v>8656.7882490000011</v>
      </c>
      <c r="D141">
        <v>4379.9299760075965</v>
      </c>
    </row>
    <row r="142" spans="1:4" x14ac:dyDescent="0.2">
      <c r="A142" s="78">
        <v>45322</v>
      </c>
      <c r="B142" t="s">
        <v>16</v>
      </c>
      <c r="C142">
        <v>81509.269995989991</v>
      </c>
      <c r="D142">
        <v>5663.699338823164</v>
      </c>
    </row>
    <row r="143" spans="1:4" x14ac:dyDescent="0.2">
      <c r="A143" s="78"/>
      <c r="B143" t="s">
        <v>15</v>
      </c>
      <c r="C143">
        <v>8656.7882490000011</v>
      </c>
      <c r="D143">
        <v>4352.6079403433951</v>
      </c>
    </row>
    <row r="144" spans="1:4" x14ac:dyDescent="0.2">
      <c r="A144" s="78">
        <v>45321</v>
      </c>
      <c r="B144" t="s">
        <v>16</v>
      </c>
      <c r="C144">
        <v>81509.269995989991</v>
      </c>
      <c r="D144">
        <v>5941.462553651998</v>
      </c>
    </row>
    <row r="145" spans="1:4" x14ac:dyDescent="0.2">
      <c r="A145" s="78"/>
      <c r="B145" t="s">
        <v>15</v>
      </c>
      <c r="C145">
        <v>8656.7882490000011</v>
      </c>
      <c r="D145">
        <v>4422.8776010291213</v>
      </c>
    </row>
    <row r="146" spans="1:4" x14ac:dyDescent="0.2">
      <c r="A146" s="78">
        <v>45320</v>
      </c>
      <c r="B146" t="s">
        <v>16</v>
      </c>
      <c r="C146">
        <v>81436.587381429985</v>
      </c>
      <c r="D146">
        <v>6057.2916446268318</v>
      </c>
    </row>
    <row r="147" spans="1:4" x14ac:dyDescent="0.2">
      <c r="A147" s="78"/>
      <c r="B147" t="s">
        <v>15</v>
      </c>
      <c r="C147">
        <v>8656.7882490000011</v>
      </c>
      <c r="D147">
        <v>4633.8844772656694</v>
      </c>
    </row>
    <row r="148" spans="1:4" x14ac:dyDescent="0.2">
      <c r="A148" s="78">
        <v>45319</v>
      </c>
      <c r="B148" t="s">
        <v>16</v>
      </c>
      <c r="C148">
        <v>81436.587381429985</v>
      </c>
      <c r="D148">
        <v>5973.5666891399833</v>
      </c>
    </row>
    <row r="149" spans="1:4" x14ac:dyDescent="0.2">
      <c r="A149" s="78"/>
      <c r="B149" t="s">
        <v>15</v>
      </c>
      <c r="C149">
        <v>8656.7882490000011</v>
      </c>
      <c r="D149">
        <v>4536.6025207992943</v>
      </c>
    </row>
    <row r="150" spans="1:4" x14ac:dyDescent="0.2">
      <c r="A150" s="78">
        <v>45318</v>
      </c>
      <c r="B150" t="s">
        <v>16</v>
      </c>
      <c r="C150">
        <v>81436.587381429985</v>
      </c>
      <c r="D150">
        <v>6061.1843135036643</v>
      </c>
    </row>
    <row r="151" spans="1:4" x14ac:dyDescent="0.2">
      <c r="A151" s="78"/>
      <c r="B151" t="s">
        <v>15</v>
      </c>
      <c r="C151">
        <v>8656.7882490000011</v>
      </c>
      <c r="D151">
        <v>4588.2072803413503</v>
      </c>
    </row>
    <row r="152" spans="1:4" x14ac:dyDescent="0.2">
      <c r="A152" s="78">
        <v>45317</v>
      </c>
      <c r="B152" t="s">
        <v>16</v>
      </c>
      <c r="C152">
        <v>81436.587381429985</v>
      </c>
      <c r="D152">
        <v>6061.2600495299284</v>
      </c>
    </row>
    <row r="153" spans="1:4" x14ac:dyDescent="0.2">
      <c r="A153" s="78"/>
      <c r="B153" t="s">
        <v>15</v>
      </c>
      <c r="C153">
        <v>8656.7882490000011</v>
      </c>
      <c r="D153">
        <v>4606.38653566425</v>
      </c>
    </row>
    <row r="154" spans="1:4" x14ac:dyDescent="0.2">
      <c r="A154" s="78">
        <v>45316</v>
      </c>
      <c r="B154" t="s">
        <v>16</v>
      </c>
      <c r="C154">
        <v>81436.587381429985</v>
      </c>
      <c r="D154">
        <v>5811.2049361458776</v>
      </c>
    </row>
    <row r="155" spans="1:4" x14ac:dyDescent="0.2">
      <c r="A155" s="78"/>
      <c r="B155" t="s">
        <v>15</v>
      </c>
      <c r="C155">
        <v>8656.7882490000011</v>
      </c>
      <c r="D155">
        <v>4447.7356550540071</v>
      </c>
    </row>
    <row r="156" spans="1:4" x14ac:dyDescent="0.2">
      <c r="A156" s="78">
        <v>45315</v>
      </c>
      <c r="B156" t="s">
        <v>16</v>
      </c>
      <c r="C156">
        <v>81436.587381429985</v>
      </c>
      <c r="D156">
        <v>5883.5678589612698</v>
      </c>
    </row>
    <row r="157" spans="1:4" x14ac:dyDescent="0.2">
      <c r="A157" s="78"/>
      <c r="B157" t="s">
        <v>15</v>
      </c>
      <c r="C157">
        <v>8656.7882490000011</v>
      </c>
      <c r="D157">
        <v>4487.3656525469869</v>
      </c>
    </row>
    <row r="158" spans="1:4" x14ac:dyDescent="0.2">
      <c r="A158" s="78">
        <v>45314</v>
      </c>
      <c r="B158" t="s">
        <v>16</v>
      </c>
      <c r="C158">
        <v>81436.587381429985</v>
      </c>
      <c r="D158">
        <v>5754.3809285687385</v>
      </c>
    </row>
    <row r="159" spans="1:4" x14ac:dyDescent="0.2">
      <c r="A159" s="78"/>
      <c r="B159" t="s">
        <v>15</v>
      </c>
      <c r="C159">
        <v>8656.7882490000011</v>
      </c>
      <c r="D159">
        <v>4480.4920761093981</v>
      </c>
    </row>
    <row r="160" spans="1:4" x14ac:dyDescent="0.2">
      <c r="A160" s="78">
        <v>45313</v>
      </c>
      <c r="B160" t="s">
        <v>16</v>
      </c>
      <c r="C160">
        <v>81436.587381429985</v>
      </c>
      <c r="D160">
        <v>5774.4688915781153</v>
      </c>
    </row>
    <row r="161" spans="1:4" x14ac:dyDescent="0.2">
      <c r="A161" s="78"/>
      <c r="B161" t="s">
        <v>15</v>
      </c>
      <c r="C161">
        <v>8656.7882490000011</v>
      </c>
      <c r="D161">
        <v>4548.6351101938744</v>
      </c>
    </row>
    <row r="162" spans="1:4" x14ac:dyDescent="0.2">
      <c r="A162" s="78">
        <v>45312</v>
      </c>
      <c r="B162" t="s">
        <v>16</v>
      </c>
      <c r="C162">
        <v>81436.587381429985</v>
      </c>
      <c r="D162">
        <v>6151.8362651131774</v>
      </c>
    </row>
    <row r="163" spans="1:4" x14ac:dyDescent="0.2">
      <c r="A163" s="78"/>
      <c r="B163" t="s">
        <v>15</v>
      </c>
      <c r="C163">
        <v>8656.7882490000011</v>
      </c>
      <c r="D163">
        <v>4733.4875783652487</v>
      </c>
    </row>
    <row r="164" spans="1:4" x14ac:dyDescent="0.2">
      <c r="A164" s="78">
        <v>45311</v>
      </c>
      <c r="B164" t="s">
        <v>16</v>
      </c>
      <c r="C164">
        <v>81436.587381429985</v>
      </c>
      <c r="D164">
        <v>6214.0342730916173</v>
      </c>
    </row>
    <row r="165" spans="1:4" x14ac:dyDescent="0.2">
      <c r="A165" s="78"/>
      <c r="B165" t="s">
        <v>15</v>
      </c>
      <c r="C165">
        <v>8656.7882490000011</v>
      </c>
      <c r="D165">
        <v>4784.7451141306356</v>
      </c>
    </row>
    <row r="166" spans="1:4" x14ac:dyDescent="0.2">
      <c r="A166" s="78">
        <v>45310</v>
      </c>
      <c r="B166" t="s">
        <v>16</v>
      </c>
      <c r="C166">
        <v>81436.587381429985</v>
      </c>
      <c r="D166">
        <v>6159.1044805369693</v>
      </c>
    </row>
    <row r="167" spans="1:4" x14ac:dyDescent="0.2">
      <c r="A167" s="78"/>
      <c r="B167" t="s">
        <v>15</v>
      </c>
      <c r="C167">
        <v>8656.7882490000011</v>
      </c>
      <c r="D167">
        <v>4709.1731706423989</v>
      </c>
    </row>
    <row r="168" spans="1:4" x14ac:dyDescent="0.2">
      <c r="A168" s="78">
        <v>45309</v>
      </c>
      <c r="B168" t="s">
        <v>16</v>
      </c>
      <c r="C168">
        <v>81436.587381429985</v>
      </c>
      <c r="D168">
        <v>6123.0378447174817</v>
      </c>
    </row>
    <row r="169" spans="1:4" x14ac:dyDescent="0.2">
      <c r="A169" s="78"/>
      <c r="B169" t="s">
        <v>15</v>
      </c>
      <c r="C169">
        <v>8656.7882490000011</v>
      </c>
      <c r="D169">
        <v>4775.5568856510308</v>
      </c>
    </row>
    <row r="170" spans="1:4" x14ac:dyDescent="0.2">
      <c r="A170" s="78">
        <v>45308</v>
      </c>
      <c r="B170" t="s">
        <v>16</v>
      </c>
      <c r="C170">
        <v>81436.587381429985</v>
      </c>
      <c r="D170">
        <v>6418.0997024837516</v>
      </c>
    </row>
    <row r="171" spans="1:4" x14ac:dyDescent="0.2">
      <c r="A171" s="78"/>
      <c r="B171" t="s">
        <v>15</v>
      </c>
      <c r="C171">
        <v>8656.7882490000011</v>
      </c>
      <c r="D171">
        <v>4916.1935958902832</v>
      </c>
    </row>
    <row r="172" spans="1:4" x14ac:dyDescent="0.2">
      <c r="A172" s="78">
        <v>45307</v>
      </c>
      <c r="B172" t="s">
        <v>16</v>
      </c>
      <c r="C172">
        <v>81436.587381429985</v>
      </c>
      <c r="D172">
        <v>6564.7026614536762</v>
      </c>
    </row>
    <row r="173" spans="1:4" x14ac:dyDescent="0.2">
      <c r="A173" s="78"/>
      <c r="B173" t="s">
        <v>15</v>
      </c>
      <c r="C173">
        <v>8656.7882490000011</v>
      </c>
      <c r="D173">
        <v>4984.8889330650454</v>
      </c>
    </row>
    <row r="174" spans="1:4" x14ac:dyDescent="0.2">
      <c r="A174" s="78">
        <v>45306</v>
      </c>
      <c r="B174" t="s">
        <v>16</v>
      </c>
      <c r="C174">
        <v>81436.587381429985</v>
      </c>
      <c r="D174">
        <v>6328.2409432353352</v>
      </c>
    </row>
    <row r="175" spans="1:4" x14ac:dyDescent="0.2">
      <c r="A175" s="78"/>
      <c r="B175" t="s">
        <v>15</v>
      </c>
      <c r="C175">
        <v>8656.7882490000011</v>
      </c>
      <c r="D175">
        <v>4988.0647624020721</v>
      </c>
    </row>
    <row r="176" spans="1:4" x14ac:dyDescent="0.2">
      <c r="A176" s="78">
        <v>45305</v>
      </c>
      <c r="B176" t="s">
        <v>16</v>
      </c>
      <c r="C176">
        <v>81436.587381429985</v>
      </c>
      <c r="D176">
        <v>6275.0913544808454</v>
      </c>
    </row>
    <row r="177" spans="1:4" x14ac:dyDescent="0.2">
      <c r="A177" s="78"/>
      <c r="B177" t="s">
        <v>15</v>
      </c>
      <c r="C177">
        <v>8656.7882490000011</v>
      </c>
      <c r="D177">
        <v>4983.8177420871134</v>
      </c>
    </row>
    <row r="178" spans="1:4" x14ac:dyDescent="0.2">
      <c r="A178" s="78">
        <v>45304</v>
      </c>
      <c r="B178" t="s">
        <v>16</v>
      </c>
      <c r="C178">
        <v>81436.587381429985</v>
      </c>
      <c r="D178">
        <v>6619.0298232617006</v>
      </c>
    </row>
    <row r="179" spans="1:4" x14ac:dyDescent="0.2">
      <c r="A179" s="78"/>
      <c r="B179" t="s">
        <v>15</v>
      </c>
      <c r="C179">
        <v>8656.7882490000011</v>
      </c>
      <c r="D179">
        <v>4975.7789619512096</v>
      </c>
    </row>
    <row r="180" spans="1:4" x14ac:dyDescent="0.2">
      <c r="A180" s="78">
        <v>45303</v>
      </c>
      <c r="B180" t="s">
        <v>16</v>
      </c>
      <c r="C180">
        <v>81436.587381429985</v>
      </c>
      <c r="D180">
        <v>6523.1545289375454</v>
      </c>
    </row>
    <row r="181" spans="1:4" x14ac:dyDescent="0.2">
      <c r="A181" s="78"/>
      <c r="B181" t="s">
        <v>15</v>
      </c>
      <c r="C181">
        <v>8656.7882490000011</v>
      </c>
      <c r="D181">
        <v>4949.029226558152</v>
      </c>
    </row>
    <row r="182" spans="1:4" x14ac:dyDescent="0.2">
      <c r="A182" s="78">
        <v>45302</v>
      </c>
      <c r="B182" t="s">
        <v>16</v>
      </c>
      <c r="C182">
        <v>81436.587381429985</v>
      </c>
      <c r="D182">
        <v>6843.478016109535</v>
      </c>
    </row>
    <row r="183" spans="1:4" x14ac:dyDescent="0.2">
      <c r="A183" s="78"/>
      <c r="B183" t="s">
        <v>15</v>
      </c>
      <c r="C183">
        <v>8656.7882490000011</v>
      </c>
      <c r="D183">
        <v>5206.9078499294974</v>
      </c>
    </row>
    <row r="184" spans="1:4" x14ac:dyDescent="0.2">
      <c r="A184" s="78">
        <v>45301</v>
      </c>
      <c r="B184" t="s">
        <v>16</v>
      </c>
      <c r="C184">
        <v>81436.587381429985</v>
      </c>
      <c r="D184">
        <v>6820.4412342710766</v>
      </c>
    </row>
    <row r="185" spans="1:4" x14ac:dyDescent="0.2">
      <c r="A185" s="78"/>
      <c r="B185" t="s">
        <v>15</v>
      </c>
      <c r="C185">
        <v>8656.7882490000011</v>
      </c>
      <c r="D185">
        <v>5197.102738719268</v>
      </c>
    </row>
    <row r="186" spans="1:4" x14ac:dyDescent="0.2">
      <c r="A186" s="78">
        <v>45300</v>
      </c>
      <c r="B186" t="s">
        <v>16</v>
      </c>
      <c r="C186">
        <v>81436.587381429985</v>
      </c>
      <c r="D186">
        <v>6296.8357376775602</v>
      </c>
    </row>
    <row r="187" spans="1:4" x14ac:dyDescent="0.2">
      <c r="A187" s="78"/>
      <c r="B187" t="s">
        <v>15</v>
      </c>
      <c r="C187">
        <v>8656.7882490000011</v>
      </c>
      <c r="D187">
        <v>4903.35817595349</v>
      </c>
    </row>
    <row r="188" spans="1:4" x14ac:dyDescent="0.2">
      <c r="A188" s="78">
        <v>45299</v>
      </c>
      <c r="B188" t="s">
        <v>16</v>
      </c>
      <c r="C188">
        <v>81436.587381429985</v>
      </c>
      <c r="D188">
        <v>6649.9537385880531</v>
      </c>
    </row>
    <row r="189" spans="1:4" x14ac:dyDescent="0.2">
      <c r="A189" s="78"/>
      <c r="B189" t="s">
        <v>15</v>
      </c>
      <c r="C189">
        <v>8656.7882490000011</v>
      </c>
      <c r="D189">
        <v>4998.3949078196047</v>
      </c>
    </row>
    <row r="190" spans="1:4" x14ac:dyDescent="0.2">
      <c r="A190" s="78">
        <v>45298</v>
      </c>
      <c r="B190" t="s">
        <v>16</v>
      </c>
      <c r="C190">
        <v>81436.587381429985</v>
      </c>
      <c r="D190">
        <v>6127.4460071924377</v>
      </c>
    </row>
    <row r="191" spans="1:4" x14ac:dyDescent="0.2">
      <c r="A191" s="78"/>
      <c r="B191" t="s">
        <v>15</v>
      </c>
      <c r="C191">
        <v>8656.7882490000011</v>
      </c>
      <c r="D191">
        <v>4776.8501232475492</v>
      </c>
    </row>
    <row r="192" spans="1:4" x14ac:dyDescent="0.2">
      <c r="A192" s="78">
        <v>45297</v>
      </c>
      <c r="B192" t="s">
        <v>16</v>
      </c>
      <c r="C192">
        <v>81436.587381429985</v>
      </c>
      <c r="D192">
        <v>6476.8154819857637</v>
      </c>
    </row>
    <row r="193" spans="1:4" x14ac:dyDescent="0.2">
      <c r="A193" s="78"/>
      <c r="B193" t="s">
        <v>15</v>
      </c>
      <c r="C193">
        <v>8656.7882490000011</v>
      </c>
      <c r="D193">
        <v>4916.3775526405743</v>
      </c>
    </row>
    <row r="194" spans="1:4" x14ac:dyDescent="0.2">
      <c r="A194" s="78">
        <v>45296</v>
      </c>
      <c r="B194" t="s">
        <v>16</v>
      </c>
      <c r="C194">
        <v>81436.587381429985</v>
      </c>
      <c r="D194">
        <v>6893.8693476494163</v>
      </c>
    </row>
    <row r="195" spans="1:4" x14ac:dyDescent="0.2">
      <c r="A195" s="78"/>
      <c r="B195" t="s">
        <v>15</v>
      </c>
      <c r="C195">
        <v>8656.7882490000011</v>
      </c>
      <c r="D195">
        <v>4985.4304151700198</v>
      </c>
    </row>
    <row r="196" spans="1:4" x14ac:dyDescent="0.2">
      <c r="A196" s="78">
        <v>45295</v>
      </c>
      <c r="B196" t="s">
        <v>16</v>
      </c>
      <c r="C196">
        <v>81436.587381429985</v>
      </c>
      <c r="D196">
        <v>7177.1505886850891</v>
      </c>
    </row>
    <row r="197" spans="1:4" x14ac:dyDescent="0.2">
      <c r="A197" s="78"/>
      <c r="B197" t="s">
        <v>15</v>
      </c>
      <c r="C197">
        <v>8656.7882490000011</v>
      </c>
      <c r="D197">
        <v>5083.4932139364546</v>
      </c>
    </row>
    <row r="198" spans="1:4" x14ac:dyDescent="0.2">
      <c r="A198" s="78">
        <v>45294</v>
      </c>
      <c r="B198" t="s">
        <v>16</v>
      </c>
      <c r="C198">
        <v>81436.587381429985</v>
      </c>
      <c r="D198">
        <v>7203.2094822812742</v>
      </c>
    </row>
    <row r="199" spans="1:4" x14ac:dyDescent="0.2">
      <c r="A199" s="78"/>
      <c r="B199" t="s">
        <v>15</v>
      </c>
      <c r="C199">
        <v>8656.7882490000011</v>
      </c>
      <c r="D199">
        <v>5041.9243555793464</v>
      </c>
    </row>
    <row r="200" spans="1:4" x14ac:dyDescent="0.2">
      <c r="A200" s="78">
        <v>45293</v>
      </c>
      <c r="B200" t="s">
        <v>16</v>
      </c>
      <c r="C200">
        <v>81436.587381429985</v>
      </c>
      <c r="D200">
        <v>7911.6906908163646</v>
      </c>
    </row>
    <row r="201" spans="1:4" x14ac:dyDescent="0.2">
      <c r="A201" s="78"/>
      <c r="B201" t="s">
        <v>15</v>
      </c>
      <c r="C201">
        <v>8656.7882490000011</v>
      </c>
      <c r="D201">
        <v>5435.4743285860823</v>
      </c>
    </row>
    <row r="202" spans="1:4" x14ac:dyDescent="0.2">
      <c r="A202" s="78">
        <v>45292</v>
      </c>
      <c r="B202" t="s">
        <v>16</v>
      </c>
      <c r="C202">
        <v>81436.587381429985</v>
      </c>
      <c r="D202">
        <v>7496.7973378159404</v>
      </c>
    </row>
    <row r="203" spans="1:4" x14ac:dyDescent="0.2">
      <c r="A203" s="78"/>
      <c r="B203" t="s">
        <v>15</v>
      </c>
      <c r="C203">
        <v>8656.7882490000011</v>
      </c>
      <c r="D203">
        <v>5451.0327412665974</v>
      </c>
    </row>
    <row r="204" spans="1:4" x14ac:dyDescent="0.2">
      <c r="A204" s="78">
        <v>45291</v>
      </c>
      <c r="B204" t="s">
        <v>16</v>
      </c>
      <c r="C204">
        <v>81436.587381429985</v>
      </c>
      <c r="D204">
        <v>6978.9371924621846</v>
      </c>
    </row>
    <row r="205" spans="1:4" x14ac:dyDescent="0.2">
      <c r="A205" s="78"/>
      <c r="B205" t="s">
        <v>15</v>
      </c>
      <c r="C205">
        <v>8656.7882490000011</v>
      </c>
      <c r="D205">
        <v>5311.4248903107391</v>
      </c>
    </row>
    <row r="206" spans="1:4" x14ac:dyDescent="0.2">
      <c r="A206" s="78">
        <v>45290</v>
      </c>
      <c r="B206" t="s">
        <v>16</v>
      </c>
      <c r="C206">
        <v>81436.587381429985</v>
      </c>
      <c r="D206">
        <v>7099.2198463904306</v>
      </c>
    </row>
    <row r="207" spans="1:4" x14ac:dyDescent="0.2">
      <c r="A207" s="78"/>
      <c r="B207" t="s">
        <v>15</v>
      </c>
      <c r="C207">
        <v>8656.7882490000011</v>
      </c>
      <c r="D207">
        <v>5382.5500148112314</v>
      </c>
    </row>
    <row r="208" spans="1:4" x14ac:dyDescent="0.2">
      <c r="A208" s="78">
        <v>45289</v>
      </c>
      <c r="B208" t="s">
        <v>16</v>
      </c>
      <c r="C208">
        <v>81436.587381429985</v>
      </c>
      <c r="D208">
        <v>7256.0300672227422</v>
      </c>
    </row>
    <row r="209" spans="1:4" x14ac:dyDescent="0.2">
      <c r="A209" s="78"/>
      <c r="B209" t="s">
        <v>15</v>
      </c>
      <c r="C209">
        <v>8656.7882490000011</v>
      </c>
      <c r="D209">
        <v>5393.8092067436464</v>
      </c>
    </row>
    <row r="210" spans="1:4" x14ac:dyDescent="0.2">
      <c r="A210" s="78">
        <v>45288</v>
      </c>
      <c r="B210" t="s">
        <v>16</v>
      </c>
      <c r="C210">
        <v>81436.587381429985</v>
      </c>
      <c r="D210">
        <v>7280.439869924453</v>
      </c>
    </row>
    <row r="211" spans="1:4" x14ac:dyDescent="0.2">
      <c r="A211" s="78"/>
      <c r="B211" t="s">
        <v>15</v>
      </c>
      <c r="C211">
        <v>8656.7882490000011</v>
      </c>
      <c r="D211">
        <v>5494.4419462375599</v>
      </c>
    </row>
    <row r="212" spans="1:4" x14ac:dyDescent="0.2">
      <c r="A212" s="78">
        <v>45287</v>
      </c>
      <c r="B212" t="s">
        <v>16</v>
      </c>
      <c r="C212">
        <v>81436.587381429985</v>
      </c>
      <c r="D212">
        <v>7509.0201552160197</v>
      </c>
    </row>
    <row r="213" spans="1:4" x14ac:dyDescent="0.2">
      <c r="A213" s="78"/>
      <c r="B213" t="s">
        <v>15</v>
      </c>
      <c r="C213">
        <v>8656.7882490000011</v>
      </c>
      <c r="D213">
        <v>5497.5879096551298</v>
      </c>
    </row>
    <row r="214" spans="1:4" x14ac:dyDescent="0.2">
      <c r="A214" s="78">
        <v>45286</v>
      </c>
      <c r="B214" t="s">
        <v>16</v>
      </c>
      <c r="C214">
        <v>81436.587381429985</v>
      </c>
      <c r="D214">
        <v>7291.1609966532178</v>
      </c>
    </row>
    <row r="215" spans="1:4" x14ac:dyDescent="0.2">
      <c r="A215" s="78"/>
      <c r="B215" t="s">
        <v>15</v>
      </c>
      <c r="C215">
        <v>8656.7882490000011</v>
      </c>
      <c r="D215">
        <v>5381.3611780809961</v>
      </c>
    </row>
    <row r="216" spans="1:4" x14ac:dyDescent="0.2">
      <c r="A216" s="78">
        <v>45285</v>
      </c>
      <c r="B216" t="s">
        <v>16</v>
      </c>
      <c r="C216">
        <v>81436.587381429985</v>
      </c>
      <c r="D216">
        <v>7541.0459075696399</v>
      </c>
    </row>
    <row r="217" spans="1:4" x14ac:dyDescent="0.2">
      <c r="A217" s="78"/>
      <c r="B217" t="s">
        <v>15</v>
      </c>
      <c r="C217">
        <v>8656.7882490000011</v>
      </c>
      <c r="D217">
        <v>5601.7003317536128</v>
      </c>
    </row>
    <row r="218" spans="1:4" x14ac:dyDescent="0.2">
      <c r="A218" s="78">
        <v>45284</v>
      </c>
      <c r="B218" t="s">
        <v>16</v>
      </c>
      <c r="C218">
        <v>81436.587381429985</v>
      </c>
      <c r="D218">
        <v>7347.8343465437028</v>
      </c>
    </row>
    <row r="219" spans="1:4" x14ac:dyDescent="0.2">
      <c r="A219" s="78"/>
      <c r="B219" t="s">
        <v>15</v>
      </c>
      <c r="C219">
        <v>8656.7882490000011</v>
      </c>
      <c r="D219">
        <v>5309.6196902571764</v>
      </c>
    </row>
    <row r="220" spans="1:4" x14ac:dyDescent="0.2">
      <c r="A220" s="78">
        <v>45283</v>
      </c>
      <c r="B220" t="s">
        <v>16</v>
      </c>
      <c r="C220">
        <v>81436.587381429985</v>
      </c>
      <c r="D220">
        <v>7450.4558477665378</v>
      </c>
    </row>
    <row r="221" spans="1:4" x14ac:dyDescent="0.2">
      <c r="A221" s="78"/>
      <c r="B221" t="s">
        <v>15</v>
      </c>
      <c r="C221">
        <v>8656.7882490000011</v>
      </c>
      <c r="D221">
        <v>5364.6942636651966</v>
      </c>
    </row>
    <row r="222" spans="1:4" x14ac:dyDescent="0.2">
      <c r="A222" s="78">
        <v>45282</v>
      </c>
      <c r="B222" t="s">
        <v>16</v>
      </c>
      <c r="C222">
        <v>81436.587381429985</v>
      </c>
      <c r="D222">
        <v>7413.6896716614438</v>
      </c>
    </row>
    <row r="223" spans="1:4" x14ac:dyDescent="0.2">
      <c r="A223" s="78"/>
      <c r="B223" t="s">
        <v>15</v>
      </c>
      <c r="C223">
        <v>8656.7882490000011</v>
      </c>
      <c r="D223">
        <v>5411.5980409165159</v>
      </c>
    </row>
    <row r="224" spans="1:4" x14ac:dyDescent="0.2">
      <c r="A224" s="78">
        <v>45281</v>
      </c>
      <c r="B224" t="s">
        <v>16</v>
      </c>
      <c r="C224">
        <v>81402.458867199995</v>
      </c>
      <c r="D224">
        <v>7425.6869625378313</v>
      </c>
    </row>
    <row r="225" spans="1:4" x14ac:dyDescent="0.2">
      <c r="A225" s="78"/>
      <c r="B225" t="s">
        <v>15</v>
      </c>
      <c r="C225">
        <v>8656.7882490000011</v>
      </c>
      <c r="D225">
        <v>5396.9491104094404</v>
      </c>
    </row>
    <row r="226" spans="1:4" x14ac:dyDescent="0.2">
      <c r="A226" s="78">
        <v>45280</v>
      </c>
      <c r="B226" t="s">
        <v>16</v>
      </c>
      <c r="C226">
        <v>81402.458867199995</v>
      </c>
      <c r="D226">
        <v>7095.3126411515341</v>
      </c>
    </row>
    <row r="227" spans="1:4" x14ac:dyDescent="0.2">
      <c r="A227" s="78"/>
      <c r="B227" t="s">
        <v>15</v>
      </c>
      <c r="C227">
        <v>8656.7882490000011</v>
      </c>
      <c r="D227">
        <v>5338.0579321982004</v>
      </c>
    </row>
    <row r="228" spans="1:4" x14ac:dyDescent="0.2">
      <c r="A228" s="78">
        <v>45279</v>
      </c>
      <c r="B228" t="s">
        <v>16</v>
      </c>
      <c r="C228">
        <v>81402.458867199995</v>
      </c>
      <c r="D228">
        <v>6624.2138189985644</v>
      </c>
    </row>
    <row r="229" spans="1:4" x14ac:dyDescent="0.2">
      <c r="A229" s="78"/>
      <c r="B229" t="s">
        <v>15</v>
      </c>
      <c r="C229">
        <v>8656.7882490000011</v>
      </c>
      <c r="D229">
        <v>5234.7627974783036</v>
      </c>
    </row>
    <row r="230" spans="1:4" x14ac:dyDescent="0.2">
      <c r="A230" s="78">
        <v>45278</v>
      </c>
      <c r="B230" t="s">
        <v>16</v>
      </c>
      <c r="C230">
        <v>81402.458867199995</v>
      </c>
      <c r="D230">
        <v>6457.8402174674266</v>
      </c>
    </row>
    <row r="231" spans="1:4" x14ac:dyDescent="0.2">
      <c r="A231" s="78"/>
      <c r="B231" t="s">
        <v>15</v>
      </c>
      <c r="C231">
        <v>8656.7882490000011</v>
      </c>
      <c r="D231">
        <v>5302.5714198327223</v>
      </c>
    </row>
    <row r="232" spans="1:4" x14ac:dyDescent="0.2">
      <c r="A232" s="78">
        <v>45277</v>
      </c>
      <c r="B232" t="s">
        <v>16</v>
      </c>
      <c r="C232">
        <v>81402.458867199995</v>
      </c>
      <c r="D232">
        <v>6382.5348027693799</v>
      </c>
    </row>
    <row r="233" spans="1:4" x14ac:dyDescent="0.2">
      <c r="A233" s="78"/>
      <c r="B233" t="s">
        <v>15</v>
      </c>
      <c r="C233">
        <v>8656.7882490000011</v>
      </c>
      <c r="D233">
        <v>5280.8883294660391</v>
      </c>
    </row>
    <row r="234" spans="1:4" x14ac:dyDescent="0.2">
      <c r="A234" s="78">
        <v>45276</v>
      </c>
      <c r="B234" t="s">
        <v>16</v>
      </c>
      <c r="C234">
        <v>81402.458867199995</v>
      </c>
      <c r="D234">
        <v>6496.6024403308102</v>
      </c>
    </row>
    <row r="235" spans="1:4" x14ac:dyDescent="0.2">
      <c r="A235" s="78"/>
      <c r="B235" t="s">
        <v>15</v>
      </c>
      <c r="C235">
        <v>8656.7882490000011</v>
      </c>
      <c r="D235">
        <v>5364.5104800506697</v>
      </c>
    </row>
    <row r="236" spans="1:4" x14ac:dyDescent="0.2">
      <c r="A236" s="78">
        <v>45275</v>
      </c>
      <c r="B236" t="s">
        <v>16</v>
      </c>
      <c r="C236">
        <v>81402.458867199995</v>
      </c>
      <c r="D236">
        <v>6510.152693633845</v>
      </c>
    </row>
    <row r="237" spans="1:4" x14ac:dyDescent="0.2">
      <c r="A237" s="78"/>
      <c r="B237" t="s">
        <v>15</v>
      </c>
      <c r="C237">
        <v>8656.7882490000011</v>
      </c>
      <c r="D237">
        <v>5325.557270262997</v>
      </c>
    </row>
    <row r="238" spans="1:4" x14ac:dyDescent="0.2">
      <c r="A238" s="78">
        <v>45274</v>
      </c>
      <c r="B238" t="s">
        <v>16</v>
      </c>
      <c r="C238">
        <v>81402.458867199995</v>
      </c>
      <c r="D238">
        <v>6810.1166844365334</v>
      </c>
    </row>
    <row r="239" spans="1:4" x14ac:dyDescent="0.2">
      <c r="A239" s="78"/>
      <c r="B239" t="s">
        <v>15</v>
      </c>
      <c r="C239">
        <v>8656.7882490000011</v>
      </c>
      <c r="D239">
        <v>5472.8081129960146</v>
      </c>
    </row>
    <row r="240" spans="1:4" x14ac:dyDescent="0.2">
      <c r="A240" s="78">
        <v>45273</v>
      </c>
      <c r="B240" t="s">
        <v>16</v>
      </c>
      <c r="C240">
        <v>81402.458867199995</v>
      </c>
      <c r="D240">
        <v>6246.4217512975347</v>
      </c>
    </row>
    <row r="241" spans="1:4" x14ac:dyDescent="0.2">
      <c r="A241" s="78"/>
      <c r="B241" t="s">
        <v>15</v>
      </c>
      <c r="C241">
        <v>8656.7882490000011</v>
      </c>
      <c r="D241">
        <v>5437.5044319983554</v>
      </c>
    </row>
    <row r="242" spans="1:4" x14ac:dyDescent="0.2">
      <c r="A242" s="78">
        <v>45272</v>
      </c>
      <c r="B242" t="s">
        <v>16</v>
      </c>
      <c r="C242">
        <v>81402.458867199995</v>
      </c>
      <c r="D242">
        <v>6149.5495691472124</v>
      </c>
    </row>
    <row r="243" spans="1:4" x14ac:dyDescent="0.2">
      <c r="A243" s="78"/>
      <c r="B243" t="s">
        <v>15</v>
      </c>
      <c r="C243">
        <v>8656.7882490000011</v>
      </c>
      <c r="D243">
        <v>5358.9252934081796</v>
      </c>
    </row>
    <row r="244" spans="1:4" x14ac:dyDescent="0.2">
      <c r="A244" s="78">
        <v>45271</v>
      </c>
      <c r="B244" t="s">
        <v>16</v>
      </c>
      <c r="C244">
        <v>81402.458867199995</v>
      </c>
      <c r="D244">
        <v>5779.4166588009984</v>
      </c>
    </row>
    <row r="245" spans="1:4" x14ac:dyDescent="0.2">
      <c r="A245" s="78"/>
      <c r="B245" t="s">
        <v>15</v>
      </c>
      <c r="C245">
        <v>8656.7882490000011</v>
      </c>
      <c r="D245">
        <v>5363.3902050833667</v>
      </c>
    </row>
    <row r="246" spans="1:4" x14ac:dyDescent="0.2">
      <c r="A246" s="78">
        <v>45270</v>
      </c>
      <c r="B246" t="s">
        <v>16</v>
      </c>
      <c r="C246">
        <v>81402.458867199995</v>
      </c>
      <c r="D246">
        <v>6109.854474105211</v>
      </c>
    </row>
    <row r="247" spans="1:4" x14ac:dyDescent="0.2">
      <c r="A247" s="78"/>
      <c r="B247" t="s">
        <v>15</v>
      </c>
      <c r="C247">
        <v>8656.7882490000011</v>
      </c>
      <c r="D247">
        <v>5726.9828429471436</v>
      </c>
    </row>
    <row r="248" spans="1:4" x14ac:dyDescent="0.2">
      <c r="A248" s="78">
        <v>45269</v>
      </c>
      <c r="B248" t="s">
        <v>16</v>
      </c>
      <c r="C248">
        <v>81402.458867199995</v>
      </c>
      <c r="D248">
        <v>6060.7044834657854</v>
      </c>
    </row>
    <row r="249" spans="1:4" x14ac:dyDescent="0.2">
      <c r="A249" s="78"/>
      <c r="B249" t="s">
        <v>15</v>
      </c>
      <c r="C249">
        <v>8656.7882490000011</v>
      </c>
      <c r="D249">
        <v>5704.1503908046416</v>
      </c>
    </row>
    <row r="250" spans="1:4" x14ac:dyDescent="0.2">
      <c r="A250" s="78">
        <v>45268</v>
      </c>
      <c r="B250" t="s">
        <v>16</v>
      </c>
      <c r="C250">
        <v>81402.458867199995</v>
      </c>
      <c r="D250">
        <v>6043.7011378576026</v>
      </c>
    </row>
    <row r="251" spans="1:4" x14ac:dyDescent="0.2">
      <c r="A251" s="78"/>
      <c r="B251" t="s">
        <v>15</v>
      </c>
      <c r="C251">
        <v>8656.7882490000011</v>
      </c>
      <c r="D251">
        <v>5832.4379329030471</v>
      </c>
    </row>
    <row r="252" spans="1:4" x14ac:dyDescent="0.2">
      <c r="A252" s="78">
        <v>45267</v>
      </c>
      <c r="B252" t="s">
        <v>16</v>
      </c>
      <c r="C252">
        <v>81402.458867199995</v>
      </c>
      <c r="D252">
        <v>5631.347214170738</v>
      </c>
    </row>
    <row r="253" spans="1:4" x14ac:dyDescent="0.2">
      <c r="A253" s="78"/>
      <c r="B253" t="s">
        <v>15</v>
      </c>
      <c r="C253">
        <v>8656.7882490000011</v>
      </c>
      <c r="D253">
        <v>5567.1529943452688</v>
      </c>
    </row>
    <row r="254" spans="1:4" x14ac:dyDescent="0.2">
      <c r="A254" s="78">
        <v>45266</v>
      </c>
      <c r="B254" t="s">
        <v>16</v>
      </c>
      <c r="C254">
        <v>81354.157356489988</v>
      </c>
      <c r="D254">
        <v>5584.5431150710783</v>
      </c>
    </row>
    <row r="255" spans="1:4" x14ac:dyDescent="0.2">
      <c r="A255" s="78"/>
      <c r="B255" t="s">
        <v>15</v>
      </c>
      <c r="C255">
        <v>8656.7882490000011</v>
      </c>
      <c r="D255">
        <v>5555.8749306144709</v>
      </c>
    </row>
    <row r="256" spans="1:4" x14ac:dyDescent="0.2">
      <c r="A256" s="78">
        <v>45265</v>
      </c>
      <c r="B256" t="s">
        <v>16</v>
      </c>
      <c r="C256">
        <v>81354.157356489988</v>
      </c>
      <c r="D256">
        <v>5355.6881756362563</v>
      </c>
    </row>
    <row r="257" spans="1:4" x14ac:dyDescent="0.2">
      <c r="A257" s="78"/>
      <c r="B257" t="s">
        <v>15</v>
      </c>
      <c r="C257">
        <v>8656.7882490000011</v>
      </c>
      <c r="D257">
        <v>5382.3400011283102</v>
      </c>
    </row>
    <row r="258" spans="1:4" x14ac:dyDescent="0.2">
      <c r="A258" s="78">
        <v>45264</v>
      </c>
      <c r="B258" t="s">
        <v>16</v>
      </c>
      <c r="C258">
        <v>81354.157356489988</v>
      </c>
      <c r="D258">
        <v>5199.5069049679878</v>
      </c>
    </row>
    <row r="259" spans="1:4" x14ac:dyDescent="0.2">
      <c r="A259" s="78"/>
      <c r="B259" t="s">
        <v>15</v>
      </c>
      <c r="C259">
        <v>8656.7882490000011</v>
      </c>
      <c r="D259">
        <v>5405.3737235976023</v>
      </c>
    </row>
    <row r="260" spans="1:4" x14ac:dyDescent="0.2">
      <c r="A260" s="78">
        <v>45263</v>
      </c>
      <c r="B260" t="s">
        <v>16</v>
      </c>
      <c r="C260">
        <v>81354.157356489988</v>
      </c>
      <c r="D260">
        <v>5059.5313824451323</v>
      </c>
    </row>
    <row r="261" spans="1:4" x14ac:dyDescent="0.2">
      <c r="A261" s="78"/>
      <c r="B261" t="s">
        <v>15</v>
      </c>
      <c r="C261">
        <v>8656.7882490000011</v>
      </c>
      <c r="D261">
        <v>5394.2010995476776</v>
      </c>
    </row>
    <row r="262" spans="1:4" x14ac:dyDescent="0.2">
      <c r="A262" s="78">
        <v>45262</v>
      </c>
      <c r="B262" t="s">
        <v>16</v>
      </c>
      <c r="C262">
        <v>81354.157356489988</v>
      </c>
      <c r="D262">
        <v>5073.9725589174823</v>
      </c>
    </row>
    <row r="263" spans="1:4" x14ac:dyDescent="0.2">
      <c r="A263" s="78"/>
      <c r="B263" t="s">
        <v>15</v>
      </c>
      <c r="C263">
        <v>8656.7882490000011</v>
      </c>
      <c r="D263">
        <v>5372.2104334945079</v>
      </c>
    </row>
    <row r="264" spans="1:4" x14ac:dyDescent="0.2">
      <c r="A264" s="78">
        <v>45261</v>
      </c>
      <c r="B264" t="s">
        <v>16</v>
      </c>
      <c r="C264">
        <v>81354.157356489988</v>
      </c>
      <c r="D264">
        <v>4943.0395509848004</v>
      </c>
    </row>
    <row r="265" spans="1:4" x14ac:dyDescent="0.2">
      <c r="A265" s="78"/>
      <c r="B265" t="s">
        <v>15</v>
      </c>
      <c r="C265">
        <v>8656.7882490000011</v>
      </c>
      <c r="D265">
        <v>5306.6201996967793</v>
      </c>
    </row>
    <row r="266" spans="1:4" x14ac:dyDescent="0.2">
      <c r="A266" s="78">
        <v>45260</v>
      </c>
      <c r="B266" t="s">
        <v>16</v>
      </c>
      <c r="C266">
        <v>81354.157356489988</v>
      </c>
      <c r="D266">
        <v>4891.7449412299602</v>
      </c>
    </row>
    <row r="267" spans="1:4" x14ac:dyDescent="0.2">
      <c r="A267" s="78"/>
      <c r="B267" t="s">
        <v>15</v>
      </c>
      <c r="C267">
        <v>8656.7882490000011</v>
      </c>
      <c r="D267">
        <v>5244.4460211099886</v>
      </c>
    </row>
    <row r="268" spans="1:4" x14ac:dyDescent="0.2">
      <c r="A268" s="78">
        <v>45259</v>
      </c>
      <c r="B268" t="s">
        <v>16</v>
      </c>
      <c r="C268">
        <v>81354.157356489988</v>
      </c>
      <c r="D268">
        <v>4881.736752791965</v>
      </c>
    </row>
    <row r="269" spans="1:4" x14ac:dyDescent="0.2">
      <c r="A269" s="78"/>
      <c r="B269" t="s">
        <v>15</v>
      </c>
      <c r="C269">
        <v>8656.7882490000011</v>
      </c>
      <c r="D269">
        <v>5273.2402301838138</v>
      </c>
    </row>
    <row r="270" spans="1:4" x14ac:dyDescent="0.2">
      <c r="A270" s="78">
        <v>45258</v>
      </c>
      <c r="B270" t="s">
        <v>16</v>
      </c>
      <c r="C270">
        <v>81354.157356489988</v>
      </c>
      <c r="D270">
        <v>4961.332033266408</v>
      </c>
    </row>
    <row r="271" spans="1:4" x14ac:dyDescent="0.2">
      <c r="A271" s="78"/>
      <c r="B271" t="s">
        <v>15</v>
      </c>
      <c r="C271">
        <v>8656.7882490000011</v>
      </c>
      <c r="D271">
        <v>5291.6014511957064</v>
      </c>
    </row>
    <row r="272" spans="1:4" x14ac:dyDescent="0.2">
      <c r="A272" s="78">
        <v>45257</v>
      </c>
      <c r="B272" t="s">
        <v>16</v>
      </c>
      <c r="C272">
        <v>81354.157356489988</v>
      </c>
      <c r="D272">
        <v>5010.9507473797039</v>
      </c>
    </row>
    <row r="273" spans="1:4" x14ac:dyDescent="0.2">
      <c r="A273" s="78"/>
      <c r="B273" t="s">
        <v>15</v>
      </c>
      <c r="C273">
        <v>8656.7882490000011</v>
      </c>
      <c r="D273">
        <v>5229.3912603698009</v>
      </c>
    </row>
    <row r="274" spans="1:4" x14ac:dyDescent="0.2">
      <c r="A274" s="78">
        <v>45256</v>
      </c>
      <c r="B274" t="s">
        <v>16</v>
      </c>
      <c r="C274">
        <v>81354.157356489988</v>
      </c>
      <c r="D274">
        <v>5116.6704748644624</v>
      </c>
    </row>
    <row r="275" spans="1:4" x14ac:dyDescent="0.2">
      <c r="A275" s="78"/>
      <c r="B275" t="s">
        <v>15</v>
      </c>
      <c r="C275">
        <v>8656.7882490000011</v>
      </c>
      <c r="D275">
        <v>5339.9459777153079</v>
      </c>
    </row>
    <row r="276" spans="1:4" x14ac:dyDescent="0.2">
      <c r="A276" s="78">
        <v>45255</v>
      </c>
      <c r="B276" t="s">
        <v>16</v>
      </c>
      <c r="C276">
        <v>81354.157356489988</v>
      </c>
      <c r="D276">
        <v>5168.7054074512471</v>
      </c>
    </row>
    <row r="277" spans="1:4" x14ac:dyDescent="0.2">
      <c r="A277" s="78"/>
      <c r="B277" t="s">
        <v>15</v>
      </c>
      <c r="C277">
        <v>8656.7882490000011</v>
      </c>
      <c r="D277">
        <v>5395.2345469288439</v>
      </c>
    </row>
    <row r="278" spans="1:4" x14ac:dyDescent="0.2">
      <c r="A278" s="78">
        <v>45254</v>
      </c>
      <c r="B278" t="s">
        <v>16</v>
      </c>
      <c r="C278">
        <v>81354.157356489988</v>
      </c>
      <c r="D278">
        <v>5069.5908240022627</v>
      </c>
    </row>
    <row r="279" spans="1:4" x14ac:dyDescent="0.2">
      <c r="A279" s="78"/>
      <c r="B279" t="s">
        <v>15</v>
      </c>
      <c r="C279">
        <v>8656.7882490000011</v>
      </c>
      <c r="D279">
        <v>5384.344740151013</v>
      </c>
    </row>
    <row r="280" spans="1:4" x14ac:dyDescent="0.2">
      <c r="A280" s="78">
        <v>45253</v>
      </c>
      <c r="B280" t="s">
        <v>16</v>
      </c>
      <c r="C280">
        <v>81354.157356489988</v>
      </c>
      <c r="D280">
        <v>5000.5504319032507</v>
      </c>
    </row>
    <row r="281" spans="1:4" x14ac:dyDescent="0.2">
      <c r="A281" s="78"/>
      <c r="B281" t="s">
        <v>15</v>
      </c>
      <c r="C281">
        <v>8656.7882490000011</v>
      </c>
      <c r="D281">
        <v>5370.0079734281971</v>
      </c>
    </row>
    <row r="282" spans="1:4" x14ac:dyDescent="0.2">
      <c r="A282" s="78">
        <v>45252</v>
      </c>
      <c r="B282" t="s">
        <v>16</v>
      </c>
      <c r="C282">
        <v>81354.157356489988</v>
      </c>
      <c r="D282">
        <v>5081.645069497773</v>
      </c>
    </row>
    <row r="283" spans="1:4" x14ac:dyDescent="0.2">
      <c r="A283" s="78"/>
      <c r="B283" t="s">
        <v>15</v>
      </c>
      <c r="C283">
        <v>8656.7882490000011</v>
      </c>
      <c r="D283">
        <v>5295.5646154239812</v>
      </c>
    </row>
    <row r="284" spans="1:4" x14ac:dyDescent="0.2">
      <c r="A284" s="78">
        <v>45251</v>
      </c>
      <c r="B284" t="s">
        <v>16</v>
      </c>
      <c r="C284">
        <v>81354.157356489988</v>
      </c>
      <c r="D284">
        <v>4778.0167104950287</v>
      </c>
    </row>
    <row r="285" spans="1:4" x14ac:dyDescent="0.2">
      <c r="A285" s="78"/>
      <c r="B285" t="s">
        <v>15</v>
      </c>
      <c r="C285">
        <v>8656.7882490000011</v>
      </c>
      <c r="D285">
        <v>5022.3266855018474</v>
      </c>
    </row>
    <row r="286" spans="1:4" x14ac:dyDescent="0.2">
      <c r="A286" s="78">
        <v>45250</v>
      </c>
      <c r="B286" t="s">
        <v>16</v>
      </c>
      <c r="C286">
        <v>81354.157356489988</v>
      </c>
      <c r="D286">
        <v>5366.9492180975421</v>
      </c>
    </row>
    <row r="287" spans="1:4" x14ac:dyDescent="0.2">
      <c r="A287" s="78"/>
      <c r="B287" t="s">
        <v>15</v>
      </c>
      <c r="C287">
        <v>8656.7882490000011</v>
      </c>
      <c r="D287">
        <v>5299.742727704479</v>
      </c>
    </row>
    <row r="288" spans="1:4" x14ac:dyDescent="0.2">
      <c r="A288" s="78">
        <v>45249</v>
      </c>
      <c r="B288" t="s">
        <v>16</v>
      </c>
      <c r="C288">
        <v>81354.157356489988</v>
      </c>
      <c r="D288">
        <v>5091.9168454056035</v>
      </c>
    </row>
    <row r="289" spans="1:4" x14ac:dyDescent="0.2">
      <c r="A289" s="78"/>
      <c r="B289" t="s">
        <v>15</v>
      </c>
      <c r="C289">
        <v>8656.7882490000011</v>
      </c>
      <c r="D289">
        <v>5427.7258105601668</v>
      </c>
    </row>
    <row r="290" spans="1:4" x14ac:dyDescent="0.2">
      <c r="A290" s="78">
        <v>45248</v>
      </c>
      <c r="B290" t="s">
        <v>16</v>
      </c>
      <c r="C290">
        <v>81354.157356489988</v>
      </c>
      <c r="D290">
        <v>5012.6640659336317</v>
      </c>
    </row>
    <row r="291" spans="1:4" x14ac:dyDescent="0.2">
      <c r="A291" s="78"/>
      <c r="B291" t="s">
        <v>15</v>
      </c>
      <c r="C291">
        <v>8656.7882490000011</v>
      </c>
      <c r="D291">
        <v>5286.3558703562258</v>
      </c>
    </row>
    <row r="292" spans="1:4" x14ac:dyDescent="0.2">
      <c r="A292" s="78">
        <v>45247</v>
      </c>
      <c r="B292" t="s">
        <v>16</v>
      </c>
      <c r="C292">
        <v>81343.191817639992</v>
      </c>
      <c r="D292">
        <v>5176.417988765038</v>
      </c>
    </row>
    <row r="293" spans="1:4" x14ac:dyDescent="0.2">
      <c r="A293" s="78"/>
      <c r="B293" t="s">
        <v>15</v>
      </c>
      <c r="C293">
        <v>8656.7882490000011</v>
      </c>
      <c r="D293">
        <v>5304.2361202130051</v>
      </c>
    </row>
    <row r="294" spans="1:4" x14ac:dyDescent="0.2">
      <c r="A294" s="78">
        <v>45246</v>
      </c>
      <c r="B294" t="s">
        <v>16</v>
      </c>
      <c r="C294">
        <v>81343.191817639992</v>
      </c>
      <c r="D294">
        <v>4943.2160055749637</v>
      </c>
    </row>
    <row r="295" spans="1:4" x14ac:dyDescent="0.2">
      <c r="A295" s="78"/>
      <c r="B295" t="s">
        <v>15</v>
      </c>
      <c r="C295">
        <v>8656.7882490000011</v>
      </c>
      <c r="D295">
        <v>5300.8781520512184</v>
      </c>
    </row>
    <row r="296" spans="1:4" x14ac:dyDescent="0.2">
      <c r="A296" s="78">
        <v>45245</v>
      </c>
      <c r="B296" t="s">
        <v>16</v>
      </c>
      <c r="C296">
        <v>81343.191817639992</v>
      </c>
      <c r="D296">
        <v>5031.0015781845614</v>
      </c>
    </row>
    <row r="297" spans="1:4" x14ac:dyDescent="0.2">
      <c r="A297" s="78"/>
      <c r="B297" t="s">
        <v>15</v>
      </c>
      <c r="C297">
        <v>8656.7882490000011</v>
      </c>
      <c r="D297">
        <v>5626.0620055403006</v>
      </c>
    </row>
    <row r="298" spans="1:4" x14ac:dyDescent="0.2">
      <c r="A298" s="78">
        <v>45244</v>
      </c>
      <c r="B298" t="s">
        <v>16</v>
      </c>
      <c r="C298">
        <v>81343.191817639992</v>
      </c>
      <c r="D298">
        <v>4763.9307302173765</v>
      </c>
    </row>
    <row r="299" spans="1:4" x14ac:dyDescent="0.2">
      <c r="A299" s="78"/>
      <c r="B299" t="s">
        <v>15</v>
      </c>
      <c r="C299">
        <v>8656.7882490000011</v>
      </c>
      <c r="D299">
        <v>5450.1386681762406</v>
      </c>
    </row>
    <row r="300" spans="1:4" x14ac:dyDescent="0.2">
      <c r="A300" s="78">
        <v>45243</v>
      </c>
      <c r="B300" t="s">
        <v>16</v>
      </c>
      <c r="C300">
        <v>81287.410900080009</v>
      </c>
      <c r="D300">
        <v>4812.6260395838908</v>
      </c>
    </row>
    <row r="301" spans="1:4" x14ac:dyDescent="0.2">
      <c r="A301" s="78"/>
      <c r="B301" t="s">
        <v>15</v>
      </c>
      <c r="C301">
        <v>8656.7882490000011</v>
      </c>
      <c r="D301">
        <v>5808.9905890912178</v>
      </c>
    </row>
    <row r="302" spans="1:4" x14ac:dyDescent="0.2">
      <c r="A302" s="78">
        <v>45242</v>
      </c>
      <c r="B302" t="s">
        <v>16</v>
      </c>
      <c r="C302">
        <v>81287.410900080009</v>
      </c>
      <c r="D302">
        <v>5066.0045894782033</v>
      </c>
    </row>
    <row r="303" spans="1:4" x14ac:dyDescent="0.2">
      <c r="A303" s="78"/>
      <c r="B303" t="s">
        <v>15</v>
      </c>
      <c r="C303">
        <v>8656.7882490000011</v>
      </c>
      <c r="D303">
        <v>5725.679044068962</v>
      </c>
    </row>
    <row r="304" spans="1:4" x14ac:dyDescent="0.2">
      <c r="A304" s="78">
        <v>45241</v>
      </c>
      <c r="B304" t="s">
        <v>16</v>
      </c>
      <c r="C304">
        <v>81287.410900080009</v>
      </c>
      <c r="D304">
        <v>5036.9085736206289</v>
      </c>
    </row>
    <row r="305" spans="1:4" x14ac:dyDescent="0.2">
      <c r="A305" s="78"/>
      <c r="B305" t="s">
        <v>15</v>
      </c>
      <c r="C305">
        <v>8656.7882490000011</v>
      </c>
      <c r="D305">
        <v>5739.260852288583</v>
      </c>
    </row>
    <row r="306" spans="1:4" x14ac:dyDescent="0.2">
      <c r="A306" s="78">
        <v>45240</v>
      </c>
      <c r="B306" t="s">
        <v>16</v>
      </c>
      <c r="C306">
        <v>81287.410900080009</v>
      </c>
      <c r="D306">
        <v>5116.6238859939012</v>
      </c>
    </row>
    <row r="307" spans="1:4" x14ac:dyDescent="0.2">
      <c r="A307" s="78"/>
      <c r="B307" t="s">
        <v>15</v>
      </c>
      <c r="C307">
        <v>8656.7882490000011</v>
      </c>
      <c r="D307">
        <v>5709.9422149826341</v>
      </c>
    </row>
    <row r="308" spans="1:4" x14ac:dyDescent="0.2">
      <c r="A308" s="78">
        <v>45239</v>
      </c>
      <c r="B308" t="s">
        <v>16</v>
      </c>
      <c r="C308">
        <v>81287.410900080009</v>
      </c>
      <c r="D308">
        <v>4860.5026988558202</v>
      </c>
    </row>
    <row r="309" spans="1:4" x14ac:dyDescent="0.2">
      <c r="A309" s="78"/>
      <c r="B309" t="s">
        <v>15</v>
      </c>
      <c r="C309">
        <v>8656.7882490000011</v>
      </c>
      <c r="D309">
        <v>5780.7390740727233</v>
      </c>
    </row>
    <row r="310" spans="1:4" x14ac:dyDescent="0.2">
      <c r="A310" s="78">
        <v>45238</v>
      </c>
      <c r="B310" t="s">
        <v>16</v>
      </c>
      <c r="C310">
        <v>81287.410900080009</v>
      </c>
      <c r="D310">
        <v>4928.6621928955374</v>
      </c>
    </row>
    <row r="311" spans="1:4" x14ac:dyDescent="0.2">
      <c r="A311" s="78"/>
      <c r="B311" t="s">
        <v>15</v>
      </c>
      <c r="C311">
        <v>8656.7882490000011</v>
      </c>
      <c r="D311">
        <v>5957.8609437698578</v>
      </c>
    </row>
    <row r="312" spans="1:4" x14ac:dyDescent="0.2">
      <c r="A312" s="78">
        <v>45237</v>
      </c>
      <c r="B312" t="s">
        <v>16</v>
      </c>
      <c r="C312">
        <v>81287.410900080009</v>
      </c>
      <c r="D312">
        <v>4677.894594639336</v>
      </c>
    </row>
    <row r="313" spans="1:4" x14ac:dyDescent="0.2">
      <c r="A313" s="78"/>
      <c r="B313" t="s">
        <v>15</v>
      </c>
      <c r="C313">
        <v>8656.7882490000011</v>
      </c>
      <c r="D313">
        <v>5935.2717473771527</v>
      </c>
    </row>
    <row r="314" spans="1:4" x14ac:dyDescent="0.2">
      <c r="A314" s="78">
        <v>45236</v>
      </c>
      <c r="B314" t="s">
        <v>16</v>
      </c>
      <c r="C314">
        <v>81287.410900080009</v>
      </c>
      <c r="D314">
        <v>4767.0441239216707</v>
      </c>
    </row>
    <row r="315" spans="1:4" x14ac:dyDescent="0.2">
      <c r="A315" s="78"/>
      <c r="B315" t="s">
        <v>15</v>
      </c>
      <c r="C315">
        <v>8656.7882490000011</v>
      </c>
      <c r="D315">
        <v>6193.9523356118852</v>
      </c>
    </row>
    <row r="316" spans="1:4" x14ac:dyDescent="0.2">
      <c r="A316" s="78">
        <v>45235</v>
      </c>
      <c r="B316" t="s">
        <v>16</v>
      </c>
      <c r="C316">
        <v>81287.410900080009</v>
      </c>
      <c r="D316">
        <v>4546.4089560120201</v>
      </c>
    </row>
    <row r="317" spans="1:4" x14ac:dyDescent="0.2">
      <c r="A317" s="78"/>
      <c r="B317" t="s">
        <v>15</v>
      </c>
      <c r="C317">
        <v>8656.7882490000011</v>
      </c>
      <c r="D317">
        <v>5706.3856600984154</v>
      </c>
    </row>
    <row r="318" spans="1:4" x14ac:dyDescent="0.2">
      <c r="A318" s="78">
        <v>45234</v>
      </c>
      <c r="B318" t="s">
        <v>16</v>
      </c>
      <c r="C318">
        <v>81287.410900080009</v>
      </c>
      <c r="D318">
        <v>4525.3238144986481</v>
      </c>
    </row>
    <row r="319" spans="1:4" x14ac:dyDescent="0.2">
      <c r="A319" s="78"/>
      <c r="B319" t="s">
        <v>15</v>
      </c>
      <c r="C319">
        <v>8656.7882490000011</v>
      </c>
      <c r="D319">
        <v>5333.2757492336887</v>
      </c>
    </row>
    <row r="320" spans="1:4" x14ac:dyDescent="0.2">
      <c r="A320" s="78">
        <v>45233</v>
      </c>
      <c r="B320" t="s">
        <v>16</v>
      </c>
      <c r="C320">
        <v>81287.410900080009</v>
      </c>
      <c r="D320">
        <v>4453.3592567546984</v>
      </c>
    </row>
    <row r="321" spans="1:4" x14ac:dyDescent="0.2">
      <c r="A321" s="78"/>
      <c r="B321" t="s">
        <v>15</v>
      </c>
      <c r="C321">
        <v>8656.7882490000011</v>
      </c>
      <c r="D321">
        <v>5305.3830580881149</v>
      </c>
    </row>
    <row r="322" spans="1:4" x14ac:dyDescent="0.2">
      <c r="A322" s="78">
        <v>45232</v>
      </c>
      <c r="B322" t="s">
        <v>16</v>
      </c>
      <c r="C322">
        <v>81287.410900080009</v>
      </c>
      <c r="D322">
        <v>4507.4105077585973</v>
      </c>
    </row>
    <row r="323" spans="1:4" x14ac:dyDescent="0.2">
      <c r="A323" s="78"/>
      <c r="B323" t="s">
        <v>15</v>
      </c>
      <c r="C323">
        <v>8656.7882490000011</v>
      </c>
      <c r="D323">
        <v>5250.8914328007822</v>
      </c>
    </row>
    <row r="324" spans="1:4" x14ac:dyDescent="0.2">
      <c r="A324" s="78">
        <v>45231</v>
      </c>
      <c r="B324" t="s">
        <v>16</v>
      </c>
      <c r="C324">
        <v>81287.410900080009</v>
      </c>
      <c r="D324">
        <v>4358.7260787330433</v>
      </c>
    </row>
    <row r="325" spans="1:4" x14ac:dyDescent="0.2">
      <c r="A325" s="78"/>
      <c r="B325" t="s">
        <v>15</v>
      </c>
      <c r="C325">
        <v>8656.7882490000011</v>
      </c>
      <c r="D325">
        <v>5275.3123190190936</v>
      </c>
    </row>
    <row r="326" spans="1:4" x14ac:dyDescent="0.2">
      <c r="A326" s="78">
        <v>45230</v>
      </c>
      <c r="B326" t="s">
        <v>16</v>
      </c>
      <c r="C326">
        <v>81287.410900080009</v>
      </c>
      <c r="D326">
        <v>4267.8126126341758</v>
      </c>
    </row>
    <row r="327" spans="1:4" x14ac:dyDescent="0.2">
      <c r="A327" s="78"/>
      <c r="B327" t="s">
        <v>15</v>
      </c>
      <c r="C327">
        <v>8656.7882490000011</v>
      </c>
      <c r="D327">
        <v>5197.931366490463</v>
      </c>
    </row>
    <row r="328" spans="1:4" x14ac:dyDescent="0.2">
      <c r="A328" s="78">
        <v>45229</v>
      </c>
      <c r="B328" t="s">
        <v>16</v>
      </c>
      <c r="C328">
        <v>81287.410900080009</v>
      </c>
      <c r="D328">
        <v>4369.5909540739494</v>
      </c>
    </row>
    <row r="329" spans="1:4" x14ac:dyDescent="0.2">
      <c r="A329" s="78"/>
      <c r="B329" t="s">
        <v>15</v>
      </c>
      <c r="C329">
        <v>8656.7882490000011</v>
      </c>
      <c r="D329">
        <v>5009.3208134044326</v>
      </c>
    </row>
    <row r="330" spans="1:4" x14ac:dyDescent="0.2">
      <c r="A330" s="78">
        <v>45228</v>
      </c>
      <c r="B330" t="s">
        <v>16</v>
      </c>
      <c r="C330">
        <v>81287.410900080009</v>
      </c>
      <c r="D330">
        <v>4266.2079991430082</v>
      </c>
    </row>
    <row r="331" spans="1:4" x14ac:dyDescent="0.2">
      <c r="A331" s="78"/>
      <c r="B331" t="s">
        <v>15</v>
      </c>
      <c r="C331">
        <v>8656.7882490000011</v>
      </c>
      <c r="D331">
        <v>4817.1891116981215</v>
      </c>
    </row>
    <row r="332" spans="1:4" x14ac:dyDescent="0.2">
      <c r="A332" s="78">
        <v>45227</v>
      </c>
      <c r="B332" t="s">
        <v>16</v>
      </c>
      <c r="C332">
        <v>81287.410900080009</v>
      </c>
      <c r="D332">
        <v>4219.9018126496676</v>
      </c>
    </row>
    <row r="333" spans="1:4" x14ac:dyDescent="0.2">
      <c r="A333" s="78"/>
      <c r="B333" t="s">
        <v>15</v>
      </c>
      <c r="C333">
        <v>8656.7882490000011</v>
      </c>
      <c r="D333">
        <v>4718.9456457609303</v>
      </c>
    </row>
    <row r="334" spans="1:4" x14ac:dyDescent="0.2">
      <c r="A334" s="78">
        <v>45226</v>
      </c>
      <c r="B334" t="s">
        <v>16</v>
      </c>
      <c r="C334">
        <v>81287.410900080009</v>
      </c>
      <c r="D334">
        <v>4143.6021972824174</v>
      </c>
    </row>
    <row r="335" spans="1:4" x14ac:dyDescent="0.2">
      <c r="A335" s="78"/>
      <c r="B335" t="s">
        <v>15</v>
      </c>
      <c r="C335">
        <v>8656.7882490000011</v>
      </c>
      <c r="D335">
        <v>4726.1391770922019</v>
      </c>
    </row>
    <row r="336" spans="1:4" x14ac:dyDescent="0.2">
      <c r="A336" s="78">
        <v>45225</v>
      </c>
      <c r="B336" t="s">
        <v>16</v>
      </c>
      <c r="C336">
        <v>81287.410900080009</v>
      </c>
      <c r="D336">
        <v>4304.8325253062903</v>
      </c>
    </row>
    <row r="337" spans="1:4" x14ac:dyDescent="0.2">
      <c r="A337" s="78"/>
      <c r="B337" t="s">
        <v>15</v>
      </c>
      <c r="C337">
        <v>8656.7882490000011</v>
      </c>
      <c r="D337">
        <v>4794.4480752395284</v>
      </c>
    </row>
    <row r="338" spans="1:4" x14ac:dyDescent="0.2">
      <c r="A338" s="78">
        <v>45224</v>
      </c>
      <c r="B338" t="s">
        <v>16</v>
      </c>
      <c r="C338">
        <v>81271.729410449989</v>
      </c>
      <c r="D338">
        <v>4227.037734560914</v>
      </c>
    </row>
    <row r="339" spans="1:4" x14ac:dyDescent="0.2">
      <c r="A339" s="78"/>
      <c r="B339" t="s">
        <v>15</v>
      </c>
      <c r="C339">
        <v>8656.7882490000011</v>
      </c>
      <c r="D339">
        <v>4802.523819861256</v>
      </c>
    </row>
    <row r="340" spans="1:4" x14ac:dyDescent="0.2">
      <c r="A340" s="78">
        <v>45223</v>
      </c>
      <c r="B340" t="s">
        <v>16</v>
      </c>
      <c r="C340">
        <v>81271.729410449989</v>
      </c>
      <c r="D340">
        <v>4174.8263374357593</v>
      </c>
    </row>
    <row r="341" spans="1:4" x14ac:dyDescent="0.2">
      <c r="A341" s="78"/>
      <c r="B341" t="s">
        <v>15</v>
      </c>
      <c r="C341">
        <v>8656.7882490000011</v>
      </c>
      <c r="D341">
        <v>4832.6307443051583</v>
      </c>
    </row>
    <row r="342" spans="1:4" x14ac:dyDescent="0.2">
      <c r="A342" s="78">
        <v>45222</v>
      </c>
      <c r="B342" t="s">
        <v>16</v>
      </c>
      <c r="C342">
        <v>81271.729410449989</v>
      </c>
      <c r="D342">
        <v>4202.2579842636678</v>
      </c>
    </row>
    <row r="343" spans="1:4" x14ac:dyDescent="0.2">
      <c r="A343" s="78"/>
      <c r="B343" t="s">
        <v>15</v>
      </c>
      <c r="C343">
        <v>8656.7882490000011</v>
      </c>
      <c r="D343">
        <v>4724.6572215118558</v>
      </c>
    </row>
    <row r="344" spans="1:4" x14ac:dyDescent="0.2">
      <c r="A344" s="78">
        <v>45221</v>
      </c>
      <c r="B344" t="s">
        <v>16</v>
      </c>
      <c r="C344">
        <v>81271.729410449989</v>
      </c>
      <c r="D344">
        <v>4062.7688769246301</v>
      </c>
    </row>
    <row r="345" spans="1:4" x14ac:dyDescent="0.2">
      <c r="A345" s="78"/>
      <c r="B345" t="s">
        <v>15</v>
      </c>
      <c r="C345">
        <v>8656.7882490000011</v>
      </c>
      <c r="D345">
        <v>4526.5918974360329</v>
      </c>
    </row>
    <row r="346" spans="1:4" x14ac:dyDescent="0.2">
      <c r="A346" s="78">
        <v>45220</v>
      </c>
      <c r="B346" t="s">
        <v>16</v>
      </c>
      <c r="C346">
        <v>81271.729410449989</v>
      </c>
      <c r="D346">
        <v>3982.4252706640482</v>
      </c>
    </row>
    <row r="347" spans="1:4" x14ac:dyDescent="0.2">
      <c r="A347" s="78"/>
      <c r="B347" t="s">
        <v>15</v>
      </c>
      <c r="C347">
        <v>8656.7882490000011</v>
      </c>
      <c r="D347">
        <v>4508.5846524956414</v>
      </c>
    </row>
    <row r="348" spans="1:4" x14ac:dyDescent="0.2">
      <c r="A348" s="78">
        <v>45219</v>
      </c>
      <c r="B348" t="s">
        <v>16</v>
      </c>
      <c r="C348">
        <v>80974.262575690009</v>
      </c>
      <c r="D348">
        <v>3840.6602877504001</v>
      </c>
    </row>
    <row r="349" spans="1:4" x14ac:dyDescent="0.2">
      <c r="A349" s="78"/>
      <c r="B349" t="s">
        <v>15</v>
      </c>
      <c r="C349">
        <v>8656.7882490000011</v>
      </c>
      <c r="D349">
        <v>4473.4535012877832</v>
      </c>
    </row>
    <row r="350" spans="1:4" x14ac:dyDescent="0.2">
      <c r="A350" s="78">
        <v>45218</v>
      </c>
      <c r="B350" t="s">
        <v>16</v>
      </c>
      <c r="C350">
        <v>80974.262575690009</v>
      </c>
      <c r="D350">
        <v>3710.3386900758328</v>
      </c>
    </row>
    <row r="351" spans="1:4" x14ac:dyDescent="0.2">
      <c r="A351" s="78"/>
      <c r="B351" t="s">
        <v>15</v>
      </c>
      <c r="C351">
        <v>8656.7882490000011</v>
      </c>
      <c r="D351">
        <v>4502.2272803413398</v>
      </c>
    </row>
    <row r="352" spans="1:4" x14ac:dyDescent="0.2">
      <c r="A352" s="78">
        <v>45217</v>
      </c>
      <c r="B352" t="s">
        <v>16</v>
      </c>
      <c r="C352">
        <v>80974.262575690009</v>
      </c>
      <c r="D352">
        <v>3841.1388456422219</v>
      </c>
    </row>
    <row r="353" spans="1:4" x14ac:dyDescent="0.2">
      <c r="A353" s="78"/>
      <c r="B353" t="s">
        <v>15</v>
      </c>
      <c r="C353">
        <v>8656.7882490000011</v>
      </c>
      <c r="D353">
        <v>4224.3846316137979</v>
      </c>
    </row>
    <row r="354" spans="1:4" x14ac:dyDescent="0.2">
      <c r="A354" s="78">
        <v>45216</v>
      </c>
      <c r="B354" t="s">
        <v>16</v>
      </c>
      <c r="C354">
        <v>80974.262575690009</v>
      </c>
      <c r="D354">
        <v>3786.2957873423329</v>
      </c>
    </row>
    <row r="355" spans="1:4" x14ac:dyDescent="0.2">
      <c r="A355" s="78"/>
      <c r="B355" t="s">
        <v>15</v>
      </c>
      <c r="C355">
        <v>8656.7882490000011</v>
      </c>
      <c r="D355">
        <v>4256.697565407193</v>
      </c>
    </row>
    <row r="356" spans="1:4" x14ac:dyDescent="0.2">
      <c r="A356" s="78">
        <v>45215</v>
      </c>
      <c r="B356" t="s">
        <v>16</v>
      </c>
      <c r="C356">
        <v>80974.262575690009</v>
      </c>
      <c r="D356">
        <v>3846.9455100115251</v>
      </c>
    </row>
    <row r="357" spans="1:4" x14ac:dyDescent="0.2">
      <c r="A357" s="78"/>
      <c r="B357" t="s">
        <v>15</v>
      </c>
      <c r="C357">
        <v>8656.7882490000011</v>
      </c>
      <c r="D357">
        <v>4315.5463253560129</v>
      </c>
    </row>
    <row r="358" spans="1:4" x14ac:dyDescent="0.2">
      <c r="A358" s="78">
        <v>45214</v>
      </c>
      <c r="B358" t="s">
        <v>16</v>
      </c>
      <c r="C358">
        <v>80974.262575690009</v>
      </c>
      <c r="D358">
        <v>3787.0755694909371</v>
      </c>
    </row>
    <row r="359" spans="1:4" x14ac:dyDescent="0.2">
      <c r="A359" s="78"/>
      <c r="B359" t="s">
        <v>15</v>
      </c>
      <c r="C359">
        <v>8656.7882490000011</v>
      </c>
      <c r="D359">
        <v>4221.7345290271314</v>
      </c>
    </row>
    <row r="360" spans="1:4" x14ac:dyDescent="0.2">
      <c r="A360" s="78">
        <v>45213</v>
      </c>
      <c r="B360" t="s">
        <v>16</v>
      </c>
      <c r="C360">
        <v>80974.262575690009</v>
      </c>
      <c r="D360">
        <v>3791.0562642391578</v>
      </c>
    </row>
    <row r="361" spans="1:4" x14ac:dyDescent="0.2">
      <c r="A361" s="78"/>
      <c r="B361" t="s">
        <v>15</v>
      </c>
      <c r="C361">
        <v>8656.7882490000011</v>
      </c>
      <c r="D361">
        <v>4212.6485372167463</v>
      </c>
    </row>
    <row r="362" spans="1:4" x14ac:dyDescent="0.2">
      <c r="A362" s="78">
        <v>45212</v>
      </c>
      <c r="B362" t="s">
        <v>16</v>
      </c>
      <c r="C362">
        <v>80974.262575690009</v>
      </c>
      <c r="D362">
        <v>3774.4808326899142</v>
      </c>
    </row>
    <row r="363" spans="1:4" x14ac:dyDescent="0.2">
      <c r="A363" s="78"/>
      <c r="B363" t="s">
        <v>15</v>
      </c>
      <c r="C363">
        <v>8656.7882490000011</v>
      </c>
      <c r="D363">
        <v>4202.6022478858986</v>
      </c>
    </row>
    <row r="364" spans="1:4" x14ac:dyDescent="0.2">
      <c r="A364" s="78">
        <v>45211</v>
      </c>
      <c r="B364" t="s">
        <v>16</v>
      </c>
      <c r="C364">
        <v>80974.262575690009</v>
      </c>
      <c r="D364">
        <v>3688.448917673747</v>
      </c>
    </row>
    <row r="365" spans="1:4" x14ac:dyDescent="0.2">
      <c r="A365" s="78"/>
      <c r="B365" t="s">
        <v>15</v>
      </c>
      <c r="C365">
        <v>8656.7882490000011</v>
      </c>
      <c r="D365">
        <v>4180.9182918403912</v>
      </c>
    </row>
    <row r="366" spans="1:4" x14ac:dyDescent="0.2">
      <c r="A366" s="78">
        <v>45210</v>
      </c>
      <c r="B366" t="s">
        <v>16</v>
      </c>
      <c r="C366">
        <v>80974.262575690009</v>
      </c>
      <c r="D366">
        <v>3774.091346486925</v>
      </c>
    </row>
    <row r="367" spans="1:4" x14ac:dyDescent="0.2">
      <c r="A367" s="78"/>
      <c r="B367" t="s">
        <v>15</v>
      </c>
      <c r="C367">
        <v>8656.7882490000011</v>
      </c>
      <c r="D367">
        <v>4230.320245044607</v>
      </c>
    </row>
    <row r="368" spans="1:4" x14ac:dyDescent="0.2">
      <c r="A368" s="78">
        <v>45209</v>
      </c>
      <c r="B368" t="s">
        <v>16</v>
      </c>
      <c r="C368">
        <v>80974.262575690009</v>
      </c>
      <c r="D368">
        <v>3799.471919348649</v>
      </c>
    </row>
    <row r="369" spans="1:4" x14ac:dyDescent="0.2">
      <c r="A369" s="78"/>
      <c r="B369" t="s">
        <v>15</v>
      </c>
      <c r="C369">
        <v>8656.7882490000011</v>
      </c>
      <c r="D369">
        <v>4304.7043906171994</v>
      </c>
    </row>
    <row r="370" spans="1:4" x14ac:dyDescent="0.2">
      <c r="A370" s="78">
        <v>45208</v>
      </c>
      <c r="B370" t="s">
        <v>16</v>
      </c>
      <c r="C370">
        <v>80974.262575690009</v>
      </c>
      <c r="D370">
        <v>3765.3485553566279</v>
      </c>
    </row>
    <row r="371" spans="1:4" x14ac:dyDescent="0.2">
      <c r="A371" s="78"/>
      <c r="B371" t="s">
        <v>15</v>
      </c>
      <c r="C371">
        <v>8656.7882490000011</v>
      </c>
      <c r="D371">
        <v>4353.3104387098028</v>
      </c>
    </row>
    <row r="372" spans="1:4" x14ac:dyDescent="0.2">
      <c r="A372" s="78">
        <v>45207</v>
      </c>
      <c r="B372" t="s">
        <v>16</v>
      </c>
      <c r="C372">
        <v>80974.262575690009</v>
      </c>
      <c r="D372">
        <v>3892.3825979706221</v>
      </c>
    </row>
    <row r="373" spans="1:4" x14ac:dyDescent="0.2">
      <c r="A373" s="78"/>
      <c r="B373" t="s">
        <v>15</v>
      </c>
      <c r="C373">
        <v>8656.7882490000011</v>
      </c>
      <c r="D373">
        <v>4483.8031244788754</v>
      </c>
    </row>
    <row r="374" spans="1:4" x14ac:dyDescent="0.2">
      <c r="A374" s="78">
        <v>45206</v>
      </c>
      <c r="B374" t="s">
        <v>16</v>
      </c>
      <c r="C374">
        <v>80974.262575690009</v>
      </c>
      <c r="D374">
        <v>3908.9475028657312</v>
      </c>
    </row>
    <row r="375" spans="1:4" x14ac:dyDescent="0.2">
      <c r="A375" s="78"/>
      <c r="B375" t="s">
        <v>15</v>
      </c>
      <c r="C375">
        <v>8656.7882490000011</v>
      </c>
      <c r="D375">
        <v>4517.6434619909242</v>
      </c>
    </row>
    <row r="376" spans="1:4" x14ac:dyDescent="0.2">
      <c r="A376" s="78">
        <v>45205</v>
      </c>
      <c r="B376" t="s">
        <v>16</v>
      </c>
      <c r="C376">
        <v>80974.262575690009</v>
      </c>
      <c r="D376">
        <v>3927.3861521968411</v>
      </c>
    </row>
    <row r="377" spans="1:4" x14ac:dyDescent="0.2">
      <c r="A377" s="78"/>
      <c r="B377" t="s">
        <v>15</v>
      </c>
      <c r="C377">
        <v>8656.7882490000011</v>
      </c>
      <c r="D377">
        <v>4553.928043665077</v>
      </c>
    </row>
    <row r="378" spans="1:4" x14ac:dyDescent="0.2">
      <c r="A378" s="78">
        <v>45204</v>
      </c>
      <c r="B378" t="s">
        <v>16</v>
      </c>
      <c r="C378">
        <v>80974.262575690009</v>
      </c>
      <c r="D378">
        <v>3893.6814251423361</v>
      </c>
    </row>
    <row r="379" spans="1:4" x14ac:dyDescent="0.2">
      <c r="A379" s="78"/>
      <c r="B379" t="s">
        <v>15</v>
      </c>
      <c r="C379">
        <v>8656.7882490000011</v>
      </c>
      <c r="D379">
        <v>4532.2802729944506</v>
      </c>
    </row>
    <row r="380" spans="1:4" x14ac:dyDescent="0.2">
      <c r="A380" s="78">
        <v>45203</v>
      </c>
      <c r="B380" t="s">
        <v>16</v>
      </c>
      <c r="C380">
        <v>80974.262575690009</v>
      </c>
      <c r="D380">
        <v>3954.653425376579</v>
      </c>
    </row>
    <row r="381" spans="1:4" x14ac:dyDescent="0.2">
      <c r="A381" s="78"/>
      <c r="B381" t="s">
        <v>15</v>
      </c>
      <c r="C381">
        <v>8656.7882490000011</v>
      </c>
      <c r="D381">
        <v>4614.0654531126438</v>
      </c>
    </row>
    <row r="382" spans="1:4" x14ac:dyDescent="0.2">
      <c r="A382" s="78">
        <v>45202</v>
      </c>
      <c r="B382" t="s">
        <v>16</v>
      </c>
      <c r="C382">
        <v>80974.262575690009</v>
      </c>
      <c r="D382">
        <v>3996.0272248396282</v>
      </c>
    </row>
    <row r="383" spans="1:4" x14ac:dyDescent="0.2">
      <c r="A383" s="78"/>
      <c r="B383" t="s">
        <v>15</v>
      </c>
      <c r="C383">
        <v>8656.7882490000011</v>
      </c>
      <c r="D383">
        <v>4654.2394431791899</v>
      </c>
    </row>
    <row r="384" spans="1:4" x14ac:dyDescent="0.2">
      <c r="A384" s="78">
        <v>45201</v>
      </c>
      <c r="B384" t="s">
        <v>16</v>
      </c>
      <c r="C384">
        <v>80974.262575690009</v>
      </c>
      <c r="D384">
        <v>4047.980311708191</v>
      </c>
    </row>
    <row r="385" spans="1:4" x14ac:dyDescent="0.2">
      <c r="A385" s="78"/>
      <c r="B385" t="s">
        <v>15</v>
      </c>
      <c r="C385">
        <v>8656.7882490000011</v>
      </c>
      <c r="D385">
        <v>4443.2780150809504</v>
      </c>
    </row>
    <row r="386" spans="1:4" x14ac:dyDescent="0.2">
      <c r="A386" s="78">
        <v>45200</v>
      </c>
      <c r="B386" t="s">
        <v>16</v>
      </c>
      <c r="C386">
        <v>80974.262575690009</v>
      </c>
      <c r="D386">
        <v>4110.5847530759593</v>
      </c>
    </row>
    <row r="387" spans="1:4" x14ac:dyDescent="0.2">
      <c r="A387" s="78"/>
      <c r="B387" t="s">
        <v>15</v>
      </c>
      <c r="C387">
        <v>8656.7882490000011</v>
      </c>
      <c r="D387">
        <v>4537.771793188087</v>
      </c>
    </row>
    <row r="388" spans="1:4" x14ac:dyDescent="0.2">
      <c r="A388" s="78">
        <v>45199</v>
      </c>
      <c r="B388" t="s">
        <v>16</v>
      </c>
      <c r="C388">
        <v>80974.262575690009</v>
      </c>
      <c r="D388">
        <v>4030.331971179819</v>
      </c>
    </row>
    <row r="389" spans="1:4" x14ac:dyDescent="0.2">
      <c r="A389" s="78"/>
      <c r="B389" t="s">
        <v>15</v>
      </c>
      <c r="C389">
        <v>8656.7882490000011</v>
      </c>
      <c r="D389">
        <v>4461.9417042742634</v>
      </c>
    </row>
    <row r="390" spans="1:4" x14ac:dyDescent="0.2">
      <c r="A390" s="78">
        <v>45198</v>
      </c>
      <c r="B390" t="s">
        <v>16</v>
      </c>
      <c r="C390">
        <v>80974.262575690009</v>
      </c>
      <c r="D390">
        <v>4009.7296895526861</v>
      </c>
    </row>
    <row r="391" spans="1:4" x14ac:dyDescent="0.2">
      <c r="A391" s="78"/>
      <c r="B391" t="s">
        <v>15</v>
      </c>
      <c r="C391">
        <v>8656.7882490000011</v>
      </c>
      <c r="D391">
        <v>4512.6919522482613</v>
      </c>
    </row>
    <row r="392" spans="1:4" x14ac:dyDescent="0.2">
      <c r="A392" s="78">
        <v>45197</v>
      </c>
      <c r="B392" t="s">
        <v>16</v>
      </c>
      <c r="C392">
        <v>80974.262575690009</v>
      </c>
      <c r="D392">
        <v>4038.2844535073768</v>
      </c>
    </row>
    <row r="393" spans="1:4" x14ac:dyDescent="0.2">
      <c r="A393" s="78"/>
      <c r="B393" t="s">
        <v>15</v>
      </c>
      <c r="C393">
        <v>8656.7882490000011</v>
      </c>
      <c r="D393">
        <v>4410.6716161659142</v>
      </c>
    </row>
    <row r="394" spans="1:4" x14ac:dyDescent="0.2">
      <c r="A394" s="78">
        <v>45196</v>
      </c>
      <c r="B394" t="s">
        <v>16</v>
      </c>
      <c r="C394">
        <v>80974.262575690009</v>
      </c>
      <c r="D394">
        <v>4003.144862520031</v>
      </c>
    </row>
    <row r="395" spans="1:4" x14ac:dyDescent="0.2">
      <c r="A395" s="78"/>
      <c r="B395" t="s">
        <v>15</v>
      </c>
      <c r="C395">
        <v>8656.7882490000011</v>
      </c>
      <c r="D395">
        <v>4321.7169705877814</v>
      </c>
    </row>
    <row r="396" spans="1:4" x14ac:dyDescent="0.2">
      <c r="A396" s="78">
        <v>45195</v>
      </c>
      <c r="B396" t="s">
        <v>16</v>
      </c>
      <c r="C396">
        <v>80974.262575690009</v>
      </c>
      <c r="D396">
        <v>3999.2621466295259</v>
      </c>
    </row>
    <row r="397" spans="1:4" x14ac:dyDescent="0.2">
      <c r="A397" s="78"/>
      <c r="B397" t="s">
        <v>15</v>
      </c>
      <c r="C397">
        <v>8656.7882490000011</v>
      </c>
      <c r="D397">
        <v>4342.8271547081458</v>
      </c>
    </row>
    <row r="398" spans="1:4" x14ac:dyDescent="0.2">
      <c r="A398" s="78">
        <v>45194</v>
      </c>
      <c r="B398" t="s">
        <v>16</v>
      </c>
      <c r="C398">
        <v>80974.262575690009</v>
      </c>
      <c r="D398">
        <v>4090.0237683227401</v>
      </c>
    </row>
    <row r="399" spans="1:4" x14ac:dyDescent="0.2">
      <c r="A399" s="78"/>
      <c r="B399" t="s">
        <v>15</v>
      </c>
      <c r="C399">
        <v>8656.7882490000011</v>
      </c>
      <c r="D399">
        <v>4374.8499129594338</v>
      </c>
    </row>
    <row r="400" spans="1:4" x14ac:dyDescent="0.2">
      <c r="A400" s="78">
        <v>45193</v>
      </c>
      <c r="B400" t="s">
        <v>16</v>
      </c>
      <c r="C400">
        <v>80974.262575690009</v>
      </c>
      <c r="D400">
        <v>4034.9086365005969</v>
      </c>
    </row>
    <row r="401" spans="1:4" x14ac:dyDescent="0.2">
      <c r="A401" s="78"/>
      <c r="B401" t="s">
        <v>15</v>
      </c>
      <c r="C401">
        <v>8656.7882490000011</v>
      </c>
      <c r="D401">
        <v>4347.1486234020467</v>
      </c>
    </row>
    <row r="402" spans="1:4" x14ac:dyDescent="0.2">
      <c r="A402" s="78">
        <v>45192</v>
      </c>
      <c r="B402" t="s">
        <v>16</v>
      </c>
      <c r="C402">
        <v>80974.262575690009</v>
      </c>
      <c r="D402">
        <v>4203.0152543208578</v>
      </c>
    </row>
    <row r="403" spans="1:4" x14ac:dyDescent="0.2">
      <c r="A403" s="78"/>
      <c r="B403" t="s">
        <v>15</v>
      </c>
      <c r="C403">
        <v>8656.7882490000011</v>
      </c>
      <c r="D403">
        <v>4392.6054184975465</v>
      </c>
    </row>
    <row r="404" spans="1:4" x14ac:dyDescent="0.2">
      <c r="A404" s="78">
        <v>45191</v>
      </c>
      <c r="B404" t="s">
        <v>16</v>
      </c>
      <c r="C404">
        <v>80974.262575690009</v>
      </c>
      <c r="D404">
        <v>4082.251858600725</v>
      </c>
    </row>
    <row r="405" spans="1:4" x14ac:dyDescent="0.2">
      <c r="A405" s="78"/>
      <c r="B405" t="s">
        <v>15</v>
      </c>
      <c r="C405">
        <v>8656.7882490000011</v>
      </c>
      <c r="D405">
        <v>4433.9290300435596</v>
      </c>
    </row>
    <row r="406" spans="1:4" x14ac:dyDescent="0.2">
      <c r="A406" s="78">
        <v>45190</v>
      </c>
      <c r="B406" t="s">
        <v>16</v>
      </c>
      <c r="C406">
        <v>80974.262575690009</v>
      </c>
      <c r="D406">
        <v>4082.1595479413891</v>
      </c>
    </row>
    <row r="407" spans="1:4" x14ac:dyDescent="0.2">
      <c r="A407" s="78"/>
      <c r="B407" t="s">
        <v>15</v>
      </c>
      <c r="C407">
        <v>8656.7882490000011</v>
      </c>
      <c r="D407">
        <v>4386.2725450539901</v>
      </c>
    </row>
    <row r="408" spans="1:4" x14ac:dyDescent="0.2">
      <c r="A408" s="78">
        <v>45189</v>
      </c>
      <c r="B408" t="s">
        <v>16</v>
      </c>
      <c r="C408">
        <v>80974.262575690009</v>
      </c>
      <c r="D408">
        <v>4093.1558527991679</v>
      </c>
    </row>
    <row r="409" spans="1:4" x14ac:dyDescent="0.2">
      <c r="A409" s="78"/>
      <c r="B409" t="s">
        <v>15</v>
      </c>
      <c r="C409">
        <v>8656.7882490000011</v>
      </c>
      <c r="D409">
        <v>4515.6204571450153</v>
      </c>
    </row>
    <row r="410" spans="1:4" x14ac:dyDescent="0.2">
      <c r="A410" s="78">
        <v>45188</v>
      </c>
      <c r="B410" t="s">
        <v>16</v>
      </c>
      <c r="C410">
        <v>80974.262575690009</v>
      </c>
      <c r="D410">
        <v>4126.816044009257</v>
      </c>
    </row>
    <row r="411" spans="1:4" x14ac:dyDescent="0.2">
      <c r="A411" s="78"/>
      <c r="B411" t="s">
        <v>15</v>
      </c>
      <c r="C411">
        <v>8656.7882490000011</v>
      </c>
      <c r="D411">
        <v>4450.8324479143221</v>
      </c>
    </row>
    <row r="412" spans="1:4" x14ac:dyDescent="0.2">
      <c r="A412" s="78">
        <v>45187</v>
      </c>
      <c r="B412" t="s">
        <v>16</v>
      </c>
      <c r="C412">
        <v>80974.262575690009</v>
      </c>
      <c r="D412">
        <v>4050.586063477876</v>
      </c>
    </row>
    <row r="413" spans="1:4" x14ac:dyDescent="0.2">
      <c r="A413" s="78"/>
      <c r="B413" t="s">
        <v>15</v>
      </c>
      <c r="C413">
        <v>8656.7882490000011</v>
      </c>
      <c r="D413">
        <v>4351.6280784814917</v>
      </c>
    </row>
    <row r="414" spans="1:4" x14ac:dyDescent="0.2">
      <c r="A414" s="78">
        <v>45186</v>
      </c>
      <c r="B414" t="s">
        <v>16</v>
      </c>
      <c r="C414">
        <v>80974.262575690009</v>
      </c>
      <c r="D414">
        <v>4017.7040349311401</v>
      </c>
    </row>
    <row r="415" spans="1:4" x14ac:dyDescent="0.2">
      <c r="A415" s="78"/>
      <c r="B415" t="s">
        <v>15</v>
      </c>
      <c r="C415">
        <v>8656.7882490000011</v>
      </c>
      <c r="D415">
        <v>4266.9446056575343</v>
      </c>
    </row>
    <row r="416" spans="1:4" x14ac:dyDescent="0.2">
      <c r="A416" s="78">
        <v>45185</v>
      </c>
      <c r="B416" t="s">
        <v>16</v>
      </c>
      <c r="C416">
        <v>80974.262575690009</v>
      </c>
      <c r="D416">
        <v>4184.3077704379966</v>
      </c>
    </row>
    <row r="417" spans="1:4" x14ac:dyDescent="0.2">
      <c r="A417" s="78"/>
      <c r="B417" t="s">
        <v>15</v>
      </c>
      <c r="C417">
        <v>8656.7882490000011</v>
      </c>
      <c r="D417">
        <v>4322.1166545012384</v>
      </c>
    </row>
    <row r="418" spans="1:4" x14ac:dyDescent="0.2">
      <c r="A418" s="78">
        <v>45184</v>
      </c>
      <c r="B418" t="s">
        <v>16</v>
      </c>
      <c r="C418">
        <v>80974.262575690009</v>
      </c>
      <c r="D418">
        <v>4208.921517033129</v>
      </c>
    </row>
    <row r="419" spans="1:4" x14ac:dyDescent="0.2">
      <c r="A419" s="78"/>
      <c r="B419" t="s">
        <v>15</v>
      </c>
      <c r="C419">
        <v>8656.7882490000011</v>
      </c>
      <c r="D419">
        <v>4332.6601031812252</v>
      </c>
    </row>
    <row r="420" spans="1:4" x14ac:dyDescent="0.2">
      <c r="A420" s="78">
        <v>45183</v>
      </c>
      <c r="B420" t="s">
        <v>16</v>
      </c>
      <c r="C420">
        <v>80974.262575690009</v>
      </c>
      <c r="D420">
        <v>4169.6724822200658</v>
      </c>
    </row>
    <row r="421" spans="1:4" x14ac:dyDescent="0.2">
      <c r="A421" s="78"/>
      <c r="B421" t="s">
        <v>15</v>
      </c>
      <c r="C421">
        <v>8656.7882490000011</v>
      </c>
      <c r="D421">
        <v>4233.4288977048227</v>
      </c>
    </row>
    <row r="422" spans="1:4" x14ac:dyDescent="0.2">
      <c r="A422" s="78">
        <v>45182</v>
      </c>
      <c r="B422" t="s">
        <v>16</v>
      </c>
      <c r="C422">
        <v>80974.262575690009</v>
      </c>
      <c r="D422">
        <v>4023.8702250262791</v>
      </c>
    </row>
    <row r="423" spans="1:4" x14ac:dyDescent="0.2">
      <c r="A423" s="78"/>
      <c r="B423" t="s">
        <v>15</v>
      </c>
      <c r="C423">
        <v>8656.7882490000011</v>
      </c>
      <c r="D423">
        <v>4188.8175245497214</v>
      </c>
    </row>
    <row r="424" spans="1:4" x14ac:dyDescent="0.2">
      <c r="A424" s="78">
        <v>45181</v>
      </c>
      <c r="B424" t="s">
        <v>16</v>
      </c>
      <c r="C424">
        <v>80974.262575690009</v>
      </c>
      <c r="D424">
        <v>3810.532193873863</v>
      </c>
    </row>
    <row r="425" spans="1:4" x14ac:dyDescent="0.2">
      <c r="A425" s="78"/>
      <c r="B425" t="s">
        <v>15</v>
      </c>
      <c r="C425">
        <v>8656.7882490000011</v>
      </c>
      <c r="D425">
        <v>4162.2372890705792</v>
      </c>
    </row>
    <row r="426" spans="1:4" x14ac:dyDescent="0.2">
      <c r="A426" s="78">
        <v>45180</v>
      </c>
      <c r="B426" t="s">
        <v>16</v>
      </c>
      <c r="C426">
        <v>80974.262575690009</v>
      </c>
      <c r="D426">
        <v>3755.3449949580272</v>
      </c>
    </row>
    <row r="427" spans="1:4" x14ac:dyDescent="0.2">
      <c r="A427" s="78"/>
      <c r="B427" t="s">
        <v>15</v>
      </c>
      <c r="C427">
        <v>8656.7882490000011</v>
      </c>
      <c r="D427">
        <v>4106.5735346543324</v>
      </c>
    </row>
    <row r="428" spans="1:4" x14ac:dyDescent="0.2">
      <c r="A428" s="78">
        <v>45179</v>
      </c>
      <c r="B428" t="s">
        <v>16</v>
      </c>
      <c r="C428">
        <v>80974.262575690009</v>
      </c>
      <c r="D428">
        <v>3872.2094799351398</v>
      </c>
    </row>
    <row r="429" spans="1:4" x14ac:dyDescent="0.2">
      <c r="A429" s="78"/>
      <c r="B429" t="s">
        <v>15</v>
      </c>
      <c r="C429">
        <v>8656.7882490000011</v>
      </c>
      <c r="D429">
        <v>4309.7533757955462</v>
      </c>
    </row>
    <row r="430" spans="1:4" x14ac:dyDescent="0.2">
      <c r="A430" s="78">
        <v>45178</v>
      </c>
      <c r="B430" t="s">
        <v>16</v>
      </c>
      <c r="C430">
        <v>80974.262575690009</v>
      </c>
      <c r="D430">
        <v>3967.9655941440219</v>
      </c>
    </row>
    <row r="431" spans="1:4" x14ac:dyDescent="0.2">
      <c r="A431" s="78"/>
      <c r="B431" t="s">
        <v>15</v>
      </c>
      <c r="C431">
        <v>8656.7882490000011</v>
      </c>
      <c r="D431">
        <v>4359.3628322140912</v>
      </c>
    </row>
    <row r="432" spans="1:4" x14ac:dyDescent="0.2">
      <c r="A432" s="78">
        <v>45177</v>
      </c>
      <c r="B432" t="s">
        <v>16</v>
      </c>
      <c r="C432">
        <v>80974.262575690009</v>
      </c>
      <c r="D432">
        <v>4037.277133680936</v>
      </c>
    </row>
    <row r="433" spans="1:4" x14ac:dyDescent="0.2">
      <c r="A433" s="78"/>
      <c r="B433" t="s">
        <v>15</v>
      </c>
      <c r="C433">
        <v>8656.7882490000011</v>
      </c>
      <c r="D433">
        <v>4370.2717704939496</v>
      </c>
    </row>
    <row r="434" spans="1:4" x14ac:dyDescent="0.2">
      <c r="A434" s="78">
        <v>45176</v>
      </c>
      <c r="B434" t="s">
        <v>16</v>
      </c>
      <c r="C434">
        <v>80974.262575690009</v>
      </c>
      <c r="D434">
        <v>4043.2959506181869</v>
      </c>
    </row>
    <row r="435" spans="1:4" x14ac:dyDescent="0.2">
      <c r="A435" s="78"/>
      <c r="B435" t="s">
        <v>15</v>
      </c>
      <c r="C435">
        <v>8656.7882490000011</v>
      </c>
      <c r="D435">
        <v>4365.1252233120376</v>
      </c>
    </row>
    <row r="436" spans="1:4" x14ac:dyDescent="0.2">
      <c r="A436" s="78">
        <v>45175</v>
      </c>
      <c r="B436" t="s">
        <v>16</v>
      </c>
      <c r="C436">
        <v>80974.262575690009</v>
      </c>
      <c r="D436">
        <v>3980.7927270786372</v>
      </c>
    </row>
    <row r="437" spans="1:4" x14ac:dyDescent="0.2">
      <c r="A437" s="78"/>
      <c r="B437" t="s">
        <v>15</v>
      </c>
      <c r="C437">
        <v>8656.7882490000011</v>
      </c>
      <c r="D437">
        <v>4356.5523193411709</v>
      </c>
    </row>
    <row r="438" spans="1:4" x14ac:dyDescent="0.2">
      <c r="A438" s="78">
        <v>45174</v>
      </c>
      <c r="B438" t="s">
        <v>16</v>
      </c>
      <c r="C438">
        <v>80974.262575690009</v>
      </c>
      <c r="D438">
        <v>4001.2298212101159</v>
      </c>
    </row>
    <row r="439" spans="1:4" x14ac:dyDescent="0.2">
      <c r="A439" s="78"/>
      <c r="B439" t="s">
        <v>15</v>
      </c>
      <c r="C439">
        <v>8656.7882490000011</v>
      </c>
      <c r="D439">
        <v>4373.0279187366677</v>
      </c>
    </row>
    <row r="440" spans="1:4" x14ac:dyDescent="0.2">
      <c r="A440" s="78">
        <v>45173</v>
      </c>
      <c r="B440" t="s">
        <v>16</v>
      </c>
      <c r="C440">
        <v>80974.262575690009</v>
      </c>
      <c r="D440">
        <v>3924.755298405757</v>
      </c>
    </row>
    <row r="441" spans="1:4" x14ac:dyDescent="0.2">
      <c r="A441" s="78"/>
      <c r="B441" t="s">
        <v>15</v>
      </c>
      <c r="C441">
        <v>8656.7882490000011</v>
      </c>
      <c r="D441">
        <v>4401.2586574633633</v>
      </c>
    </row>
    <row r="442" spans="1:4" x14ac:dyDescent="0.2">
      <c r="A442" s="78">
        <v>45172</v>
      </c>
      <c r="B442" t="s">
        <v>16</v>
      </c>
      <c r="C442">
        <v>80974.262575690009</v>
      </c>
      <c r="D442">
        <v>3937.537895495956</v>
      </c>
    </row>
    <row r="443" spans="1:4" x14ac:dyDescent="0.2">
      <c r="A443" s="78"/>
      <c r="B443" t="s">
        <v>15</v>
      </c>
      <c r="C443">
        <v>8656.7882490000011</v>
      </c>
      <c r="D443">
        <v>4367.6574204427534</v>
      </c>
    </row>
    <row r="444" spans="1:4" x14ac:dyDescent="0.2">
      <c r="A444" s="78">
        <v>45171</v>
      </c>
      <c r="B444" t="s">
        <v>16</v>
      </c>
      <c r="C444">
        <v>80974.262575690009</v>
      </c>
      <c r="D444">
        <v>4026.2864970215378</v>
      </c>
    </row>
    <row r="445" spans="1:4" x14ac:dyDescent="0.2">
      <c r="A445" s="78"/>
      <c r="B445" t="s">
        <v>15</v>
      </c>
      <c r="C445">
        <v>8656.7882490000011</v>
      </c>
      <c r="D445">
        <v>4316.3132302269914</v>
      </c>
    </row>
    <row r="446" spans="1:4" x14ac:dyDescent="0.2">
      <c r="A446" s="78">
        <v>45170</v>
      </c>
      <c r="B446" t="s">
        <v>16</v>
      </c>
      <c r="C446">
        <v>80974.262575690009</v>
      </c>
      <c r="D446">
        <v>4044.7194781542671</v>
      </c>
    </row>
    <row r="447" spans="1:4" x14ac:dyDescent="0.2">
      <c r="A447" s="78"/>
      <c r="B447" t="s">
        <v>15</v>
      </c>
      <c r="C447">
        <v>8656.7882490000011</v>
      </c>
      <c r="D447">
        <v>4309.6727810969478</v>
      </c>
    </row>
    <row r="448" spans="1:4" x14ac:dyDescent="0.2">
      <c r="A448" s="78">
        <v>45169</v>
      </c>
      <c r="B448" t="s">
        <v>16</v>
      </c>
      <c r="C448">
        <v>80974.262575690009</v>
      </c>
      <c r="D448">
        <v>4244.2886456983133</v>
      </c>
    </row>
    <row r="449" spans="1:4" x14ac:dyDescent="0.2">
      <c r="A449" s="78"/>
      <c r="B449" t="s">
        <v>15</v>
      </c>
      <c r="C449">
        <v>8656.7882490000011</v>
      </c>
      <c r="D449">
        <v>4417.7546003112457</v>
      </c>
    </row>
    <row r="450" spans="1:4" x14ac:dyDescent="0.2">
      <c r="A450" s="78">
        <v>45168</v>
      </c>
      <c r="B450" t="s">
        <v>16</v>
      </c>
      <c r="C450">
        <v>80974.262575690009</v>
      </c>
      <c r="D450">
        <v>4341.0464115352561</v>
      </c>
    </row>
    <row r="451" spans="1:4" x14ac:dyDescent="0.2">
      <c r="A451" s="78"/>
      <c r="B451" t="s">
        <v>15</v>
      </c>
      <c r="C451">
        <v>8656.7882490000011</v>
      </c>
      <c r="D451">
        <v>4569.7303180705676</v>
      </c>
    </row>
    <row r="452" spans="1:4" x14ac:dyDescent="0.2">
      <c r="A452" s="78">
        <v>45167</v>
      </c>
      <c r="B452" t="s">
        <v>16</v>
      </c>
      <c r="C452">
        <v>80974.262575690009</v>
      </c>
      <c r="D452">
        <v>4556.3148691074766</v>
      </c>
    </row>
    <row r="453" spans="1:4" x14ac:dyDescent="0.2">
      <c r="A453" s="78"/>
      <c r="B453" t="s">
        <v>15</v>
      </c>
      <c r="C453">
        <v>8656.7882490000011</v>
      </c>
      <c r="D453">
        <v>4674.8780920436311</v>
      </c>
    </row>
    <row r="454" spans="1:4" x14ac:dyDescent="0.2">
      <c r="A454" s="78">
        <v>45166</v>
      </c>
      <c r="B454" t="s">
        <v>16</v>
      </c>
      <c r="C454">
        <v>80974.262575690009</v>
      </c>
      <c r="D454">
        <v>4542.9759788333831</v>
      </c>
    </row>
    <row r="455" spans="1:4" x14ac:dyDescent="0.2">
      <c r="A455" s="78"/>
      <c r="B455" t="s">
        <v>15</v>
      </c>
      <c r="C455">
        <v>8656.7882490000011</v>
      </c>
      <c r="D455">
        <v>4530.0953862082861</v>
      </c>
    </row>
    <row r="456" spans="1:4" x14ac:dyDescent="0.2">
      <c r="A456" s="78">
        <v>45165</v>
      </c>
      <c r="B456" t="s">
        <v>16</v>
      </c>
      <c r="C456">
        <v>80974.262575690009</v>
      </c>
      <c r="D456">
        <v>4708.2023421338272</v>
      </c>
    </row>
    <row r="457" spans="1:4" x14ac:dyDescent="0.2">
      <c r="A457" s="78"/>
      <c r="B457" t="s">
        <v>15</v>
      </c>
      <c r="C457">
        <v>8656.7882490000011</v>
      </c>
      <c r="D457">
        <v>4532.2318815481394</v>
      </c>
    </row>
    <row r="458" spans="1:4" x14ac:dyDescent="0.2">
      <c r="A458" s="78">
        <v>45164</v>
      </c>
      <c r="B458" t="s">
        <v>16</v>
      </c>
      <c r="C458">
        <v>80974.262575690009</v>
      </c>
      <c r="D458">
        <v>4685.6574879475038</v>
      </c>
    </row>
    <row r="459" spans="1:4" x14ac:dyDescent="0.2">
      <c r="A459" s="78"/>
      <c r="B459" t="s">
        <v>15</v>
      </c>
      <c r="C459">
        <v>8656.7882490000011</v>
      </c>
      <c r="D459">
        <v>4526.7082446700997</v>
      </c>
    </row>
    <row r="460" spans="1:4" x14ac:dyDescent="0.2">
      <c r="A460" s="78">
        <v>45163</v>
      </c>
      <c r="B460" t="s">
        <v>16</v>
      </c>
      <c r="C460">
        <v>80974.262575690009</v>
      </c>
      <c r="D460">
        <v>4770.2415831488179</v>
      </c>
    </row>
    <row r="461" spans="1:4" x14ac:dyDescent="0.2">
      <c r="A461" s="78"/>
      <c r="B461" t="s">
        <v>15</v>
      </c>
      <c r="C461">
        <v>8656.7882490000011</v>
      </c>
      <c r="D461">
        <v>4556.0348462212369</v>
      </c>
    </row>
    <row r="462" spans="1:4" x14ac:dyDescent="0.2">
      <c r="A462" s="78">
        <v>45162</v>
      </c>
      <c r="B462" t="s">
        <v>16</v>
      </c>
      <c r="C462">
        <v>80974.262575690009</v>
      </c>
      <c r="D462">
        <v>4791.5621064849965</v>
      </c>
    </row>
    <row r="463" spans="1:4" x14ac:dyDescent="0.2">
      <c r="A463" s="78"/>
      <c r="B463" t="s">
        <v>15</v>
      </c>
      <c r="C463">
        <v>8656.7882490000011</v>
      </c>
      <c r="D463">
        <v>4485.1998106949704</v>
      </c>
    </row>
    <row r="464" spans="1:4" x14ac:dyDescent="0.2">
      <c r="A464" s="78">
        <v>45161</v>
      </c>
      <c r="B464" t="s">
        <v>16</v>
      </c>
      <c r="C464">
        <v>80974.262575690009</v>
      </c>
      <c r="D464">
        <v>5007.4483976806696</v>
      </c>
    </row>
    <row r="465" spans="1:4" x14ac:dyDescent="0.2">
      <c r="A465" s="78"/>
      <c r="B465" t="s">
        <v>15</v>
      </c>
      <c r="C465">
        <v>8656.7882490000011</v>
      </c>
      <c r="D465">
        <v>4587.3998617013667</v>
      </c>
    </row>
    <row r="466" spans="1:4" x14ac:dyDescent="0.2">
      <c r="A466" s="78">
        <v>45160</v>
      </c>
      <c r="B466" t="s">
        <v>16</v>
      </c>
      <c r="C466">
        <v>80974.262575690009</v>
      </c>
      <c r="D466">
        <v>4768.824533553744</v>
      </c>
    </row>
    <row r="467" spans="1:4" x14ac:dyDescent="0.2">
      <c r="A467" s="78"/>
      <c r="B467" t="s">
        <v>15</v>
      </c>
      <c r="C467">
        <v>8656.7882490000011</v>
      </c>
      <c r="D467">
        <v>4509.5248662673648</v>
      </c>
    </row>
    <row r="468" spans="1:4" x14ac:dyDescent="0.2">
      <c r="A468" s="78">
        <v>45159</v>
      </c>
      <c r="B468" t="s">
        <v>16</v>
      </c>
      <c r="C468">
        <v>80974.262575690009</v>
      </c>
      <c r="D468">
        <v>4951.4741289325984</v>
      </c>
    </row>
    <row r="469" spans="1:4" x14ac:dyDescent="0.2">
      <c r="A469" s="78"/>
      <c r="B469" t="s">
        <v>15</v>
      </c>
      <c r="C469">
        <v>8656.7882490000011</v>
      </c>
      <c r="D469">
        <v>4539.6674566788524</v>
      </c>
    </row>
    <row r="470" spans="1:4" x14ac:dyDescent="0.2">
      <c r="A470" s="78">
        <v>45158</v>
      </c>
      <c r="B470" t="s">
        <v>16</v>
      </c>
      <c r="C470">
        <v>80974.262575690009</v>
      </c>
      <c r="D470">
        <v>4967.4892185848184</v>
      </c>
    </row>
    <row r="471" spans="1:4" x14ac:dyDescent="0.2">
      <c r="A471" s="78"/>
      <c r="B471" t="s">
        <v>15</v>
      </c>
      <c r="C471">
        <v>8656.7882490000011</v>
      </c>
      <c r="D471">
        <v>4666.2824207196691</v>
      </c>
    </row>
    <row r="472" spans="1:4" x14ac:dyDescent="0.2">
      <c r="A472" s="78">
        <v>45157</v>
      </c>
      <c r="B472" t="s">
        <v>16</v>
      </c>
      <c r="C472">
        <v>80974.262575690009</v>
      </c>
      <c r="D472">
        <v>5279.0279769332756</v>
      </c>
    </row>
    <row r="473" spans="1:4" x14ac:dyDescent="0.2">
      <c r="A473" s="78"/>
      <c r="B473" t="s">
        <v>15</v>
      </c>
      <c r="C473">
        <v>8656.7882490000011</v>
      </c>
      <c r="D473">
        <v>4499.2234613868204</v>
      </c>
    </row>
    <row r="474" spans="1:4" x14ac:dyDescent="0.2">
      <c r="A474" s="78">
        <v>45156</v>
      </c>
      <c r="B474" t="s">
        <v>16</v>
      </c>
      <c r="C474">
        <v>80974.262575690009</v>
      </c>
      <c r="D474">
        <v>4782.1820479082298</v>
      </c>
    </row>
    <row r="475" spans="1:4" x14ac:dyDescent="0.2">
      <c r="A475" s="78"/>
      <c r="B475" t="s">
        <v>15</v>
      </c>
      <c r="C475">
        <v>8656.7882490000011</v>
      </c>
      <c r="D475">
        <v>4376.3451999936833</v>
      </c>
    </row>
    <row r="476" spans="1:4" x14ac:dyDescent="0.2">
      <c r="A476" s="78">
        <v>45155</v>
      </c>
      <c r="B476" t="s">
        <v>16</v>
      </c>
      <c r="C476">
        <v>80974.262575690009</v>
      </c>
      <c r="D476">
        <v>4666.4722559154452</v>
      </c>
    </row>
    <row r="477" spans="1:4" x14ac:dyDescent="0.2">
      <c r="A477" s="78"/>
      <c r="B477" t="s">
        <v>15</v>
      </c>
      <c r="C477">
        <v>8656.7882490000011</v>
      </c>
      <c r="D477">
        <v>4367.6651249842926</v>
      </c>
    </row>
    <row r="478" spans="1:4" x14ac:dyDescent="0.2">
      <c r="A478" s="78">
        <v>45154</v>
      </c>
      <c r="B478" t="s">
        <v>16</v>
      </c>
      <c r="C478">
        <v>80974.262575690009</v>
      </c>
      <c r="D478">
        <v>5110.5245852263952</v>
      </c>
    </row>
    <row r="479" spans="1:4" x14ac:dyDescent="0.2">
      <c r="A479" s="78"/>
      <c r="B479" t="s">
        <v>15</v>
      </c>
      <c r="C479">
        <v>8656.7882490000011</v>
      </c>
      <c r="D479">
        <v>5101.0374072734076</v>
      </c>
    </row>
    <row r="480" spans="1:4" x14ac:dyDescent="0.2">
      <c r="A480" s="78">
        <v>45153</v>
      </c>
      <c r="B480" t="s">
        <v>16</v>
      </c>
      <c r="C480">
        <v>80974.262575690009</v>
      </c>
      <c r="D480">
        <v>5503.9242743257464</v>
      </c>
    </row>
    <row r="481" spans="1:4" x14ac:dyDescent="0.2">
      <c r="A481" s="78"/>
      <c r="B481" t="s">
        <v>15</v>
      </c>
      <c r="C481">
        <v>8656.7882490000011</v>
      </c>
      <c r="D481">
        <v>5274.8440733427051</v>
      </c>
    </row>
    <row r="482" spans="1:4" x14ac:dyDescent="0.2">
      <c r="A482" s="78">
        <v>45152</v>
      </c>
      <c r="B482" t="s">
        <v>16</v>
      </c>
      <c r="C482">
        <v>80974.262575690009</v>
      </c>
      <c r="D482">
        <v>5315.9514309251663</v>
      </c>
    </row>
    <row r="483" spans="1:4" x14ac:dyDescent="0.2">
      <c r="A483" s="78"/>
      <c r="B483" t="s">
        <v>15</v>
      </c>
      <c r="C483">
        <v>8656.7882490000011</v>
      </c>
      <c r="D483">
        <v>5494.2981569847443</v>
      </c>
    </row>
    <row r="484" spans="1:4" x14ac:dyDescent="0.2">
      <c r="A484" s="78">
        <v>45151</v>
      </c>
      <c r="B484" t="s">
        <v>16</v>
      </c>
      <c r="C484">
        <v>80974.262575690009</v>
      </c>
      <c r="D484">
        <v>4619.613259905519</v>
      </c>
    </row>
    <row r="485" spans="1:4" x14ac:dyDescent="0.2">
      <c r="A485" s="78"/>
      <c r="B485" t="s">
        <v>15</v>
      </c>
      <c r="C485">
        <v>8656.7882490000011</v>
      </c>
      <c r="D485">
        <v>5416.4589140862108</v>
      </c>
    </row>
    <row r="486" spans="1:4" x14ac:dyDescent="0.2">
      <c r="A486" s="78">
        <v>45150</v>
      </c>
      <c r="B486" t="s">
        <v>16</v>
      </c>
      <c r="C486">
        <v>80974.262575690009</v>
      </c>
      <c r="D486">
        <v>4551.779500660612</v>
      </c>
    </row>
    <row r="487" spans="1:4" x14ac:dyDescent="0.2">
      <c r="A487" s="78"/>
      <c r="B487" t="s">
        <v>15</v>
      </c>
      <c r="C487">
        <v>8656.7882490000011</v>
      </c>
      <c r="D487">
        <v>5428.5050946383426</v>
      </c>
    </row>
    <row r="488" spans="1:4" x14ac:dyDescent="0.2">
      <c r="A488" s="78">
        <v>45149</v>
      </c>
      <c r="B488" t="s">
        <v>16</v>
      </c>
      <c r="C488">
        <v>80974.262575690009</v>
      </c>
      <c r="D488">
        <v>4580.5618022931412</v>
      </c>
    </row>
    <row r="489" spans="1:4" x14ac:dyDescent="0.2">
      <c r="A489" s="78"/>
      <c r="B489" t="s">
        <v>15</v>
      </c>
      <c r="C489">
        <v>8656.7882490000011</v>
      </c>
      <c r="D489">
        <v>5467.7796444058195</v>
      </c>
    </row>
    <row r="490" spans="1:4" x14ac:dyDescent="0.2">
      <c r="A490" s="78">
        <v>45148</v>
      </c>
      <c r="B490" t="s">
        <v>16</v>
      </c>
      <c r="C490">
        <v>80974.262575690009</v>
      </c>
      <c r="D490">
        <v>4667.8374819824721</v>
      </c>
    </row>
    <row r="491" spans="1:4" x14ac:dyDescent="0.2">
      <c r="A491" s="78"/>
      <c r="B491" t="s">
        <v>15</v>
      </c>
      <c r="C491">
        <v>8656.7882490000011</v>
      </c>
      <c r="D491">
        <v>5481.5981292161669</v>
      </c>
    </row>
    <row r="492" spans="1:4" x14ac:dyDescent="0.2">
      <c r="A492" s="78">
        <v>45147</v>
      </c>
      <c r="B492" t="s">
        <v>16</v>
      </c>
      <c r="C492">
        <v>80974.262575690009</v>
      </c>
      <c r="D492">
        <v>4841.0819167631607</v>
      </c>
    </row>
    <row r="493" spans="1:4" x14ac:dyDescent="0.2">
      <c r="A493" s="78"/>
      <c r="B493" t="s">
        <v>15</v>
      </c>
      <c r="C493">
        <v>8656.7882490000011</v>
      </c>
      <c r="D493">
        <v>5571.5540189231788</v>
      </c>
    </row>
    <row r="494" spans="1:4" x14ac:dyDescent="0.2">
      <c r="A494" s="78">
        <v>45146</v>
      </c>
      <c r="B494" t="s">
        <v>15</v>
      </c>
      <c r="C494">
        <v>8656.7882490000011</v>
      </c>
      <c r="D494">
        <v>5563.0616230830256</v>
      </c>
    </row>
    <row r="495" spans="1:4" x14ac:dyDescent="0.2">
      <c r="A495" s="78"/>
      <c r="B495" t="s">
        <v>40</v>
      </c>
      <c r="C495">
        <v>1.443747510000001</v>
      </c>
      <c r="D495">
        <v>2680.814110094394</v>
      </c>
    </row>
    <row r="496" spans="1:4" x14ac:dyDescent="0.2">
      <c r="A496" s="78"/>
      <c r="B496" t="s">
        <v>16</v>
      </c>
      <c r="C496">
        <v>36702.641885169993</v>
      </c>
      <c r="D496">
        <v>2266.5041167576042</v>
      </c>
    </row>
    <row r="497" spans="1:4" x14ac:dyDescent="0.2">
      <c r="A497" s="78">
        <v>45145</v>
      </c>
      <c r="B497" t="s">
        <v>15</v>
      </c>
      <c r="C497">
        <v>8656.7882490000011</v>
      </c>
      <c r="D497">
        <v>5374.4627566611334</v>
      </c>
    </row>
    <row r="498" spans="1:4" x14ac:dyDescent="0.2">
      <c r="A498" s="78"/>
      <c r="B498" t="s">
        <v>40</v>
      </c>
      <c r="C498">
        <v>1.443747510000001</v>
      </c>
      <c r="D498">
        <v>2637.6306707273088</v>
      </c>
    </row>
    <row r="499" spans="1:4" x14ac:dyDescent="0.2">
      <c r="A499" s="78"/>
      <c r="B499" t="s">
        <v>16</v>
      </c>
      <c r="C499">
        <v>36702.641885169993</v>
      </c>
      <c r="D499">
        <v>2068.9620565239861</v>
      </c>
    </row>
    <row r="500" spans="1:4" x14ac:dyDescent="0.2">
      <c r="A500" s="78">
        <v>45144</v>
      </c>
      <c r="B500" t="s">
        <v>15</v>
      </c>
      <c r="C500">
        <v>8656.7882490000011</v>
      </c>
      <c r="D500">
        <v>5385.8487705413954</v>
      </c>
    </row>
    <row r="501" spans="1:4" x14ac:dyDescent="0.2">
      <c r="A501" s="78"/>
      <c r="B501" t="s">
        <v>40</v>
      </c>
      <c r="C501">
        <v>1.443747510000001</v>
      </c>
      <c r="D501">
        <v>2637.3033640711828</v>
      </c>
    </row>
    <row r="502" spans="1:4" x14ac:dyDescent="0.2">
      <c r="A502" s="78"/>
      <c r="B502" t="s">
        <v>16</v>
      </c>
      <c r="C502">
        <v>36702.641885169993</v>
      </c>
      <c r="D502">
        <v>2106.0199799826041</v>
      </c>
    </row>
    <row r="503" spans="1:4" x14ac:dyDescent="0.2">
      <c r="A503" s="78">
        <v>45143</v>
      </c>
      <c r="B503" t="s">
        <v>15</v>
      </c>
      <c r="C503">
        <v>8656.7882490000011</v>
      </c>
      <c r="D503">
        <v>5440.1874303803679</v>
      </c>
    </row>
    <row r="504" spans="1:4" x14ac:dyDescent="0.2">
      <c r="A504" s="78"/>
      <c r="B504" t="s">
        <v>40</v>
      </c>
      <c r="C504">
        <v>1.443747510000001</v>
      </c>
      <c r="D504">
        <v>2649.3785774307621</v>
      </c>
    </row>
    <row r="505" spans="1:4" x14ac:dyDescent="0.2">
      <c r="A505" s="78"/>
      <c r="B505" t="s">
        <v>16</v>
      </c>
      <c r="C505">
        <v>36702.641885169993</v>
      </c>
      <c r="D505">
        <v>1927.5086065928649</v>
      </c>
    </row>
    <row r="506" spans="1:4" x14ac:dyDescent="0.2">
      <c r="A506" s="78">
        <v>45142</v>
      </c>
      <c r="B506" t="s">
        <v>15</v>
      </c>
      <c r="C506">
        <v>8656.7882490000011</v>
      </c>
      <c r="D506">
        <v>5504.0729694361034</v>
      </c>
    </row>
    <row r="507" spans="1:4" x14ac:dyDescent="0.2">
      <c r="A507" s="78"/>
      <c r="B507" t="s">
        <v>40</v>
      </c>
      <c r="C507">
        <v>1.443747510000001</v>
      </c>
      <c r="D507">
        <v>2639.836295651503</v>
      </c>
    </row>
    <row r="508" spans="1:4" x14ac:dyDescent="0.2">
      <c r="A508" s="78"/>
      <c r="B508" t="s">
        <v>16</v>
      </c>
      <c r="C508">
        <v>36702.641885169993</v>
      </c>
      <c r="D508">
        <v>1955.6287026996069</v>
      </c>
    </row>
    <row r="509" spans="1:4" x14ac:dyDescent="0.2">
      <c r="A509" s="78">
        <v>45141</v>
      </c>
      <c r="B509" t="s">
        <v>41</v>
      </c>
      <c r="C509">
        <v>1.100000000000008E-4</v>
      </c>
      <c r="D509">
        <v>3.209376565624924</v>
      </c>
    </row>
    <row r="510" spans="1:4" x14ac:dyDescent="0.2">
      <c r="A510" s="78"/>
      <c r="B510" t="s">
        <v>15</v>
      </c>
      <c r="C510">
        <v>8656.7882490000011</v>
      </c>
      <c r="D510">
        <v>5749.9290452872383</v>
      </c>
    </row>
    <row r="511" spans="1:4" x14ac:dyDescent="0.2">
      <c r="A511" s="78"/>
      <c r="B511" t="s">
        <v>40</v>
      </c>
      <c r="C511">
        <v>1.443747510000001</v>
      </c>
      <c r="D511">
        <v>2650.2891848480081</v>
      </c>
    </row>
    <row r="512" spans="1:4" x14ac:dyDescent="0.2">
      <c r="A512" s="78"/>
      <c r="B512" t="s">
        <v>16</v>
      </c>
      <c r="C512">
        <v>36702.641885169993</v>
      </c>
      <c r="D512">
        <v>1957.2876621128171</v>
      </c>
    </row>
    <row r="513" spans="1:4" x14ac:dyDescent="0.2">
      <c r="A513" s="78">
        <v>45140</v>
      </c>
      <c r="B513" t="s">
        <v>15</v>
      </c>
      <c r="C513">
        <v>8656.7882490000011</v>
      </c>
      <c r="D513">
        <v>5927.6468482874334</v>
      </c>
    </row>
    <row r="514" spans="1:4" x14ac:dyDescent="0.2">
      <c r="A514" s="78"/>
      <c r="B514" t="s">
        <v>40</v>
      </c>
      <c r="C514">
        <v>1.443747510000001</v>
      </c>
      <c r="D514">
        <v>2653.625178876991</v>
      </c>
    </row>
    <row r="515" spans="1:4" x14ac:dyDescent="0.2">
      <c r="A515" s="78"/>
      <c r="B515" t="s">
        <v>16</v>
      </c>
      <c r="C515">
        <v>36702.641885169993</v>
      </c>
      <c r="D515">
        <v>1930.92378742028</v>
      </c>
    </row>
    <row r="516" spans="1:4" x14ac:dyDescent="0.2">
      <c r="A516" s="78">
        <v>45139</v>
      </c>
      <c r="B516" t="s">
        <v>15</v>
      </c>
      <c r="C516">
        <v>8656.7882490000011</v>
      </c>
      <c r="D516">
        <v>6122.2149164785433</v>
      </c>
    </row>
    <row r="517" spans="1:4" x14ac:dyDescent="0.2">
      <c r="A517" s="78"/>
      <c r="B517" t="s">
        <v>40</v>
      </c>
      <c r="C517">
        <v>1.443747510000001</v>
      </c>
      <c r="D517">
        <v>2699.4398449769928</v>
      </c>
    </row>
    <row r="518" spans="1:4" x14ac:dyDescent="0.2">
      <c r="A518" s="78"/>
      <c r="B518" t="s">
        <v>16</v>
      </c>
      <c r="C518">
        <v>36702.641885169993</v>
      </c>
      <c r="D518">
        <v>1898.6302339047761</v>
      </c>
    </row>
    <row r="519" spans="1:4" x14ac:dyDescent="0.2">
      <c r="A519" s="78">
        <v>45138</v>
      </c>
      <c r="B519" t="s">
        <v>15</v>
      </c>
      <c r="C519">
        <v>8656.7882490000011</v>
      </c>
      <c r="D519">
        <v>6051.3571135991806</v>
      </c>
    </row>
    <row r="520" spans="1:4" x14ac:dyDescent="0.2">
      <c r="A520" s="78"/>
      <c r="B520" t="s">
        <v>40</v>
      </c>
      <c r="C520">
        <v>1.443747510000001</v>
      </c>
      <c r="D520">
        <v>2681.437883010773</v>
      </c>
    </row>
    <row r="521" spans="1:4" x14ac:dyDescent="0.2">
      <c r="A521" s="78"/>
      <c r="B521" t="s">
        <v>16</v>
      </c>
      <c r="C521">
        <v>36702.641885169993</v>
      </c>
      <c r="D521">
        <v>1921.5352516260541</v>
      </c>
    </row>
    <row r="522" spans="1:4" x14ac:dyDescent="0.2">
      <c r="A522" s="78">
        <v>45137</v>
      </c>
      <c r="B522" t="s">
        <v>15</v>
      </c>
      <c r="C522">
        <v>8656.7882490000011</v>
      </c>
      <c r="D522">
        <v>6102.2660405017823</v>
      </c>
    </row>
    <row r="523" spans="1:4" x14ac:dyDescent="0.2">
      <c r="A523" s="78"/>
      <c r="B523" t="s">
        <v>40</v>
      </c>
      <c r="C523">
        <v>1.443747510000001</v>
      </c>
      <c r="D523">
        <v>2688.0700462032378</v>
      </c>
    </row>
    <row r="524" spans="1:4" x14ac:dyDescent="0.2">
      <c r="A524" s="78"/>
      <c r="B524" t="s">
        <v>16</v>
      </c>
      <c r="C524">
        <v>36702.641885169993</v>
      </c>
      <c r="D524">
        <v>1943.2448643011321</v>
      </c>
    </row>
    <row r="525" spans="1:4" x14ac:dyDescent="0.2">
      <c r="A525" s="78">
        <v>45136</v>
      </c>
      <c r="B525" t="s">
        <v>15</v>
      </c>
      <c r="C525">
        <v>8656.7882490000011</v>
      </c>
      <c r="D525">
        <v>6168.8892888412638</v>
      </c>
    </row>
    <row r="526" spans="1:4" x14ac:dyDescent="0.2">
      <c r="A526" s="78"/>
      <c r="B526" t="s">
        <v>40</v>
      </c>
      <c r="C526">
        <v>1.443747510000001</v>
      </c>
      <c r="D526">
        <v>2715.5707895041778</v>
      </c>
    </row>
    <row r="527" spans="1:4" x14ac:dyDescent="0.2">
      <c r="A527" s="78"/>
      <c r="B527" t="s">
        <v>16</v>
      </c>
      <c r="C527">
        <v>36702.641885169993</v>
      </c>
      <c r="D527">
        <v>1977.0366196583891</v>
      </c>
    </row>
    <row r="528" spans="1:4" x14ac:dyDescent="0.2">
      <c r="A528" s="78">
        <v>45135</v>
      </c>
      <c r="B528" t="s">
        <v>15</v>
      </c>
      <c r="C528">
        <v>8656.7882490000011</v>
      </c>
      <c r="D528">
        <v>6166.2007501147718</v>
      </c>
    </row>
    <row r="529" spans="1:4" x14ac:dyDescent="0.2">
      <c r="A529" s="78"/>
      <c r="B529" t="s">
        <v>40</v>
      </c>
      <c r="C529">
        <v>1.443747510000001</v>
      </c>
      <c r="D529">
        <v>2706.5847874087031</v>
      </c>
    </row>
    <row r="530" spans="1:4" x14ac:dyDescent="0.2">
      <c r="A530" s="78"/>
      <c r="B530" t="s">
        <v>16</v>
      </c>
      <c r="C530">
        <v>36702.641885169993</v>
      </c>
      <c r="D530">
        <v>1932.376110959676</v>
      </c>
    </row>
    <row r="531" spans="1:4" x14ac:dyDescent="0.2">
      <c r="A531" s="78">
        <v>45134</v>
      </c>
      <c r="B531" t="s">
        <v>15</v>
      </c>
      <c r="C531">
        <v>8656.7882490000011</v>
      </c>
      <c r="D531">
        <v>6176.0624767201498</v>
      </c>
    </row>
    <row r="532" spans="1:4" x14ac:dyDescent="0.2">
      <c r="A532" s="78"/>
      <c r="B532" t="s">
        <v>40</v>
      </c>
      <c r="C532">
        <v>1.443747510000001</v>
      </c>
      <c r="D532">
        <v>2683.6046962625928</v>
      </c>
    </row>
    <row r="533" spans="1:4" x14ac:dyDescent="0.2">
      <c r="A533" s="78"/>
      <c r="B533" t="s">
        <v>16</v>
      </c>
      <c r="C533">
        <v>36702.641885169993</v>
      </c>
      <c r="D533">
        <v>1902.2916894592399</v>
      </c>
    </row>
    <row r="534" spans="1:4" x14ac:dyDescent="0.2">
      <c r="A534" s="78">
        <v>45133</v>
      </c>
      <c r="B534" t="s">
        <v>15</v>
      </c>
      <c r="C534">
        <v>8656.7882490000011</v>
      </c>
      <c r="D534">
        <v>6197.1998431556158</v>
      </c>
    </row>
    <row r="535" spans="1:4" x14ac:dyDescent="0.2">
      <c r="A535" s="78"/>
      <c r="B535" t="s">
        <v>40</v>
      </c>
      <c r="C535">
        <v>1.443747510000001</v>
      </c>
      <c r="D535">
        <v>2702.0212612513801</v>
      </c>
    </row>
    <row r="536" spans="1:4" x14ac:dyDescent="0.2">
      <c r="A536" s="78"/>
      <c r="B536" t="s">
        <v>16</v>
      </c>
      <c r="C536">
        <v>36702.641885169993</v>
      </c>
      <c r="D536">
        <v>1926.0981240652179</v>
      </c>
    </row>
    <row r="537" spans="1:4" x14ac:dyDescent="0.2">
      <c r="A537" s="78">
        <v>45132</v>
      </c>
      <c r="B537" t="s">
        <v>15</v>
      </c>
      <c r="C537">
        <v>8656.7882490000011</v>
      </c>
      <c r="D537">
        <v>6148.5079197235837</v>
      </c>
    </row>
    <row r="538" spans="1:4" x14ac:dyDescent="0.2">
      <c r="A538" s="78"/>
      <c r="B538" t="s">
        <v>40</v>
      </c>
      <c r="C538">
        <v>1.443747510000001</v>
      </c>
      <c r="D538">
        <v>2681.900455367298</v>
      </c>
    </row>
    <row r="539" spans="1:4" x14ac:dyDescent="0.2">
      <c r="A539" s="78"/>
      <c r="B539" t="s">
        <v>16</v>
      </c>
      <c r="C539">
        <v>36702.641885169993</v>
      </c>
      <c r="D539">
        <v>1918.908076519913</v>
      </c>
    </row>
    <row r="540" spans="1:4" x14ac:dyDescent="0.2">
      <c r="A540" s="78">
        <v>45131</v>
      </c>
      <c r="B540" t="s">
        <v>15</v>
      </c>
      <c r="C540">
        <v>7238.0436229999996</v>
      </c>
      <c r="D540">
        <v>5092.1474627080879</v>
      </c>
    </row>
    <row r="541" spans="1:4" x14ac:dyDescent="0.2">
      <c r="A541" s="78"/>
      <c r="B541" t="s">
        <v>40</v>
      </c>
      <c r="C541">
        <v>1.443747510000001</v>
      </c>
      <c r="D541">
        <v>2671.555366090749</v>
      </c>
    </row>
    <row r="542" spans="1:4" x14ac:dyDescent="0.2">
      <c r="A542" s="78"/>
      <c r="B542" t="s">
        <v>16</v>
      </c>
      <c r="C542">
        <v>36702.641885169993</v>
      </c>
      <c r="D542">
        <v>1910.539874170094</v>
      </c>
    </row>
    <row r="543" spans="1:4" x14ac:dyDescent="0.2">
      <c r="A543" s="78">
        <v>45130</v>
      </c>
      <c r="B543" t="s">
        <v>15</v>
      </c>
      <c r="C543">
        <v>7238.0436229999996</v>
      </c>
      <c r="D543">
        <v>5341.6116304248826</v>
      </c>
    </row>
    <row r="544" spans="1:4" x14ac:dyDescent="0.2">
      <c r="A544" s="78"/>
      <c r="B544" t="s">
        <v>40</v>
      </c>
      <c r="C544">
        <v>1.443747510000001</v>
      </c>
      <c r="D544">
        <v>2725.545502927444</v>
      </c>
    </row>
    <row r="545" spans="1:4" x14ac:dyDescent="0.2">
      <c r="A545" s="78"/>
      <c r="B545" t="s">
        <v>16</v>
      </c>
      <c r="C545">
        <v>36702.641885169993</v>
      </c>
      <c r="D545">
        <v>1961.3884482906469</v>
      </c>
    </row>
    <row r="546" spans="1:4" x14ac:dyDescent="0.2">
      <c r="A546" s="78">
        <v>45129</v>
      </c>
      <c r="B546" t="s">
        <v>15</v>
      </c>
      <c r="C546">
        <v>7238.0436229999996</v>
      </c>
      <c r="D546">
        <v>5293.9166143515604</v>
      </c>
    </row>
    <row r="547" spans="1:4" x14ac:dyDescent="0.2">
      <c r="A547" s="78"/>
      <c r="B547" t="s">
        <v>40</v>
      </c>
      <c r="C547">
        <v>1.443747510000001</v>
      </c>
      <c r="D547">
        <v>2682.9321617558112</v>
      </c>
    </row>
    <row r="548" spans="1:4" x14ac:dyDescent="0.2">
      <c r="A548" s="78"/>
      <c r="B548" t="s">
        <v>16</v>
      </c>
      <c r="C548">
        <v>36702.641885169993</v>
      </c>
      <c r="D548">
        <v>1960.452163896156</v>
      </c>
    </row>
    <row r="549" spans="1:4" x14ac:dyDescent="0.2">
      <c r="A549" s="78">
        <v>45128</v>
      </c>
      <c r="B549" t="s">
        <v>15</v>
      </c>
      <c r="C549">
        <v>7238.0436229999996</v>
      </c>
      <c r="D549">
        <v>5592.6977713371552</v>
      </c>
    </row>
    <row r="550" spans="1:4" x14ac:dyDescent="0.2">
      <c r="A550" s="78"/>
      <c r="B550" t="s">
        <v>40</v>
      </c>
      <c r="C550">
        <v>1.443747510000001</v>
      </c>
      <c r="D550">
        <v>2730.8085718195312</v>
      </c>
    </row>
    <row r="551" spans="1:4" x14ac:dyDescent="0.2">
      <c r="A551" s="78"/>
      <c r="B551" t="s">
        <v>16</v>
      </c>
      <c r="C551">
        <v>36702.641885169993</v>
      </c>
      <c r="D551">
        <v>2037.1783027042659</v>
      </c>
    </row>
    <row r="552" spans="1:4" x14ac:dyDescent="0.2">
      <c r="A552" s="78">
        <v>45127</v>
      </c>
      <c r="B552" t="s">
        <v>15</v>
      </c>
      <c r="C552">
        <v>7238.0436229999996</v>
      </c>
      <c r="D552">
        <v>5741.8215193517917</v>
      </c>
    </row>
    <row r="553" spans="1:4" x14ac:dyDescent="0.2">
      <c r="A553" s="78"/>
      <c r="B553" t="s">
        <v>40</v>
      </c>
      <c r="C553">
        <v>1.443747510000001</v>
      </c>
      <c r="D553">
        <v>2730.147483631757</v>
      </c>
    </row>
    <row r="554" spans="1:4" x14ac:dyDescent="0.2">
      <c r="A554" s="78"/>
      <c r="B554" t="s">
        <v>16</v>
      </c>
      <c r="C554">
        <v>36702.641885169993</v>
      </c>
      <c r="D554">
        <v>2099.677763464847</v>
      </c>
    </row>
    <row r="555" spans="1:4" x14ac:dyDescent="0.2">
      <c r="A555" s="78">
        <v>45126</v>
      </c>
      <c r="B555" t="s">
        <v>15</v>
      </c>
      <c r="C555">
        <v>7238.0436229999996</v>
      </c>
      <c r="D555">
        <v>5944.147059408564</v>
      </c>
    </row>
    <row r="556" spans="1:4" x14ac:dyDescent="0.2">
      <c r="A556" s="78"/>
      <c r="B556" t="s">
        <v>40</v>
      </c>
      <c r="C556">
        <v>1.443747510000001</v>
      </c>
      <c r="D556">
        <v>2727.5621650955381</v>
      </c>
    </row>
    <row r="557" spans="1:4" x14ac:dyDescent="0.2">
      <c r="A557" s="78"/>
      <c r="B557" t="s">
        <v>16</v>
      </c>
      <c r="C557">
        <v>36702.641885169993</v>
      </c>
      <c r="D557">
        <v>2066.9151501860501</v>
      </c>
    </row>
    <row r="558" spans="1:4" x14ac:dyDescent="0.2">
      <c r="A558" s="78">
        <v>45125</v>
      </c>
      <c r="B558" t="s">
        <v>15</v>
      </c>
      <c r="C558">
        <v>7238.0436229999996</v>
      </c>
      <c r="D558">
        <v>5654.8163264597752</v>
      </c>
    </row>
    <row r="559" spans="1:4" x14ac:dyDescent="0.2">
      <c r="A559" s="78"/>
      <c r="B559" t="s">
        <v>40</v>
      </c>
      <c r="C559">
        <v>1.443747510000001</v>
      </c>
      <c r="D559">
        <v>2739.076494848211</v>
      </c>
    </row>
    <row r="560" spans="1:4" x14ac:dyDescent="0.2">
      <c r="A560" s="78"/>
      <c r="B560" t="s">
        <v>16</v>
      </c>
      <c r="C560">
        <v>36702.641885169993</v>
      </c>
      <c r="D560">
        <v>1930.5039091971139</v>
      </c>
    </row>
    <row r="561" spans="1:4" x14ac:dyDescent="0.2">
      <c r="A561" s="78">
        <v>45124</v>
      </c>
      <c r="B561" t="s">
        <v>33</v>
      </c>
      <c r="C561">
        <v>75.213398999999995</v>
      </c>
      <c r="D561">
        <v>710.33677973538488</v>
      </c>
    </row>
    <row r="562" spans="1:4" x14ac:dyDescent="0.2">
      <c r="A562" s="78"/>
      <c r="B562" t="s">
        <v>15</v>
      </c>
      <c r="C562">
        <v>4402.375986</v>
      </c>
      <c r="D562">
        <v>3255.5404006657732</v>
      </c>
    </row>
    <row r="563" spans="1:4" x14ac:dyDescent="0.2">
      <c r="A563" s="78"/>
      <c r="B563" t="s">
        <v>16</v>
      </c>
      <c r="C563">
        <v>36702.641885169993</v>
      </c>
      <c r="D563">
        <v>1904.8260068814111</v>
      </c>
    </row>
    <row r="564" spans="1:4" x14ac:dyDescent="0.2">
      <c r="A564" s="78"/>
      <c r="B564" t="s">
        <v>42</v>
      </c>
      <c r="C564">
        <v>105.2927045</v>
      </c>
      <c r="D564">
        <v>757.51041959547615</v>
      </c>
    </row>
    <row r="565" spans="1:4" x14ac:dyDescent="0.2">
      <c r="A565" s="78"/>
      <c r="B565" t="s">
        <v>35</v>
      </c>
      <c r="C565">
        <v>2232.1241340000001</v>
      </c>
      <c r="D565">
        <v>697.77146849472797</v>
      </c>
    </row>
    <row r="566" spans="1:4" x14ac:dyDescent="0.2">
      <c r="A566" s="78"/>
      <c r="B566" t="s">
        <v>40</v>
      </c>
      <c r="C566">
        <v>1.4450574199999999</v>
      </c>
      <c r="D566">
        <v>2763.1272914918691</v>
      </c>
    </row>
    <row r="567" spans="1:4" x14ac:dyDescent="0.2">
      <c r="A567" s="78">
        <v>45123</v>
      </c>
      <c r="B567" t="s">
        <v>33</v>
      </c>
      <c r="C567">
        <v>75.213398999999995</v>
      </c>
      <c r="D567">
        <v>707.57087242281705</v>
      </c>
    </row>
    <row r="568" spans="1:4" x14ac:dyDescent="0.2">
      <c r="A568" s="78"/>
      <c r="B568" t="s">
        <v>15</v>
      </c>
      <c r="C568">
        <v>4402.375986</v>
      </c>
      <c r="D568">
        <v>3291.5117305860199</v>
      </c>
    </row>
    <row r="569" spans="1:4" x14ac:dyDescent="0.2">
      <c r="A569" s="78"/>
      <c r="B569" t="s">
        <v>16</v>
      </c>
      <c r="C569">
        <v>36702.641885169993</v>
      </c>
      <c r="D569">
        <v>1864.7118544330151</v>
      </c>
    </row>
    <row r="570" spans="1:4" x14ac:dyDescent="0.2">
      <c r="A570" s="78"/>
      <c r="B570" t="s">
        <v>42</v>
      </c>
      <c r="C570">
        <v>105.2927045</v>
      </c>
      <c r="D570">
        <v>696.40844615887784</v>
      </c>
    </row>
    <row r="571" spans="1:4" x14ac:dyDescent="0.2">
      <c r="A571" s="78"/>
      <c r="B571" t="s">
        <v>35</v>
      </c>
      <c r="C571">
        <v>2232.1241340000001</v>
      </c>
      <c r="D571">
        <v>702.51136177203568</v>
      </c>
    </row>
    <row r="572" spans="1:4" x14ac:dyDescent="0.2">
      <c r="A572" s="78"/>
      <c r="B572" t="s">
        <v>40</v>
      </c>
      <c r="C572">
        <v>1.4450574199999999</v>
      </c>
      <c r="D572">
        <v>2778.8974260164359</v>
      </c>
    </row>
    <row r="573" spans="1:4" x14ac:dyDescent="0.2">
      <c r="A573" s="78">
        <v>45122</v>
      </c>
      <c r="B573" t="s">
        <v>33</v>
      </c>
      <c r="C573">
        <v>75.213398999999995</v>
      </c>
      <c r="D573">
        <v>730.23780812093673</v>
      </c>
    </row>
    <row r="574" spans="1:4" x14ac:dyDescent="0.2">
      <c r="A574" s="78"/>
      <c r="B574" t="s">
        <v>15</v>
      </c>
      <c r="C574">
        <v>4402.375986</v>
      </c>
      <c r="D574">
        <v>3140.0192812962619</v>
      </c>
    </row>
    <row r="575" spans="1:4" x14ac:dyDescent="0.2">
      <c r="A575" s="78"/>
      <c r="B575" t="s">
        <v>16</v>
      </c>
      <c r="C575">
        <v>36702.641885169993</v>
      </c>
      <c r="D575">
        <v>1909.6531383421491</v>
      </c>
    </row>
    <row r="576" spans="1:4" x14ac:dyDescent="0.2">
      <c r="A576" s="78"/>
      <c r="B576" t="s">
        <v>42</v>
      </c>
      <c r="C576">
        <v>105.2927045</v>
      </c>
      <c r="D576">
        <v>728.39959279566256</v>
      </c>
    </row>
    <row r="577" spans="1:4" x14ac:dyDescent="0.2">
      <c r="A577" s="78"/>
      <c r="B577" t="s">
        <v>35</v>
      </c>
      <c r="C577">
        <v>2232.1241340000001</v>
      </c>
      <c r="D577">
        <v>727.53505812231083</v>
      </c>
    </row>
    <row r="578" spans="1:4" x14ac:dyDescent="0.2">
      <c r="A578" s="78"/>
      <c r="B578" t="s">
        <v>40</v>
      </c>
      <c r="C578">
        <v>1.4450574199999999</v>
      </c>
      <c r="D578">
        <v>2790.968560489639</v>
      </c>
    </row>
    <row r="579" spans="1:4" x14ac:dyDescent="0.2">
      <c r="A579" s="78">
        <v>45121</v>
      </c>
      <c r="B579" t="s">
        <v>33</v>
      </c>
      <c r="C579">
        <v>75.213398999999995</v>
      </c>
      <c r="D579">
        <v>734.26037939972866</v>
      </c>
    </row>
    <row r="580" spans="1:4" x14ac:dyDescent="0.2">
      <c r="A580" s="78"/>
      <c r="B580" t="s">
        <v>15</v>
      </c>
      <c r="C580">
        <v>4402.375986</v>
      </c>
      <c r="D580">
        <v>3168.2992641551291</v>
      </c>
    </row>
    <row r="581" spans="1:4" x14ac:dyDescent="0.2">
      <c r="A581" s="78"/>
      <c r="B581" t="s">
        <v>16</v>
      </c>
      <c r="C581">
        <v>36702.641885169993</v>
      </c>
      <c r="D581">
        <v>1873.6661979737401</v>
      </c>
    </row>
    <row r="582" spans="1:4" x14ac:dyDescent="0.2">
      <c r="A582" s="78"/>
      <c r="B582" t="s">
        <v>42</v>
      </c>
      <c r="C582">
        <v>105.2927045</v>
      </c>
      <c r="D582">
        <v>730.61781315405085</v>
      </c>
    </row>
    <row r="583" spans="1:4" x14ac:dyDescent="0.2">
      <c r="A583" s="78"/>
      <c r="B583" t="s">
        <v>35</v>
      </c>
      <c r="C583">
        <v>2232.1241340000001</v>
      </c>
      <c r="D583">
        <v>733.62616774413539</v>
      </c>
    </row>
    <row r="584" spans="1:4" x14ac:dyDescent="0.2">
      <c r="A584" s="78"/>
      <c r="B584" t="s">
        <v>40</v>
      </c>
      <c r="C584">
        <v>1.4450574199999999</v>
      </c>
      <c r="D584">
        <v>2797.5448095579241</v>
      </c>
    </row>
    <row r="585" spans="1:4" x14ac:dyDescent="0.2">
      <c r="A585" s="78">
        <v>45120</v>
      </c>
      <c r="B585" t="s">
        <v>43</v>
      </c>
      <c r="C585">
        <v>10508.52390858</v>
      </c>
      <c r="D585">
        <v>398.017068492769</v>
      </c>
    </row>
    <row r="586" spans="1:4" x14ac:dyDescent="0.2">
      <c r="A586" s="78"/>
      <c r="B586" t="s">
        <v>33</v>
      </c>
      <c r="C586">
        <v>34.086134999999992</v>
      </c>
      <c r="D586">
        <v>337.16499225589308</v>
      </c>
    </row>
    <row r="587" spans="1:4" x14ac:dyDescent="0.2">
      <c r="A587" s="78"/>
      <c r="B587" t="s">
        <v>15</v>
      </c>
      <c r="C587">
        <v>4402.375986</v>
      </c>
      <c r="D587">
        <v>3576.971782911749</v>
      </c>
    </row>
    <row r="588" spans="1:4" x14ac:dyDescent="0.2">
      <c r="A588" s="78"/>
      <c r="B588" t="s">
        <v>16</v>
      </c>
      <c r="C588">
        <v>36702.641885169993</v>
      </c>
      <c r="D588">
        <v>1920.9946217110851</v>
      </c>
    </row>
    <row r="589" spans="1:4" x14ac:dyDescent="0.2">
      <c r="A589" s="78"/>
      <c r="B589" t="s">
        <v>42</v>
      </c>
      <c r="C589">
        <v>105.2927045</v>
      </c>
      <c r="D589">
        <v>744.85458503342807</v>
      </c>
    </row>
    <row r="590" spans="1:4" x14ac:dyDescent="0.2">
      <c r="A590" s="78"/>
      <c r="B590" t="s">
        <v>35</v>
      </c>
      <c r="C590">
        <v>2232.1241340000001</v>
      </c>
      <c r="D590">
        <v>796.61037157307487</v>
      </c>
    </row>
    <row r="591" spans="1:4" x14ac:dyDescent="0.2">
      <c r="A591" s="78"/>
      <c r="B591" t="s">
        <v>40</v>
      </c>
      <c r="C591">
        <v>1.4450574199999999</v>
      </c>
      <c r="D591">
        <v>2894.816502043785</v>
      </c>
    </row>
    <row r="592" spans="1:4" x14ac:dyDescent="0.2">
      <c r="A592" s="78">
        <v>45119</v>
      </c>
      <c r="B592" t="s">
        <v>43</v>
      </c>
      <c r="C592">
        <v>10508.52390858</v>
      </c>
      <c r="D592">
        <v>387.84240038876459</v>
      </c>
    </row>
    <row r="593" spans="1:4" x14ac:dyDescent="0.2">
      <c r="A593" s="78"/>
      <c r="B593" t="s">
        <v>33</v>
      </c>
      <c r="C593">
        <v>34.086134999999992</v>
      </c>
      <c r="D593">
        <v>309.26878893281571</v>
      </c>
    </row>
    <row r="594" spans="1:4" x14ac:dyDescent="0.2">
      <c r="A594" s="78"/>
      <c r="B594" t="s">
        <v>15</v>
      </c>
      <c r="C594">
        <v>4402.375986</v>
      </c>
      <c r="D594">
        <v>2075.173942539137</v>
      </c>
    </row>
    <row r="595" spans="1:4" x14ac:dyDescent="0.2">
      <c r="A595" s="78"/>
      <c r="B595" t="s">
        <v>16</v>
      </c>
      <c r="C595">
        <v>36702.641885169993</v>
      </c>
      <c r="D595">
        <v>1774.3851846479361</v>
      </c>
    </row>
    <row r="596" spans="1:4" x14ac:dyDescent="0.2">
      <c r="A596" s="78"/>
      <c r="B596" t="s">
        <v>42</v>
      </c>
      <c r="C596">
        <v>105.2927045</v>
      </c>
      <c r="D596">
        <v>658.52347615915585</v>
      </c>
    </row>
    <row r="597" spans="1:4" x14ac:dyDescent="0.2">
      <c r="A597" s="78"/>
      <c r="B597" t="s">
        <v>35</v>
      </c>
      <c r="C597">
        <v>2232.1241340000001</v>
      </c>
      <c r="D597">
        <v>644.49941534275342</v>
      </c>
    </row>
    <row r="598" spans="1:4" x14ac:dyDescent="0.2">
      <c r="A598" s="78"/>
      <c r="B598" t="s">
        <v>40</v>
      </c>
      <c r="C598">
        <v>1.4450574199999999</v>
      </c>
      <c r="D598">
        <v>2707.3249249854398</v>
      </c>
    </row>
    <row r="599" spans="1:4" x14ac:dyDescent="0.2">
      <c r="A599" s="78">
        <v>45118</v>
      </c>
      <c r="B599" t="s">
        <v>43</v>
      </c>
      <c r="C599">
        <v>10508.52390858</v>
      </c>
      <c r="D599">
        <v>388.89630025155611</v>
      </c>
    </row>
    <row r="600" spans="1:4" x14ac:dyDescent="0.2">
      <c r="A600" s="78"/>
      <c r="B600" t="s">
        <v>33</v>
      </c>
      <c r="C600">
        <v>34.086134999999992</v>
      </c>
      <c r="D600">
        <v>313.75784428836471</v>
      </c>
    </row>
    <row r="601" spans="1:4" x14ac:dyDescent="0.2">
      <c r="A601" s="78"/>
      <c r="B601" t="s">
        <v>15</v>
      </c>
      <c r="C601">
        <v>4402.375986</v>
      </c>
      <c r="D601">
        <v>2093.1682141443139</v>
      </c>
    </row>
    <row r="602" spans="1:4" x14ac:dyDescent="0.2">
      <c r="A602" s="78"/>
      <c r="B602" t="s">
        <v>16</v>
      </c>
      <c r="C602">
        <v>36702.641885169993</v>
      </c>
      <c r="D602">
        <v>1774.307375047139</v>
      </c>
    </row>
    <row r="603" spans="1:4" x14ac:dyDescent="0.2">
      <c r="A603" s="78"/>
      <c r="B603" t="s">
        <v>42</v>
      </c>
      <c r="C603">
        <v>105.2927045</v>
      </c>
      <c r="D603">
        <v>653.27786837878602</v>
      </c>
    </row>
    <row r="604" spans="1:4" x14ac:dyDescent="0.2">
      <c r="A604" s="78"/>
      <c r="B604" t="s">
        <v>35</v>
      </c>
      <c r="C604">
        <v>2232.1241340000001</v>
      </c>
      <c r="D604">
        <v>653.26905160413662</v>
      </c>
    </row>
    <row r="605" spans="1:4" x14ac:dyDescent="0.2">
      <c r="A605" s="78"/>
      <c r="B605" t="s">
        <v>40</v>
      </c>
      <c r="C605">
        <v>1.4450574199999999</v>
      </c>
      <c r="D605">
        <v>2710.7338971572171</v>
      </c>
    </row>
    <row r="606" spans="1:4" x14ac:dyDescent="0.2">
      <c r="A606" s="78">
        <v>45117</v>
      </c>
      <c r="B606" t="s">
        <v>43</v>
      </c>
      <c r="C606">
        <v>10508.52390858</v>
      </c>
      <c r="D606">
        <v>388.86708655509022</v>
      </c>
    </row>
    <row r="607" spans="1:4" x14ac:dyDescent="0.2">
      <c r="A607" s="78"/>
      <c r="B607" t="s">
        <v>33</v>
      </c>
      <c r="C607">
        <v>34.086134999999992</v>
      </c>
      <c r="D607">
        <v>315.03756732357772</v>
      </c>
    </row>
    <row r="608" spans="1:4" x14ac:dyDescent="0.2">
      <c r="A608" s="78"/>
      <c r="B608" t="s">
        <v>15</v>
      </c>
      <c r="C608">
        <v>4402.375986</v>
      </c>
      <c r="D608">
        <v>2101.3299991035592</v>
      </c>
    </row>
    <row r="609" spans="1:4" x14ac:dyDescent="0.2">
      <c r="A609" s="78"/>
      <c r="B609" t="s">
        <v>16</v>
      </c>
      <c r="C609">
        <v>36702.641885169993</v>
      </c>
      <c r="D609">
        <v>1745.526631386464</v>
      </c>
    </row>
    <row r="610" spans="1:4" x14ac:dyDescent="0.2">
      <c r="A610" s="78"/>
      <c r="B610" t="s">
        <v>42</v>
      </c>
      <c r="C610">
        <v>105.2927045</v>
      </c>
      <c r="D610">
        <v>649.38692178792064</v>
      </c>
    </row>
    <row r="611" spans="1:4" x14ac:dyDescent="0.2">
      <c r="A611" s="78"/>
      <c r="B611" t="s">
        <v>35</v>
      </c>
      <c r="C611">
        <v>2232.1241340000001</v>
      </c>
      <c r="D611">
        <v>642.28829549685429</v>
      </c>
    </row>
    <row r="612" spans="1:4" x14ac:dyDescent="0.2">
      <c r="A612" s="78"/>
      <c r="B612" t="s">
        <v>40</v>
      </c>
      <c r="C612">
        <v>1.4450574199999999</v>
      </c>
      <c r="D612">
        <v>2709.8790022568869</v>
      </c>
    </row>
    <row r="613" spans="1:4" x14ac:dyDescent="0.2">
      <c r="A613" s="78">
        <v>45116</v>
      </c>
      <c r="B613" t="s">
        <v>15</v>
      </c>
      <c r="C613">
        <v>4402.375986</v>
      </c>
      <c r="D613">
        <v>2061.1578339699499</v>
      </c>
    </row>
    <row r="614" spans="1:4" x14ac:dyDescent="0.2">
      <c r="A614" s="78"/>
      <c r="B614" t="s">
        <v>33</v>
      </c>
      <c r="C614">
        <v>34.09613499999999</v>
      </c>
      <c r="D614">
        <v>321.9631342829166</v>
      </c>
    </row>
    <row r="615" spans="1:4" x14ac:dyDescent="0.2">
      <c r="A615" s="78"/>
      <c r="B615" t="s">
        <v>16</v>
      </c>
      <c r="C615">
        <v>36702.641885169993</v>
      </c>
      <c r="D615">
        <v>1730.134277432662</v>
      </c>
    </row>
    <row r="616" spans="1:4" x14ac:dyDescent="0.2">
      <c r="A616" s="78"/>
      <c r="B616" t="s">
        <v>43</v>
      </c>
      <c r="C616">
        <v>10561.520754220001</v>
      </c>
      <c r="D616">
        <v>386.84748780077769</v>
      </c>
    </row>
    <row r="617" spans="1:4" x14ac:dyDescent="0.2">
      <c r="A617" s="78"/>
      <c r="B617" t="s">
        <v>42</v>
      </c>
      <c r="C617">
        <v>105.2927045</v>
      </c>
      <c r="D617">
        <v>646.93184443783264</v>
      </c>
    </row>
    <row r="618" spans="1:4" x14ac:dyDescent="0.2">
      <c r="A618" s="78"/>
      <c r="B618" t="s">
        <v>35</v>
      </c>
      <c r="C618">
        <v>2232.1241340000001</v>
      </c>
      <c r="D618">
        <v>634.93534378083825</v>
      </c>
    </row>
    <row r="619" spans="1:4" x14ac:dyDescent="0.2">
      <c r="A619" s="78"/>
      <c r="B619" t="s">
        <v>40</v>
      </c>
      <c r="C619">
        <v>1.4450574199999999</v>
      </c>
      <c r="D619">
        <v>2697.8018912429538</v>
      </c>
    </row>
    <row r="620" spans="1:4" x14ac:dyDescent="0.2">
      <c r="A620" s="78">
        <v>45115</v>
      </c>
      <c r="B620" t="s">
        <v>15</v>
      </c>
      <c r="C620">
        <v>4402.375986</v>
      </c>
      <c r="D620">
        <v>2070.9966160135418</v>
      </c>
    </row>
    <row r="621" spans="1:4" x14ac:dyDescent="0.2">
      <c r="A621" s="78"/>
      <c r="B621" t="s">
        <v>33</v>
      </c>
      <c r="C621">
        <v>34.09613499999999</v>
      </c>
      <c r="D621">
        <v>313.9611485016697</v>
      </c>
    </row>
    <row r="622" spans="1:4" x14ac:dyDescent="0.2">
      <c r="A622" s="78"/>
      <c r="B622" t="s">
        <v>16</v>
      </c>
      <c r="C622">
        <v>36702.641885169993</v>
      </c>
      <c r="D622">
        <v>1730.883745379957</v>
      </c>
    </row>
    <row r="623" spans="1:4" x14ac:dyDescent="0.2">
      <c r="A623" s="78"/>
      <c r="B623" t="s">
        <v>43</v>
      </c>
      <c r="C623">
        <v>10561.520754220001</v>
      </c>
      <c r="D623">
        <v>400.75025126080271</v>
      </c>
    </row>
    <row r="624" spans="1:4" x14ac:dyDescent="0.2">
      <c r="A624" s="78"/>
      <c r="B624" t="s">
        <v>42</v>
      </c>
      <c r="C624">
        <v>105.2927045</v>
      </c>
      <c r="D624">
        <v>652.17546534486848</v>
      </c>
    </row>
    <row r="625" spans="1:4" x14ac:dyDescent="0.2">
      <c r="A625" s="78"/>
      <c r="B625" t="s">
        <v>35</v>
      </c>
      <c r="C625">
        <v>2232.1241340000001</v>
      </c>
      <c r="D625">
        <v>648.64042971490869</v>
      </c>
    </row>
    <row r="626" spans="1:4" x14ac:dyDescent="0.2">
      <c r="A626" s="78"/>
      <c r="B626" t="s">
        <v>40</v>
      </c>
      <c r="C626">
        <v>1.4450574199999999</v>
      </c>
      <c r="D626">
        <v>2694.8421960644978</v>
      </c>
    </row>
    <row r="627" spans="1:4" x14ac:dyDescent="0.2">
      <c r="A627" s="78">
        <v>45114</v>
      </c>
      <c r="B627" t="s">
        <v>15</v>
      </c>
      <c r="C627">
        <v>4402.375986</v>
      </c>
      <c r="D627">
        <v>2061.9137219267459</v>
      </c>
    </row>
    <row r="628" spans="1:4" x14ac:dyDescent="0.2">
      <c r="A628" s="78"/>
      <c r="B628" t="s">
        <v>33</v>
      </c>
      <c r="C628">
        <v>34.09613499999999</v>
      </c>
      <c r="D628">
        <v>313.9734950531145</v>
      </c>
    </row>
    <row r="629" spans="1:4" x14ac:dyDescent="0.2">
      <c r="A629" s="78"/>
      <c r="B629" t="s">
        <v>16</v>
      </c>
      <c r="C629">
        <v>36702.641885169993</v>
      </c>
      <c r="D629">
        <v>1728.9586918130799</v>
      </c>
    </row>
    <row r="630" spans="1:4" x14ac:dyDescent="0.2">
      <c r="A630" s="78"/>
      <c r="B630" t="s">
        <v>43</v>
      </c>
      <c r="C630">
        <v>10561.520754220001</v>
      </c>
      <c r="D630">
        <v>403.94785728435039</v>
      </c>
    </row>
    <row r="631" spans="1:4" x14ac:dyDescent="0.2">
      <c r="A631" s="78"/>
      <c r="B631" t="s">
        <v>42</v>
      </c>
      <c r="C631">
        <v>105.2927045</v>
      </c>
      <c r="D631">
        <v>647.66827845993839</v>
      </c>
    </row>
    <row r="632" spans="1:4" x14ac:dyDescent="0.2">
      <c r="A632" s="78"/>
      <c r="B632" t="s">
        <v>35</v>
      </c>
      <c r="C632">
        <v>2232.1241340000001</v>
      </c>
      <c r="D632">
        <v>634.26671099649843</v>
      </c>
    </row>
    <row r="633" spans="1:4" x14ac:dyDescent="0.2">
      <c r="A633" s="78"/>
      <c r="B633" t="s">
        <v>40</v>
      </c>
      <c r="C633">
        <v>1.4450574199999999</v>
      </c>
      <c r="D633">
        <v>2701.2706716101861</v>
      </c>
    </row>
    <row r="634" spans="1:4" x14ac:dyDescent="0.2">
      <c r="A634" s="78">
        <v>45113</v>
      </c>
      <c r="B634" t="s">
        <v>15</v>
      </c>
      <c r="C634">
        <v>4402.375986</v>
      </c>
      <c r="D634">
        <v>2044.502060759557</v>
      </c>
    </row>
    <row r="635" spans="1:4" x14ac:dyDescent="0.2">
      <c r="A635" s="78"/>
      <c r="B635" t="s">
        <v>33</v>
      </c>
      <c r="C635">
        <v>34.09613499999999</v>
      </c>
      <c r="D635">
        <v>314.82825106142951</v>
      </c>
    </row>
    <row r="636" spans="1:4" x14ac:dyDescent="0.2">
      <c r="A636" s="78"/>
      <c r="B636" t="s">
        <v>16</v>
      </c>
      <c r="C636">
        <v>36702.641885169993</v>
      </c>
      <c r="D636">
        <v>1698.6845176540969</v>
      </c>
    </row>
    <row r="637" spans="1:4" x14ac:dyDescent="0.2">
      <c r="A637" s="78"/>
      <c r="B637" t="s">
        <v>43</v>
      </c>
      <c r="C637">
        <v>10561.520754220001</v>
      </c>
      <c r="D637">
        <v>389.71895406343498</v>
      </c>
    </row>
    <row r="638" spans="1:4" x14ac:dyDescent="0.2">
      <c r="A638" s="78"/>
      <c r="B638" t="s">
        <v>42</v>
      </c>
      <c r="C638">
        <v>105.2927045</v>
      </c>
      <c r="D638">
        <v>642.41224354304188</v>
      </c>
    </row>
    <row r="639" spans="1:4" x14ac:dyDescent="0.2">
      <c r="A639" s="78"/>
      <c r="B639" t="s">
        <v>35</v>
      </c>
      <c r="C639">
        <v>2232.1241340000001</v>
      </c>
      <c r="D639">
        <v>625.03346255248346</v>
      </c>
    </row>
    <row r="640" spans="1:4" x14ac:dyDescent="0.2">
      <c r="A640" s="78"/>
      <c r="B640" t="s">
        <v>40</v>
      </c>
      <c r="C640">
        <v>1.4450574199999999</v>
      </c>
      <c r="D640">
        <v>2681.2676037218771</v>
      </c>
    </row>
    <row r="641" spans="1:4" x14ac:dyDescent="0.2">
      <c r="A641" s="78">
        <v>45112</v>
      </c>
      <c r="B641" t="s">
        <v>15</v>
      </c>
      <c r="C641">
        <v>4402.375986</v>
      </c>
      <c r="D641">
        <v>2103.4795912500031</v>
      </c>
    </row>
    <row r="642" spans="1:4" x14ac:dyDescent="0.2">
      <c r="A642" s="78"/>
      <c r="B642" t="s">
        <v>33</v>
      </c>
      <c r="C642">
        <v>34.09613499999999</v>
      </c>
      <c r="D642">
        <v>320.30466281653622</v>
      </c>
    </row>
    <row r="643" spans="1:4" x14ac:dyDescent="0.2">
      <c r="A643" s="78"/>
      <c r="B643" t="s">
        <v>16</v>
      </c>
      <c r="C643">
        <v>36702.641885169993</v>
      </c>
      <c r="D643">
        <v>1734.055587691674</v>
      </c>
    </row>
    <row r="644" spans="1:4" x14ac:dyDescent="0.2">
      <c r="A644" s="78"/>
      <c r="B644" t="s">
        <v>43</v>
      </c>
      <c r="C644">
        <v>10561.520754220001</v>
      </c>
      <c r="D644">
        <v>399.23847518004368</v>
      </c>
    </row>
    <row r="645" spans="1:4" x14ac:dyDescent="0.2">
      <c r="A645" s="78"/>
      <c r="B645" t="s">
        <v>42</v>
      </c>
      <c r="C645">
        <v>105.2927045</v>
      </c>
      <c r="D645">
        <v>663.83720410762885</v>
      </c>
    </row>
    <row r="646" spans="1:4" x14ac:dyDescent="0.2">
      <c r="A646" s="78"/>
      <c r="B646" t="s">
        <v>35</v>
      </c>
      <c r="C646">
        <v>2232.1241340000001</v>
      </c>
      <c r="D646">
        <v>634.26470208477792</v>
      </c>
    </row>
    <row r="647" spans="1:4" x14ac:dyDescent="0.2">
      <c r="A647" s="78"/>
      <c r="B647" t="s">
        <v>40</v>
      </c>
      <c r="C647">
        <v>1.4450574199999999</v>
      </c>
      <c r="D647">
        <v>2760.7898026490088</v>
      </c>
    </row>
    <row r="648" spans="1:4" x14ac:dyDescent="0.2">
      <c r="A648" s="78">
        <v>45111</v>
      </c>
      <c r="B648" t="s">
        <v>15</v>
      </c>
      <c r="C648">
        <v>4402.375986</v>
      </c>
      <c r="D648">
        <v>2148.5104386405601</v>
      </c>
    </row>
    <row r="649" spans="1:4" x14ac:dyDescent="0.2">
      <c r="A649" s="78"/>
      <c r="B649" t="s">
        <v>33</v>
      </c>
      <c r="C649">
        <v>34.09613499999999</v>
      </c>
      <c r="D649">
        <v>330.66011999578137</v>
      </c>
    </row>
    <row r="650" spans="1:4" x14ac:dyDescent="0.2">
      <c r="A650" s="78"/>
      <c r="B650" t="s">
        <v>16</v>
      </c>
      <c r="C650">
        <v>36702.641885169993</v>
      </c>
      <c r="D650">
        <v>1780.030785022713</v>
      </c>
    </row>
    <row r="651" spans="1:4" x14ac:dyDescent="0.2">
      <c r="A651" s="78"/>
      <c r="B651" t="s">
        <v>43</v>
      </c>
      <c r="C651">
        <v>10561.520754220001</v>
      </c>
      <c r="D651">
        <v>411.24069298034692</v>
      </c>
    </row>
    <row r="652" spans="1:4" x14ac:dyDescent="0.2">
      <c r="A652" s="78"/>
      <c r="B652" t="s">
        <v>42</v>
      </c>
      <c r="C652">
        <v>105.2927045</v>
      </c>
      <c r="D652">
        <v>687.62175943908233</v>
      </c>
    </row>
    <row r="653" spans="1:4" x14ac:dyDescent="0.2">
      <c r="A653" s="78"/>
      <c r="B653" t="s">
        <v>35</v>
      </c>
      <c r="C653">
        <v>2232.1241340000001</v>
      </c>
      <c r="D653">
        <v>653.73663696772689</v>
      </c>
    </row>
    <row r="654" spans="1:4" x14ac:dyDescent="0.2">
      <c r="A654" s="78"/>
      <c r="B654" t="s">
        <v>40</v>
      </c>
      <c r="C654">
        <v>1.4450574199999999</v>
      </c>
      <c r="D654">
        <v>2799.076837469735</v>
      </c>
    </row>
    <row r="655" spans="1:4" x14ac:dyDescent="0.2">
      <c r="A655" s="78">
        <v>45110</v>
      </c>
      <c r="B655" t="s">
        <v>15</v>
      </c>
      <c r="C655">
        <v>4402.375986</v>
      </c>
      <c r="D655">
        <v>2155.0352881369299</v>
      </c>
    </row>
    <row r="656" spans="1:4" x14ac:dyDescent="0.2">
      <c r="A656" s="78"/>
      <c r="B656" t="s">
        <v>33</v>
      </c>
      <c r="C656">
        <v>34.09613499999999</v>
      </c>
      <c r="D656">
        <v>338.2464445687022</v>
      </c>
    </row>
    <row r="657" spans="1:4" x14ac:dyDescent="0.2">
      <c r="A657" s="78"/>
      <c r="B657" t="s">
        <v>16</v>
      </c>
      <c r="C657">
        <v>36702.641885169993</v>
      </c>
      <c r="D657">
        <v>1840.0983287319821</v>
      </c>
    </row>
    <row r="658" spans="1:4" x14ac:dyDescent="0.2">
      <c r="A658" s="78"/>
      <c r="B658" t="s">
        <v>43</v>
      </c>
      <c r="C658">
        <v>10561.520754220001</v>
      </c>
      <c r="D658">
        <v>416.51089183670268</v>
      </c>
    </row>
    <row r="659" spans="1:4" x14ac:dyDescent="0.2">
      <c r="A659" s="78"/>
      <c r="B659" t="s">
        <v>42</v>
      </c>
      <c r="C659">
        <v>105.2927045</v>
      </c>
      <c r="D659">
        <v>696.59398032762317</v>
      </c>
    </row>
    <row r="660" spans="1:4" x14ac:dyDescent="0.2">
      <c r="A660" s="78"/>
      <c r="B660" t="s">
        <v>35</v>
      </c>
      <c r="C660">
        <v>2232.1241340000001</v>
      </c>
      <c r="D660">
        <v>660.07908376703983</v>
      </c>
    </row>
    <row r="661" spans="1:4" x14ac:dyDescent="0.2">
      <c r="A661" s="78"/>
      <c r="B661" t="s">
        <v>40</v>
      </c>
      <c r="C661">
        <v>1.4450574199999999</v>
      </c>
      <c r="D661">
        <v>2823.3259155666001</v>
      </c>
    </row>
    <row r="662" spans="1:4" x14ac:dyDescent="0.2">
      <c r="A662" s="78">
        <v>45109</v>
      </c>
      <c r="B662" t="s">
        <v>15</v>
      </c>
      <c r="C662">
        <v>4402.375986</v>
      </c>
      <c r="D662">
        <v>2129.984404040034</v>
      </c>
    </row>
    <row r="663" spans="1:4" x14ac:dyDescent="0.2">
      <c r="A663" s="78"/>
      <c r="B663" t="s">
        <v>33</v>
      </c>
      <c r="C663">
        <v>34.09613499999999</v>
      </c>
      <c r="D663">
        <v>326.59632816179231</v>
      </c>
    </row>
    <row r="664" spans="1:4" x14ac:dyDescent="0.2">
      <c r="A664" s="78"/>
      <c r="B664" t="s">
        <v>16</v>
      </c>
      <c r="C664">
        <v>36702.641885169993</v>
      </c>
      <c r="D664">
        <v>1836.6350674436969</v>
      </c>
    </row>
    <row r="665" spans="1:4" x14ac:dyDescent="0.2">
      <c r="A665" s="78"/>
      <c r="B665" t="s">
        <v>43</v>
      </c>
      <c r="C665">
        <v>10561.520754220001</v>
      </c>
      <c r="D665">
        <v>419.51596133690089</v>
      </c>
    </row>
    <row r="666" spans="1:4" x14ac:dyDescent="0.2">
      <c r="A666" s="78"/>
      <c r="B666" t="s">
        <v>42</v>
      </c>
      <c r="C666">
        <v>105.2927045</v>
      </c>
      <c r="D666">
        <v>686.85384395125823</v>
      </c>
    </row>
    <row r="667" spans="1:4" x14ac:dyDescent="0.2">
      <c r="A667" s="78"/>
      <c r="B667" t="s">
        <v>35</v>
      </c>
      <c r="C667">
        <v>2232.1241340000001</v>
      </c>
      <c r="D667">
        <v>650.83244257822082</v>
      </c>
    </row>
    <row r="668" spans="1:4" x14ac:dyDescent="0.2">
      <c r="A668" s="78"/>
      <c r="B668" t="s">
        <v>40</v>
      </c>
      <c r="C668">
        <v>1.4450574199999999</v>
      </c>
      <c r="D668">
        <v>2794.683076570489</v>
      </c>
    </row>
    <row r="669" spans="1:4" x14ac:dyDescent="0.2">
      <c r="A669" s="78">
        <v>45108</v>
      </c>
      <c r="B669" t="s">
        <v>15</v>
      </c>
      <c r="C669">
        <v>4402.375986</v>
      </c>
      <c r="D669">
        <v>2083.716048759813</v>
      </c>
    </row>
    <row r="670" spans="1:4" x14ac:dyDescent="0.2">
      <c r="A670" s="78"/>
      <c r="B670" t="s">
        <v>33</v>
      </c>
      <c r="C670">
        <v>34.09613499999999</v>
      </c>
      <c r="D670">
        <v>325.93998506419189</v>
      </c>
    </row>
    <row r="671" spans="1:4" x14ac:dyDescent="0.2">
      <c r="A671" s="78"/>
      <c r="B671" t="s">
        <v>16</v>
      </c>
      <c r="C671">
        <v>36702.641885169993</v>
      </c>
      <c r="D671">
        <v>1862.004300541146</v>
      </c>
    </row>
    <row r="672" spans="1:4" x14ac:dyDescent="0.2">
      <c r="A672" s="78"/>
      <c r="B672" t="s">
        <v>43</v>
      </c>
      <c r="C672">
        <v>10561.520754220001</v>
      </c>
      <c r="D672">
        <v>413.37771108975568</v>
      </c>
    </row>
    <row r="673" spans="1:4" x14ac:dyDescent="0.2">
      <c r="A673" s="78"/>
      <c r="B673" t="s">
        <v>42</v>
      </c>
      <c r="C673">
        <v>105.2927045</v>
      </c>
      <c r="D673">
        <v>684.14749714407833</v>
      </c>
    </row>
    <row r="674" spans="1:4" x14ac:dyDescent="0.2">
      <c r="A674" s="78"/>
      <c r="B674" t="s">
        <v>35</v>
      </c>
      <c r="C674">
        <v>2232.1241340000001</v>
      </c>
      <c r="D674">
        <v>652.07312413562204</v>
      </c>
    </row>
    <row r="675" spans="1:4" x14ac:dyDescent="0.2">
      <c r="A675" s="78"/>
      <c r="B675" t="s">
        <v>40</v>
      </c>
      <c r="C675">
        <v>1.4450574199999999</v>
      </c>
      <c r="D675">
        <v>2781.110171708121</v>
      </c>
    </row>
    <row r="676" spans="1:4" x14ac:dyDescent="0.2">
      <c r="A676" s="78">
        <v>45107</v>
      </c>
      <c r="B676" t="s">
        <v>15</v>
      </c>
      <c r="C676">
        <v>4402.375986</v>
      </c>
      <c r="D676">
        <v>2085.1761848030892</v>
      </c>
    </row>
    <row r="677" spans="1:4" x14ac:dyDescent="0.2">
      <c r="A677" s="78"/>
      <c r="B677" t="s">
        <v>33</v>
      </c>
      <c r="C677">
        <v>34.09613499999999</v>
      </c>
      <c r="D677">
        <v>316.72050813281902</v>
      </c>
    </row>
    <row r="678" spans="1:4" x14ac:dyDescent="0.2">
      <c r="A678" s="78"/>
      <c r="B678" t="s">
        <v>16</v>
      </c>
      <c r="C678">
        <v>36702.641885169993</v>
      </c>
      <c r="D678">
        <v>1850.1111764646751</v>
      </c>
    </row>
    <row r="679" spans="1:4" x14ac:dyDescent="0.2">
      <c r="A679" s="78"/>
      <c r="B679" t="s">
        <v>43</v>
      </c>
      <c r="C679">
        <v>10561.520754220001</v>
      </c>
      <c r="D679">
        <v>401.188765602518</v>
      </c>
    </row>
    <row r="680" spans="1:4" x14ac:dyDescent="0.2">
      <c r="A680" s="78"/>
      <c r="B680" t="s">
        <v>42</v>
      </c>
      <c r="C680">
        <v>105.2927045</v>
      </c>
      <c r="D680">
        <v>664.15002452099031</v>
      </c>
    </row>
    <row r="681" spans="1:4" x14ac:dyDescent="0.2">
      <c r="A681" s="78"/>
      <c r="B681" t="s">
        <v>35</v>
      </c>
      <c r="C681">
        <v>2232.1241340000001</v>
      </c>
      <c r="D681">
        <v>640.2749195279863</v>
      </c>
    </row>
    <row r="682" spans="1:4" x14ac:dyDescent="0.2">
      <c r="A682" s="78"/>
      <c r="B682" t="s">
        <v>40</v>
      </c>
      <c r="C682">
        <v>1.4450574199999999</v>
      </c>
      <c r="D682">
        <v>2794.807110010614</v>
      </c>
    </row>
    <row r="683" spans="1:4" x14ac:dyDescent="0.2">
      <c r="A683" s="78">
        <v>45106</v>
      </c>
      <c r="B683" t="s">
        <v>15</v>
      </c>
      <c r="C683">
        <v>4402.375986</v>
      </c>
      <c r="D683">
        <v>2089.3158269902451</v>
      </c>
    </row>
    <row r="684" spans="1:4" x14ac:dyDescent="0.2">
      <c r="A684" s="78"/>
      <c r="B684" t="s">
        <v>33</v>
      </c>
      <c r="C684">
        <v>34.09613499999999</v>
      </c>
      <c r="D684">
        <v>306.87665152560157</v>
      </c>
    </row>
    <row r="685" spans="1:4" x14ac:dyDescent="0.2">
      <c r="A685" s="78"/>
      <c r="B685" t="s">
        <v>16</v>
      </c>
      <c r="C685">
        <v>36702.641885169993</v>
      </c>
      <c r="D685">
        <v>1773.908050303429</v>
      </c>
    </row>
    <row r="686" spans="1:4" x14ac:dyDescent="0.2">
      <c r="A686" s="78"/>
      <c r="B686" t="s">
        <v>43</v>
      </c>
      <c r="C686">
        <v>10561.520754220001</v>
      </c>
      <c r="D686">
        <v>404.03403929370478</v>
      </c>
    </row>
    <row r="687" spans="1:4" x14ac:dyDescent="0.2">
      <c r="A687" s="78"/>
      <c r="B687" t="s">
        <v>42</v>
      </c>
      <c r="C687">
        <v>105.2927045</v>
      </c>
      <c r="D687">
        <v>621.64403042886795</v>
      </c>
    </row>
    <row r="688" spans="1:4" x14ac:dyDescent="0.2">
      <c r="A688" s="78"/>
      <c r="B688" t="s">
        <v>35</v>
      </c>
      <c r="C688">
        <v>2232.1241340000001</v>
      </c>
      <c r="D688">
        <v>615.47796234724296</v>
      </c>
    </row>
    <row r="689" spans="1:4" x14ac:dyDescent="0.2">
      <c r="A689" s="78"/>
      <c r="B689" t="s">
        <v>40</v>
      </c>
      <c r="C689">
        <v>1.4450574199999999</v>
      </c>
      <c r="D689">
        <v>2678.334805108168</v>
      </c>
    </row>
    <row r="690" spans="1:4" x14ac:dyDescent="0.2">
      <c r="A690" s="78">
        <v>45105</v>
      </c>
      <c r="B690" t="s">
        <v>15</v>
      </c>
      <c r="C690">
        <v>4402.375986</v>
      </c>
      <c r="D690">
        <v>2046.304613607025</v>
      </c>
    </row>
    <row r="691" spans="1:4" x14ac:dyDescent="0.2">
      <c r="A691" s="78"/>
      <c r="B691" t="s">
        <v>33</v>
      </c>
      <c r="C691">
        <v>34.09613499999999</v>
      </c>
      <c r="D691">
        <v>310.90780790301409</v>
      </c>
    </row>
    <row r="692" spans="1:4" x14ac:dyDescent="0.2">
      <c r="A692" s="78"/>
      <c r="B692" t="s">
        <v>16</v>
      </c>
      <c r="C692">
        <v>36702.641885169993</v>
      </c>
      <c r="D692">
        <v>1746.366387832797</v>
      </c>
    </row>
    <row r="693" spans="1:4" x14ac:dyDescent="0.2">
      <c r="A693" s="78"/>
      <c r="B693" t="s">
        <v>43</v>
      </c>
      <c r="C693">
        <v>10561.520754220001</v>
      </c>
      <c r="D693">
        <v>401.75908772324578</v>
      </c>
    </row>
    <row r="694" spans="1:4" x14ac:dyDescent="0.2">
      <c r="A694" s="78"/>
      <c r="B694" t="s">
        <v>42</v>
      </c>
      <c r="C694">
        <v>105.2927045</v>
      </c>
      <c r="D694">
        <v>612.40089246457569</v>
      </c>
    </row>
    <row r="695" spans="1:4" x14ac:dyDescent="0.2">
      <c r="A695" s="78"/>
      <c r="B695" t="s">
        <v>35</v>
      </c>
      <c r="C695">
        <v>2232.1241340000001</v>
      </c>
      <c r="D695">
        <v>595.94901901391154</v>
      </c>
    </row>
    <row r="696" spans="1:4" x14ac:dyDescent="0.2">
      <c r="A696" s="78"/>
      <c r="B696" t="s">
        <v>40</v>
      </c>
      <c r="C696">
        <v>1.4450574199999999</v>
      </c>
      <c r="D696">
        <v>2642.2272861756769</v>
      </c>
    </row>
    <row r="697" spans="1:4" x14ac:dyDescent="0.2">
      <c r="A697" s="78">
        <v>45104</v>
      </c>
      <c r="B697" t="s">
        <v>15</v>
      </c>
      <c r="C697">
        <v>4402.375986</v>
      </c>
      <c r="D697">
        <v>2132.377095388425</v>
      </c>
    </row>
    <row r="698" spans="1:4" x14ac:dyDescent="0.2">
      <c r="A698" s="78"/>
      <c r="B698" t="s">
        <v>33</v>
      </c>
      <c r="C698">
        <v>34.09613499999999</v>
      </c>
      <c r="D698">
        <v>321.17789927098261</v>
      </c>
    </row>
    <row r="699" spans="1:4" x14ac:dyDescent="0.2">
      <c r="A699" s="78"/>
      <c r="B699" t="s">
        <v>16</v>
      </c>
      <c r="C699">
        <v>36702.641885169993</v>
      </c>
      <c r="D699">
        <v>1854.8157211015159</v>
      </c>
    </row>
    <row r="700" spans="1:4" x14ac:dyDescent="0.2">
      <c r="A700" s="78"/>
      <c r="B700" t="s">
        <v>43</v>
      </c>
      <c r="C700">
        <v>10561.520754220001</v>
      </c>
      <c r="D700">
        <v>422.55651754683322</v>
      </c>
    </row>
    <row r="701" spans="1:4" x14ac:dyDescent="0.2">
      <c r="A701" s="78"/>
      <c r="B701" t="s">
        <v>42</v>
      </c>
      <c r="C701">
        <v>105.2927045</v>
      </c>
      <c r="D701">
        <v>653.03147081513146</v>
      </c>
    </row>
    <row r="702" spans="1:4" x14ac:dyDescent="0.2">
      <c r="A702" s="78"/>
      <c r="B702" t="s">
        <v>35</v>
      </c>
      <c r="C702">
        <v>2232.1241340000001</v>
      </c>
      <c r="D702">
        <v>639.2008437159468</v>
      </c>
    </row>
    <row r="703" spans="1:4" x14ac:dyDescent="0.2">
      <c r="A703" s="78"/>
      <c r="B703" t="s">
        <v>40</v>
      </c>
      <c r="C703">
        <v>1.4450574199999999</v>
      </c>
      <c r="D703">
        <v>2731.177170503036</v>
      </c>
    </row>
    <row r="704" spans="1:4" x14ac:dyDescent="0.2">
      <c r="A704" s="78">
        <v>45103</v>
      </c>
      <c r="B704" t="s">
        <v>15</v>
      </c>
      <c r="C704">
        <v>4402.375986</v>
      </c>
      <c r="D704">
        <v>2109.3984096681402</v>
      </c>
    </row>
    <row r="705" spans="1:4" x14ac:dyDescent="0.2">
      <c r="A705" s="78"/>
      <c r="B705" t="s">
        <v>33</v>
      </c>
      <c r="C705">
        <v>34.09613499999999</v>
      </c>
      <c r="D705">
        <v>314.15843351223862</v>
      </c>
    </row>
    <row r="706" spans="1:4" x14ac:dyDescent="0.2">
      <c r="A706" s="78"/>
      <c r="B706" t="s">
        <v>16</v>
      </c>
      <c r="C706">
        <v>36702.641885169993</v>
      </c>
      <c r="D706">
        <v>1820.4983839124629</v>
      </c>
    </row>
    <row r="707" spans="1:4" x14ac:dyDescent="0.2">
      <c r="A707" s="78"/>
      <c r="B707" t="s">
        <v>43</v>
      </c>
      <c r="C707">
        <v>10561.520754220001</v>
      </c>
      <c r="D707">
        <v>430.74951165671189</v>
      </c>
    </row>
    <row r="708" spans="1:4" x14ac:dyDescent="0.2">
      <c r="A708" s="78"/>
      <c r="B708" t="s">
        <v>42</v>
      </c>
      <c r="C708">
        <v>105.2927045</v>
      </c>
      <c r="D708">
        <v>638.97669737548244</v>
      </c>
    </row>
    <row r="709" spans="1:4" x14ac:dyDescent="0.2">
      <c r="A709" s="78"/>
      <c r="B709" t="s">
        <v>35</v>
      </c>
      <c r="C709">
        <v>2232.1241340000001</v>
      </c>
      <c r="D709">
        <v>626.37041562378408</v>
      </c>
    </row>
    <row r="710" spans="1:4" x14ac:dyDescent="0.2">
      <c r="A710" s="78"/>
      <c r="B710" t="s">
        <v>40</v>
      </c>
      <c r="C710">
        <v>1.4450574199999999</v>
      </c>
      <c r="D710">
        <v>2687.5212862347362</v>
      </c>
    </row>
    <row r="711" spans="1:4" x14ac:dyDescent="0.2">
      <c r="A711" s="78">
        <v>45102</v>
      </c>
      <c r="B711" t="s">
        <v>15</v>
      </c>
      <c r="C711">
        <v>4402.375986</v>
      </c>
      <c r="D711">
        <v>2155.2813369307878</v>
      </c>
    </row>
    <row r="712" spans="1:4" x14ac:dyDescent="0.2">
      <c r="A712" s="78"/>
      <c r="B712" t="s">
        <v>33</v>
      </c>
      <c r="C712">
        <v>34.09613499999999</v>
      </c>
      <c r="D712">
        <v>323.2121050306427</v>
      </c>
    </row>
    <row r="713" spans="1:4" x14ac:dyDescent="0.2">
      <c r="A713" s="78"/>
      <c r="B713" t="s">
        <v>16</v>
      </c>
      <c r="C713">
        <v>36702.641885169993</v>
      </c>
      <c r="D713">
        <v>1898.7630974684</v>
      </c>
    </row>
    <row r="714" spans="1:4" x14ac:dyDescent="0.2">
      <c r="A714" s="78"/>
      <c r="B714" t="s">
        <v>43</v>
      </c>
      <c r="C714">
        <v>10561.520754220001</v>
      </c>
      <c r="D714">
        <v>433.86241428381072</v>
      </c>
    </row>
    <row r="715" spans="1:4" x14ac:dyDescent="0.2">
      <c r="A715" s="78"/>
      <c r="B715" t="s">
        <v>42</v>
      </c>
      <c r="C715">
        <v>105.2927045</v>
      </c>
      <c r="D715">
        <v>647.25010216645433</v>
      </c>
    </row>
    <row r="716" spans="1:4" x14ac:dyDescent="0.2">
      <c r="A716" s="78"/>
      <c r="B716" t="s">
        <v>35</v>
      </c>
      <c r="C716">
        <v>2232.1241340000001</v>
      </c>
      <c r="D716">
        <v>651.8214074970308</v>
      </c>
    </row>
    <row r="717" spans="1:4" x14ac:dyDescent="0.2">
      <c r="A717" s="78"/>
      <c r="B717" t="s">
        <v>40</v>
      </c>
      <c r="C717">
        <v>1.4450574199999999</v>
      </c>
      <c r="D717">
        <v>2744.376915023161</v>
      </c>
    </row>
    <row r="718" spans="1:4" x14ac:dyDescent="0.2">
      <c r="A718" s="78">
        <v>45101</v>
      </c>
      <c r="B718" t="s">
        <v>15</v>
      </c>
      <c r="C718">
        <v>4402.375986</v>
      </c>
      <c r="D718">
        <v>2142.6225689256039</v>
      </c>
    </row>
    <row r="719" spans="1:4" x14ac:dyDescent="0.2">
      <c r="A719" s="78"/>
      <c r="B719" t="s">
        <v>33</v>
      </c>
      <c r="C719">
        <v>34.09613499999999</v>
      </c>
      <c r="D719">
        <v>319.68599663003363</v>
      </c>
    </row>
    <row r="720" spans="1:4" x14ac:dyDescent="0.2">
      <c r="A720" s="78"/>
      <c r="B720" t="s">
        <v>16</v>
      </c>
      <c r="C720">
        <v>36702.641885169993</v>
      </c>
      <c r="D720">
        <v>1879.4446619121411</v>
      </c>
    </row>
    <row r="721" spans="1:4" x14ac:dyDescent="0.2">
      <c r="A721" s="78"/>
      <c r="B721" t="s">
        <v>43</v>
      </c>
      <c r="C721">
        <v>10561.520754220001</v>
      </c>
      <c r="D721">
        <v>423.5470825783716</v>
      </c>
    </row>
    <row r="722" spans="1:4" x14ac:dyDescent="0.2">
      <c r="A722" s="78"/>
      <c r="B722" t="s">
        <v>42</v>
      </c>
      <c r="C722">
        <v>105.2927045</v>
      </c>
      <c r="D722">
        <v>646.79069324988802</v>
      </c>
    </row>
    <row r="723" spans="1:4" x14ac:dyDescent="0.2">
      <c r="A723" s="78"/>
      <c r="B723" t="s">
        <v>35</v>
      </c>
      <c r="C723">
        <v>2232.1241340000001</v>
      </c>
      <c r="D723">
        <v>646.45390787696635</v>
      </c>
    </row>
    <row r="724" spans="1:4" x14ac:dyDescent="0.2">
      <c r="A724" s="78"/>
      <c r="B724" t="s">
        <v>40</v>
      </c>
      <c r="C724">
        <v>1.4450574199999999</v>
      </c>
      <c r="D724">
        <v>2709.5693109318649</v>
      </c>
    </row>
    <row r="725" spans="1:4" x14ac:dyDescent="0.2">
      <c r="A725" s="78">
        <v>45100</v>
      </c>
      <c r="B725" t="s">
        <v>15</v>
      </c>
      <c r="C725">
        <v>4402.375986</v>
      </c>
      <c r="D725">
        <v>2184.165237727414</v>
      </c>
    </row>
    <row r="726" spans="1:4" x14ac:dyDescent="0.2">
      <c r="A726" s="78"/>
      <c r="B726" t="s">
        <v>33</v>
      </c>
      <c r="C726">
        <v>34.09613499999999</v>
      </c>
      <c r="D726">
        <v>315.73421264528753</v>
      </c>
    </row>
    <row r="727" spans="1:4" x14ac:dyDescent="0.2">
      <c r="A727" s="78"/>
      <c r="B727" t="s">
        <v>16</v>
      </c>
      <c r="C727">
        <v>36702.641885169993</v>
      </c>
      <c r="D727">
        <v>1909.209036375338</v>
      </c>
    </row>
    <row r="728" spans="1:4" x14ac:dyDescent="0.2">
      <c r="A728" s="78"/>
      <c r="B728" t="s">
        <v>43</v>
      </c>
      <c r="C728">
        <v>10561.520754220001</v>
      </c>
      <c r="D728">
        <v>437.53930211918492</v>
      </c>
    </row>
    <row r="729" spans="1:4" x14ac:dyDescent="0.2">
      <c r="A729" s="78"/>
      <c r="B729" t="s">
        <v>42</v>
      </c>
      <c r="C729">
        <v>105.2927045</v>
      </c>
      <c r="D729">
        <v>637.33135356373782</v>
      </c>
    </row>
    <row r="730" spans="1:4" x14ac:dyDescent="0.2">
      <c r="A730" s="78"/>
      <c r="B730" t="s">
        <v>35</v>
      </c>
      <c r="C730">
        <v>2232.1241340000001</v>
      </c>
      <c r="D730">
        <v>660.42100054188597</v>
      </c>
    </row>
    <row r="731" spans="1:4" x14ac:dyDescent="0.2">
      <c r="A731" s="78"/>
      <c r="B731" t="s">
        <v>40</v>
      </c>
      <c r="C731">
        <v>1.4450574199999999</v>
      </c>
      <c r="D731">
        <v>2733.1021376192612</v>
      </c>
    </row>
    <row r="732" spans="1:4" x14ac:dyDescent="0.2">
      <c r="A732" s="78">
        <v>45099</v>
      </c>
      <c r="B732" t="s">
        <v>15</v>
      </c>
      <c r="C732">
        <v>4402.375986</v>
      </c>
      <c r="D732">
        <v>2180.34573632196</v>
      </c>
    </row>
    <row r="733" spans="1:4" x14ac:dyDescent="0.2">
      <c r="A733" s="78"/>
      <c r="B733" t="s">
        <v>33</v>
      </c>
      <c r="C733">
        <v>34.09613499999999</v>
      </c>
      <c r="D733">
        <v>307.48582909869509</v>
      </c>
    </row>
    <row r="734" spans="1:4" x14ac:dyDescent="0.2">
      <c r="A734" s="78"/>
      <c r="B734" t="s">
        <v>16</v>
      </c>
      <c r="C734">
        <v>36702.641885169993</v>
      </c>
      <c r="D734">
        <v>1843.8082317737351</v>
      </c>
    </row>
    <row r="735" spans="1:4" x14ac:dyDescent="0.2">
      <c r="A735" s="78"/>
      <c r="B735" t="s">
        <v>43</v>
      </c>
      <c r="C735">
        <v>10561.520754220001</v>
      </c>
      <c r="D735">
        <v>436.37066984773043</v>
      </c>
    </row>
    <row r="736" spans="1:4" x14ac:dyDescent="0.2">
      <c r="A736" s="78"/>
      <c r="B736" t="s">
        <v>42</v>
      </c>
      <c r="C736">
        <v>105.2927045</v>
      </c>
      <c r="D736">
        <v>586.94705291915534</v>
      </c>
    </row>
    <row r="737" spans="1:4" x14ac:dyDescent="0.2">
      <c r="A737" s="78"/>
      <c r="B737" t="s">
        <v>35</v>
      </c>
      <c r="C737">
        <v>2232.1241340000001</v>
      </c>
      <c r="D737">
        <v>647.89621720739183</v>
      </c>
    </row>
    <row r="738" spans="1:4" x14ac:dyDescent="0.2">
      <c r="A738" s="78"/>
      <c r="B738" t="s">
        <v>40</v>
      </c>
      <c r="C738">
        <v>1.4450574199999999</v>
      </c>
      <c r="D738">
        <v>2708.2947487416191</v>
      </c>
    </row>
    <row r="739" spans="1:4" x14ac:dyDescent="0.2">
      <c r="A739" s="78">
        <v>45098</v>
      </c>
      <c r="B739" t="s">
        <v>15</v>
      </c>
      <c r="C739">
        <v>4402.375986</v>
      </c>
      <c r="D739">
        <v>2205.5787026896369</v>
      </c>
    </row>
    <row r="740" spans="1:4" x14ac:dyDescent="0.2">
      <c r="A740" s="78"/>
      <c r="B740" t="s">
        <v>33</v>
      </c>
      <c r="C740">
        <v>34.09613499999999</v>
      </c>
      <c r="D740">
        <v>308.9647833914164</v>
      </c>
    </row>
    <row r="741" spans="1:4" x14ac:dyDescent="0.2">
      <c r="A741" s="78"/>
      <c r="B741" t="s">
        <v>16</v>
      </c>
      <c r="C741">
        <v>36702.641885169993</v>
      </c>
      <c r="D741">
        <v>1850.9123951370291</v>
      </c>
    </row>
    <row r="742" spans="1:4" x14ac:dyDescent="0.2">
      <c r="A742" s="78"/>
      <c r="B742" t="s">
        <v>43</v>
      </c>
      <c r="C742">
        <v>10561.520754220001</v>
      </c>
      <c r="D742">
        <v>436.37542253206982</v>
      </c>
    </row>
    <row r="743" spans="1:4" x14ac:dyDescent="0.2">
      <c r="A743" s="78"/>
      <c r="B743" t="s">
        <v>42</v>
      </c>
      <c r="C743">
        <v>105.2927045</v>
      </c>
      <c r="D743">
        <v>585.2234471460099</v>
      </c>
    </row>
    <row r="744" spans="1:4" x14ac:dyDescent="0.2">
      <c r="A744" s="78"/>
      <c r="B744" t="s">
        <v>35</v>
      </c>
      <c r="C744">
        <v>2232.1241340000001</v>
      </c>
      <c r="D744">
        <v>640.94977993865984</v>
      </c>
    </row>
    <row r="745" spans="1:4" x14ac:dyDescent="0.2">
      <c r="A745" s="78"/>
      <c r="B745" t="s">
        <v>40</v>
      </c>
      <c r="C745">
        <v>1.4450574199999999</v>
      </c>
      <c r="D745">
        <v>2735.348571717821</v>
      </c>
    </row>
    <row r="746" spans="1:4" x14ac:dyDescent="0.2">
      <c r="A746" s="78">
        <v>45097</v>
      </c>
      <c r="B746" t="s">
        <v>33</v>
      </c>
      <c r="C746">
        <v>34.09613499999999</v>
      </c>
      <c r="D746">
        <v>299.28050658387809</v>
      </c>
    </row>
    <row r="747" spans="1:4" x14ac:dyDescent="0.2">
      <c r="A747" s="78"/>
      <c r="B747" t="s">
        <v>16</v>
      </c>
      <c r="C747">
        <v>36702.641885169993</v>
      </c>
      <c r="D747">
        <v>1796.630655894538</v>
      </c>
    </row>
    <row r="748" spans="1:4" x14ac:dyDescent="0.2">
      <c r="A748" s="78"/>
      <c r="B748" t="s">
        <v>43</v>
      </c>
      <c r="C748">
        <v>10561.520754220001</v>
      </c>
      <c r="D748">
        <v>424.11212393872228</v>
      </c>
    </row>
    <row r="749" spans="1:4" x14ac:dyDescent="0.2">
      <c r="A749" s="78"/>
      <c r="B749" t="s">
        <v>15</v>
      </c>
      <c r="C749">
        <v>4404.4075869999997</v>
      </c>
      <c r="D749">
        <v>2168.1723454856792</v>
      </c>
    </row>
    <row r="750" spans="1:4" x14ac:dyDescent="0.2">
      <c r="A750" s="78"/>
      <c r="B750" t="s">
        <v>42</v>
      </c>
      <c r="C750">
        <v>105.2927045</v>
      </c>
      <c r="D750">
        <v>553.46685369655052</v>
      </c>
    </row>
    <row r="751" spans="1:4" x14ac:dyDescent="0.2">
      <c r="A751" s="78"/>
      <c r="B751" t="s">
        <v>35</v>
      </c>
      <c r="C751">
        <v>2232.1241340000001</v>
      </c>
      <c r="D751">
        <v>601.92296443994235</v>
      </c>
    </row>
    <row r="752" spans="1:4" x14ac:dyDescent="0.2">
      <c r="A752" s="78"/>
      <c r="B752" t="s">
        <v>40</v>
      </c>
      <c r="C752">
        <v>1.4450574199999999</v>
      </c>
      <c r="D752">
        <v>2586.927979589957</v>
      </c>
    </row>
    <row r="753" spans="1:4" x14ac:dyDescent="0.2">
      <c r="A753" s="78">
        <v>45096</v>
      </c>
      <c r="B753" t="s">
        <v>16</v>
      </c>
      <c r="C753">
        <v>36702.641885169993</v>
      </c>
      <c r="D753">
        <v>1650.110406251169</v>
      </c>
    </row>
    <row r="754" spans="1:4" x14ac:dyDescent="0.2">
      <c r="A754" s="78"/>
      <c r="B754" t="s">
        <v>33</v>
      </c>
      <c r="C754">
        <v>45.775306</v>
      </c>
      <c r="D754">
        <v>392.93478543005023</v>
      </c>
    </row>
    <row r="755" spans="1:4" x14ac:dyDescent="0.2">
      <c r="A755" s="78"/>
      <c r="B755" t="s">
        <v>43</v>
      </c>
      <c r="C755">
        <v>10561.520754220001</v>
      </c>
      <c r="D755">
        <v>411.5956656928962</v>
      </c>
    </row>
    <row r="756" spans="1:4" x14ac:dyDescent="0.2">
      <c r="A756" s="78"/>
      <c r="B756" t="s">
        <v>15</v>
      </c>
      <c r="C756">
        <v>4404.4075869999997</v>
      </c>
      <c r="D756">
        <v>2175.5160344758629</v>
      </c>
    </row>
    <row r="757" spans="1:4" x14ac:dyDescent="0.2">
      <c r="A757" s="78"/>
      <c r="B757" t="s">
        <v>42</v>
      </c>
      <c r="C757">
        <v>105.2927045</v>
      </c>
      <c r="D757">
        <v>538.57332383748974</v>
      </c>
    </row>
    <row r="758" spans="1:4" x14ac:dyDescent="0.2">
      <c r="A758" s="78"/>
      <c r="B758" t="s">
        <v>35</v>
      </c>
      <c r="C758">
        <v>2232.1241340000001</v>
      </c>
      <c r="D758">
        <v>587.12712872655129</v>
      </c>
    </row>
    <row r="759" spans="1:4" x14ac:dyDescent="0.2">
      <c r="A759" s="78"/>
      <c r="B759" t="s">
        <v>40</v>
      </c>
      <c r="C759">
        <v>1.4450574199999999</v>
      </c>
      <c r="D759">
        <v>2506.8756462908</v>
      </c>
    </row>
    <row r="760" spans="1:4" x14ac:dyDescent="0.2">
      <c r="A760" s="78">
        <v>45095</v>
      </c>
      <c r="B760" t="s">
        <v>16</v>
      </c>
      <c r="C760">
        <v>36702.641885169993</v>
      </c>
      <c r="D760">
        <v>1661.0121919703211</v>
      </c>
    </row>
    <row r="761" spans="1:4" x14ac:dyDescent="0.2">
      <c r="A761" s="78"/>
      <c r="B761" t="s">
        <v>33</v>
      </c>
      <c r="C761">
        <v>45.775306</v>
      </c>
      <c r="D761">
        <v>391.57500845092642</v>
      </c>
    </row>
    <row r="762" spans="1:4" x14ac:dyDescent="0.2">
      <c r="A762" s="78"/>
      <c r="B762" t="s">
        <v>43</v>
      </c>
      <c r="C762">
        <v>10561.520754220001</v>
      </c>
      <c r="D762">
        <v>421.83442637286731</v>
      </c>
    </row>
    <row r="763" spans="1:4" x14ac:dyDescent="0.2">
      <c r="A763" s="78"/>
      <c r="B763" t="s">
        <v>15</v>
      </c>
      <c r="C763">
        <v>4404.4075869999997</v>
      </c>
      <c r="D763">
        <v>2152.597127023922</v>
      </c>
    </row>
    <row r="764" spans="1:4" x14ac:dyDescent="0.2">
      <c r="A764" s="78"/>
      <c r="B764" t="s">
        <v>42</v>
      </c>
      <c r="C764">
        <v>105.2927045</v>
      </c>
      <c r="D764">
        <v>543.11901942323675</v>
      </c>
    </row>
    <row r="765" spans="1:4" x14ac:dyDescent="0.2">
      <c r="A765" s="78"/>
      <c r="B765" t="s">
        <v>35</v>
      </c>
      <c r="C765">
        <v>2232.1241340000001</v>
      </c>
      <c r="D765">
        <v>582.8684367700514</v>
      </c>
    </row>
    <row r="766" spans="1:4" x14ac:dyDescent="0.2">
      <c r="A766" s="78"/>
      <c r="B766" t="s">
        <v>40</v>
      </c>
      <c r="C766">
        <v>1.4450574199999999</v>
      </c>
      <c r="D766">
        <v>2484.4484390468838</v>
      </c>
    </row>
    <row r="767" spans="1:4" x14ac:dyDescent="0.2">
      <c r="A767" s="78">
        <v>45094</v>
      </c>
      <c r="B767" t="s">
        <v>16</v>
      </c>
      <c r="C767">
        <v>36702.641885169993</v>
      </c>
      <c r="D767">
        <v>1679.109530631061</v>
      </c>
    </row>
    <row r="768" spans="1:4" x14ac:dyDescent="0.2">
      <c r="A768" s="78"/>
      <c r="B768" t="s">
        <v>33</v>
      </c>
      <c r="C768">
        <v>45.775306</v>
      </c>
      <c r="D768">
        <v>407.14040962943989</v>
      </c>
    </row>
    <row r="769" spans="1:4" x14ac:dyDescent="0.2">
      <c r="A769" s="78"/>
      <c r="B769" t="s">
        <v>43</v>
      </c>
      <c r="C769">
        <v>10561.520754220001</v>
      </c>
      <c r="D769">
        <v>415.81087424111291</v>
      </c>
    </row>
    <row r="770" spans="1:4" x14ac:dyDescent="0.2">
      <c r="A770" s="78"/>
      <c r="B770" t="s">
        <v>15</v>
      </c>
      <c r="C770">
        <v>4404.4075869999997</v>
      </c>
      <c r="D770">
        <v>2118.1589760130182</v>
      </c>
    </row>
    <row r="771" spans="1:4" x14ac:dyDescent="0.2">
      <c r="A771" s="78"/>
      <c r="B771" t="s">
        <v>42</v>
      </c>
      <c r="C771">
        <v>105.2927045</v>
      </c>
      <c r="D771">
        <v>555.67544187833118</v>
      </c>
    </row>
    <row r="772" spans="1:4" x14ac:dyDescent="0.2">
      <c r="A772" s="78"/>
      <c r="B772" t="s">
        <v>35</v>
      </c>
      <c r="C772">
        <v>2232.1241340000001</v>
      </c>
      <c r="D772">
        <v>595.89870693593116</v>
      </c>
    </row>
    <row r="773" spans="1:4" x14ac:dyDescent="0.2">
      <c r="A773" s="78"/>
      <c r="B773" t="s">
        <v>40</v>
      </c>
      <c r="C773">
        <v>1.4450574199999999</v>
      </c>
      <c r="D773">
        <v>2494.7078383865851</v>
      </c>
    </row>
    <row r="774" spans="1:4" x14ac:dyDescent="0.2">
      <c r="A774" s="78">
        <v>45093</v>
      </c>
      <c r="B774" t="s">
        <v>16</v>
      </c>
      <c r="C774">
        <v>36702.641885169993</v>
      </c>
      <c r="D774">
        <v>1630.9259353377911</v>
      </c>
    </row>
    <row r="775" spans="1:4" x14ac:dyDescent="0.2">
      <c r="A775" s="78"/>
      <c r="B775" t="s">
        <v>33</v>
      </c>
      <c r="C775">
        <v>45.775306</v>
      </c>
      <c r="D775">
        <v>400.15504300347271</v>
      </c>
    </row>
    <row r="776" spans="1:4" x14ac:dyDescent="0.2">
      <c r="A776" s="78"/>
      <c r="B776" t="s">
        <v>43</v>
      </c>
      <c r="C776">
        <v>10561.520754220001</v>
      </c>
      <c r="D776">
        <v>434.17461283730552</v>
      </c>
    </row>
    <row r="777" spans="1:4" x14ac:dyDescent="0.2">
      <c r="A777" s="78"/>
      <c r="B777" t="s">
        <v>15</v>
      </c>
      <c r="C777">
        <v>4404.4075869999997</v>
      </c>
      <c r="D777">
        <v>2102.798076024445</v>
      </c>
    </row>
    <row r="778" spans="1:4" x14ac:dyDescent="0.2">
      <c r="A778" s="78"/>
      <c r="B778" t="s">
        <v>42</v>
      </c>
      <c r="C778">
        <v>105.2927045</v>
      </c>
      <c r="D778">
        <v>559.70433454721592</v>
      </c>
    </row>
    <row r="779" spans="1:4" x14ac:dyDescent="0.2">
      <c r="A779" s="78"/>
      <c r="B779" t="s">
        <v>35</v>
      </c>
      <c r="C779">
        <v>2232.1241340000001</v>
      </c>
      <c r="D779">
        <v>587.82549340435594</v>
      </c>
    </row>
    <row r="780" spans="1:4" x14ac:dyDescent="0.2">
      <c r="A780" s="78"/>
      <c r="B780" t="s">
        <v>40</v>
      </c>
      <c r="C780">
        <v>1.4450574199999999</v>
      </c>
      <c r="D780">
        <v>2480.263725558531</v>
      </c>
    </row>
    <row r="781" spans="1:4" x14ac:dyDescent="0.2">
      <c r="A781" s="78">
        <v>45092</v>
      </c>
      <c r="B781" t="s">
        <v>16</v>
      </c>
      <c r="C781">
        <v>36702.641885169993</v>
      </c>
      <c r="D781">
        <v>1575.5412817066499</v>
      </c>
    </row>
    <row r="782" spans="1:4" x14ac:dyDescent="0.2">
      <c r="A782" s="78"/>
      <c r="B782" t="s">
        <v>33</v>
      </c>
      <c r="C782">
        <v>45.775306</v>
      </c>
      <c r="D782">
        <v>397.58437643226148</v>
      </c>
    </row>
    <row r="783" spans="1:4" x14ac:dyDescent="0.2">
      <c r="A783" s="78"/>
      <c r="B783" t="s">
        <v>43</v>
      </c>
      <c r="C783">
        <v>10561.520754220001</v>
      </c>
      <c r="D783">
        <v>429.12747329927879</v>
      </c>
    </row>
    <row r="784" spans="1:4" x14ac:dyDescent="0.2">
      <c r="A784" s="78"/>
      <c r="B784" t="s">
        <v>15</v>
      </c>
      <c r="C784">
        <v>4404.4075869999997</v>
      </c>
      <c r="D784">
        <v>2122.3524124766</v>
      </c>
    </row>
    <row r="785" spans="1:4" x14ac:dyDescent="0.2">
      <c r="A785" s="78"/>
      <c r="B785" t="s">
        <v>42</v>
      </c>
      <c r="C785">
        <v>105.2927045</v>
      </c>
      <c r="D785">
        <v>558.15218109651596</v>
      </c>
    </row>
    <row r="786" spans="1:4" x14ac:dyDescent="0.2">
      <c r="A786" s="78"/>
      <c r="B786" t="s">
        <v>35</v>
      </c>
      <c r="C786">
        <v>2232.1241340000001</v>
      </c>
      <c r="D786">
        <v>584.14760014752278</v>
      </c>
    </row>
    <row r="787" spans="1:4" x14ac:dyDescent="0.2">
      <c r="A787" s="78"/>
      <c r="B787" t="s">
        <v>40</v>
      </c>
      <c r="C787">
        <v>1.4450574199999999</v>
      </c>
      <c r="D787">
        <v>2405.988036159441</v>
      </c>
    </row>
    <row r="788" spans="1:4" x14ac:dyDescent="0.2">
      <c r="A788" s="78">
        <v>45091</v>
      </c>
      <c r="B788" t="s">
        <v>16</v>
      </c>
      <c r="C788">
        <v>36702.641885169993</v>
      </c>
      <c r="D788">
        <v>1668.165169847322</v>
      </c>
    </row>
    <row r="789" spans="1:4" x14ac:dyDescent="0.2">
      <c r="A789" s="78"/>
      <c r="B789" t="s">
        <v>33</v>
      </c>
      <c r="C789">
        <v>45.775306</v>
      </c>
      <c r="D789">
        <v>387.76527529801939</v>
      </c>
    </row>
    <row r="790" spans="1:4" x14ac:dyDescent="0.2">
      <c r="A790" s="78"/>
      <c r="B790" t="s">
        <v>43</v>
      </c>
      <c r="C790">
        <v>10561.520754220001</v>
      </c>
      <c r="D790">
        <v>406.69427514127779</v>
      </c>
    </row>
    <row r="791" spans="1:4" x14ac:dyDescent="0.2">
      <c r="A791" s="78"/>
      <c r="B791" t="s">
        <v>15</v>
      </c>
      <c r="C791">
        <v>4404.4075869999997</v>
      </c>
      <c r="D791">
        <v>2122.8600204510021</v>
      </c>
    </row>
    <row r="792" spans="1:4" x14ac:dyDescent="0.2">
      <c r="A792" s="78"/>
      <c r="B792" t="s">
        <v>42</v>
      </c>
      <c r="C792">
        <v>105.2927045</v>
      </c>
      <c r="D792">
        <v>552.09636806648666</v>
      </c>
    </row>
    <row r="793" spans="1:4" x14ac:dyDescent="0.2">
      <c r="A793" s="78"/>
      <c r="B793" t="s">
        <v>35</v>
      </c>
      <c r="C793">
        <v>2232.1241340000001</v>
      </c>
      <c r="D793">
        <v>587.51540671966075</v>
      </c>
    </row>
    <row r="794" spans="1:4" x14ac:dyDescent="0.2">
      <c r="A794" s="78"/>
      <c r="B794" t="s">
        <v>40</v>
      </c>
      <c r="C794">
        <v>1.4450574199999999</v>
      </c>
      <c r="D794">
        <v>2385.3225664640008</v>
      </c>
    </row>
    <row r="795" spans="1:4" x14ac:dyDescent="0.2">
      <c r="A795" s="78">
        <v>45090</v>
      </c>
      <c r="B795" t="s">
        <v>16</v>
      </c>
      <c r="C795">
        <v>36702.641885169993</v>
      </c>
      <c r="D795">
        <v>1718.216562586128</v>
      </c>
    </row>
    <row r="796" spans="1:4" x14ac:dyDescent="0.2">
      <c r="A796" s="78"/>
      <c r="B796" t="s">
        <v>33</v>
      </c>
      <c r="C796">
        <v>45.775306</v>
      </c>
      <c r="D796">
        <v>395.36478173940498</v>
      </c>
    </row>
    <row r="797" spans="1:4" x14ac:dyDescent="0.2">
      <c r="A797" s="78"/>
      <c r="B797" t="s">
        <v>43</v>
      </c>
      <c r="C797">
        <v>10561.520754220001</v>
      </c>
      <c r="D797">
        <v>417.01150792045257</v>
      </c>
    </row>
    <row r="798" spans="1:4" x14ac:dyDescent="0.2">
      <c r="A798" s="78"/>
      <c r="B798" t="s">
        <v>15</v>
      </c>
      <c r="C798">
        <v>4404.4075869999997</v>
      </c>
      <c r="D798">
        <v>2300.083692055191</v>
      </c>
    </row>
    <row r="799" spans="1:4" x14ac:dyDescent="0.2">
      <c r="A799" s="78"/>
      <c r="B799" t="s">
        <v>42</v>
      </c>
      <c r="C799">
        <v>105.2927045</v>
      </c>
      <c r="D799">
        <v>556.96612616765435</v>
      </c>
    </row>
    <row r="800" spans="1:4" x14ac:dyDescent="0.2">
      <c r="A800" s="78"/>
      <c r="B800" t="s">
        <v>35</v>
      </c>
      <c r="C800">
        <v>2232.1241340000001</v>
      </c>
      <c r="D800">
        <v>613.64286613295747</v>
      </c>
    </row>
    <row r="801" spans="1:4" x14ac:dyDescent="0.2">
      <c r="A801" s="78"/>
      <c r="B801" t="s">
        <v>40</v>
      </c>
      <c r="C801">
        <v>1.4450574199999999</v>
      </c>
      <c r="D801">
        <v>2509.760463160133</v>
      </c>
    </row>
    <row r="802" spans="1:4" x14ac:dyDescent="0.2">
      <c r="A802" s="78">
        <v>45089</v>
      </c>
      <c r="B802" t="s">
        <v>16</v>
      </c>
      <c r="C802">
        <v>36702.641885169993</v>
      </c>
      <c r="D802">
        <v>1663.02936916833</v>
      </c>
    </row>
    <row r="803" spans="1:4" x14ac:dyDescent="0.2">
      <c r="A803" s="78"/>
      <c r="B803" t="s">
        <v>33</v>
      </c>
      <c r="C803">
        <v>45.775306</v>
      </c>
      <c r="D803">
        <v>400.97627762728399</v>
      </c>
    </row>
    <row r="804" spans="1:4" x14ac:dyDescent="0.2">
      <c r="A804" s="78"/>
      <c r="B804" t="s">
        <v>43</v>
      </c>
      <c r="C804">
        <v>10561.520754220001</v>
      </c>
      <c r="D804">
        <v>419.92902241359837</v>
      </c>
    </row>
    <row r="805" spans="1:4" x14ac:dyDescent="0.2">
      <c r="A805" s="78"/>
      <c r="B805" t="s">
        <v>15</v>
      </c>
      <c r="C805">
        <v>4404.4075869999997</v>
      </c>
      <c r="D805">
        <v>2322.4070795572929</v>
      </c>
    </row>
    <row r="806" spans="1:4" x14ac:dyDescent="0.2">
      <c r="A806" s="78"/>
      <c r="B806" t="s">
        <v>42</v>
      </c>
      <c r="C806">
        <v>105.2927045</v>
      </c>
      <c r="D806">
        <v>543.76359293115547</v>
      </c>
    </row>
    <row r="807" spans="1:4" x14ac:dyDescent="0.2">
      <c r="A807" s="78"/>
      <c r="B807" t="s">
        <v>35</v>
      </c>
      <c r="C807">
        <v>2232.1241340000001</v>
      </c>
      <c r="D807">
        <v>615.29986116259101</v>
      </c>
    </row>
    <row r="808" spans="1:4" x14ac:dyDescent="0.2">
      <c r="A808" s="78"/>
      <c r="B808" t="s">
        <v>40</v>
      </c>
      <c r="C808">
        <v>1.4450574199999999</v>
      </c>
      <c r="D808">
        <v>2518.1513558289889</v>
      </c>
    </row>
    <row r="809" spans="1:4" x14ac:dyDescent="0.2">
      <c r="A809" s="78">
        <v>45088</v>
      </c>
      <c r="B809" t="s">
        <v>16</v>
      </c>
      <c r="C809">
        <v>36702.641885169993</v>
      </c>
      <c r="D809">
        <v>1626.845702639416</v>
      </c>
    </row>
    <row r="810" spans="1:4" x14ac:dyDescent="0.2">
      <c r="A810" s="78"/>
      <c r="B810" t="s">
        <v>33</v>
      </c>
      <c r="C810">
        <v>45.775306</v>
      </c>
      <c r="D810">
        <v>386.20956581887071</v>
      </c>
    </row>
    <row r="811" spans="1:4" x14ac:dyDescent="0.2">
      <c r="A811" s="78"/>
      <c r="B811" t="s">
        <v>43</v>
      </c>
      <c r="C811">
        <v>10561.520754220001</v>
      </c>
      <c r="D811">
        <v>439.50627974445081</v>
      </c>
    </row>
    <row r="812" spans="1:4" x14ac:dyDescent="0.2">
      <c r="A812" s="78"/>
      <c r="B812" t="s">
        <v>15</v>
      </c>
      <c r="C812">
        <v>4404.4075869999997</v>
      </c>
      <c r="D812">
        <v>2305.5562565701898</v>
      </c>
    </row>
    <row r="813" spans="1:4" x14ac:dyDescent="0.2">
      <c r="A813" s="78"/>
      <c r="B813" t="s">
        <v>42</v>
      </c>
      <c r="C813">
        <v>105.2927045</v>
      </c>
      <c r="D813">
        <v>544.35893683508527</v>
      </c>
    </row>
    <row r="814" spans="1:4" x14ac:dyDescent="0.2">
      <c r="A814" s="78"/>
      <c r="B814" t="s">
        <v>35</v>
      </c>
      <c r="C814">
        <v>2232.1241340000001</v>
      </c>
      <c r="D814">
        <v>609.14486814805139</v>
      </c>
    </row>
    <row r="815" spans="1:4" x14ac:dyDescent="0.2">
      <c r="A815" s="78"/>
      <c r="B815" t="s">
        <v>40</v>
      </c>
      <c r="C815">
        <v>1.4450574199999999</v>
      </c>
      <c r="D815">
        <v>2531.3426259688322</v>
      </c>
    </row>
    <row r="816" spans="1:4" x14ac:dyDescent="0.2">
      <c r="A816" s="78">
        <v>45087</v>
      </c>
      <c r="B816" t="s">
        <v>33</v>
      </c>
      <c r="C816">
        <v>45.775306</v>
      </c>
      <c r="D816">
        <v>377.69584915639803</v>
      </c>
    </row>
    <row r="817" spans="1:4" x14ac:dyDescent="0.2">
      <c r="A817" s="78"/>
      <c r="B817" t="s">
        <v>43</v>
      </c>
      <c r="C817">
        <v>10561.520754220001</v>
      </c>
      <c r="D817">
        <v>434.20312894334182</v>
      </c>
    </row>
    <row r="818" spans="1:4" x14ac:dyDescent="0.2">
      <c r="A818" s="78"/>
      <c r="B818" t="s">
        <v>16</v>
      </c>
      <c r="C818">
        <v>36572.399698799993</v>
      </c>
      <c r="D818">
        <v>1668.5773352380661</v>
      </c>
    </row>
    <row r="819" spans="1:4" x14ac:dyDescent="0.2">
      <c r="A819" s="78"/>
      <c r="B819" t="s">
        <v>15</v>
      </c>
      <c r="C819">
        <v>4404.4075869999997</v>
      </c>
      <c r="D819">
        <v>2249.8731812989349</v>
      </c>
    </row>
    <row r="820" spans="1:4" x14ac:dyDescent="0.2">
      <c r="A820" s="78"/>
      <c r="B820" t="s">
        <v>42</v>
      </c>
      <c r="C820">
        <v>105.2927045</v>
      </c>
      <c r="D820">
        <v>552.77507957505838</v>
      </c>
    </row>
    <row r="821" spans="1:4" x14ac:dyDescent="0.2">
      <c r="A821" s="78"/>
      <c r="B821" t="s">
        <v>35</v>
      </c>
      <c r="C821">
        <v>2232.1241340000001</v>
      </c>
      <c r="D821">
        <v>616.75808553809179</v>
      </c>
    </row>
    <row r="822" spans="1:4" x14ac:dyDescent="0.2">
      <c r="A822" s="78"/>
      <c r="B822" t="s">
        <v>40</v>
      </c>
      <c r="C822">
        <v>1.4450574199999999</v>
      </c>
      <c r="D822">
        <v>2535.603568389226</v>
      </c>
    </row>
    <row r="823" spans="1:4" x14ac:dyDescent="0.2">
      <c r="A823" s="78">
        <v>45086</v>
      </c>
      <c r="B823" t="s">
        <v>33</v>
      </c>
      <c r="C823">
        <v>45.775306</v>
      </c>
      <c r="D823">
        <v>419.51354762397642</v>
      </c>
    </row>
    <row r="824" spans="1:4" x14ac:dyDescent="0.2">
      <c r="A824" s="78"/>
      <c r="B824" t="s">
        <v>43</v>
      </c>
      <c r="C824">
        <v>10561.520754220001</v>
      </c>
      <c r="D824">
        <v>451.54208318075229</v>
      </c>
    </row>
    <row r="825" spans="1:4" x14ac:dyDescent="0.2">
      <c r="A825" s="78"/>
      <c r="B825" t="s">
        <v>16</v>
      </c>
      <c r="C825">
        <v>36572.399698799993</v>
      </c>
      <c r="D825">
        <v>1775.201240767941</v>
      </c>
    </row>
    <row r="826" spans="1:4" x14ac:dyDescent="0.2">
      <c r="A826" s="78"/>
      <c r="B826" t="s">
        <v>15</v>
      </c>
      <c r="C826">
        <v>4404.4075869999997</v>
      </c>
      <c r="D826">
        <v>2372.7261589605678</v>
      </c>
    </row>
    <row r="827" spans="1:4" x14ac:dyDescent="0.2">
      <c r="A827" s="78"/>
      <c r="B827" t="s">
        <v>42</v>
      </c>
      <c r="C827">
        <v>105.2927045</v>
      </c>
      <c r="D827">
        <v>629.90798098790265</v>
      </c>
    </row>
    <row r="828" spans="1:4" x14ac:dyDescent="0.2">
      <c r="A828" s="78"/>
      <c r="B828" t="s">
        <v>35</v>
      </c>
      <c r="C828">
        <v>2232.1241340000001</v>
      </c>
      <c r="D828">
        <v>658.97275376126413</v>
      </c>
    </row>
    <row r="829" spans="1:4" x14ac:dyDescent="0.2">
      <c r="A829" s="78"/>
      <c r="B829" t="s">
        <v>40</v>
      </c>
      <c r="C829">
        <v>1.4450574199999999</v>
      </c>
      <c r="D829">
        <v>2657.7611856177869</v>
      </c>
    </row>
    <row r="830" spans="1:4" x14ac:dyDescent="0.2">
      <c r="A830" s="78">
        <v>45085</v>
      </c>
      <c r="B830" t="s">
        <v>33</v>
      </c>
      <c r="C830">
        <v>45.775306</v>
      </c>
      <c r="D830">
        <v>432.33186603296701</v>
      </c>
    </row>
    <row r="831" spans="1:4" x14ac:dyDescent="0.2">
      <c r="A831" s="78"/>
      <c r="B831" t="s">
        <v>43</v>
      </c>
      <c r="C831">
        <v>10561.520754220001</v>
      </c>
      <c r="D831">
        <v>465.38696950704428</v>
      </c>
    </row>
    <row r="832" spans="1:4" x14ac:dyDescent="0.2">
      <c r="A832" s="78"/>
      <c r="B832" t="s">
        <v>16</v>
      </c>
      <c r="C832">
        <v>36572.399698799993</v>
      </c>
      <c r="D832">
        <v>1785.010689815153</v>
      </c>
    </row>
    <row r="833" spans="1:4" x14ac:dyDescent="0.2">
      <c r="A833" s="78"/>
      <c r="B833" t="s">
        <v>15</v>
      </c>
      <c r="C833">
        <v>4404.4075869999997</v>
      </c>
      <c r="D833">
        <v>2313.1902841085089</v>
      </c>
    </row>
    <row r="834" spans="1:4" x14ac:dyDescent="0.2">
      <c r="A834" s="78"/>
      <c r="B834" t="s">
        <v>42</v>
      </c>
      <c r="C834">
        <v>105.2927045</v>
      </c>
      <c r="D834">
        <v>630.95323640645279</v>
      </c>
    </row>
    <row r="835" spans="1:4" x14ac:dyDescent="0.2">
      <c r="A835" s="78"/>
      <c r="B835" t="s">
        <v>35</v>
      </c>
      <c r="C835">
        <v>2232.1241340000001</v>
      </c>
      <c r="D835">
        <v>721.34957429210078</v>
      </c>
    </row>
    <row r="836" spans="1:4" x14ac:dyDescent="0.2">
      <c r="A836" s="78"/>
      <c r="B836" t="s">
        <v>40</v>
      </c>
      <c r="C836">
        <v>1.4450574199999999</v>
      </c>
      <c r="D836">
        <v>2667.6193516148028</v>
      </c>
    </row>
    <row r="837" spans="1:4" x14ac:dyDescent="0.2">
      <c r="A837" s="78">
        <v>45084</v>
      </c>
      <c r="B837" t="s">
        <v>33</v>
      </c>
      <c r="C837">
        <v>45.775306</v>
      </c>
      <c r="D837">
        <v>431.22666979142139</v>
      </c>
    </row>
    <row r="838" spans="1:4" x14ac:dyDescent="0.2">
      <c r="A838" s="78"/>
      <c r="B838" t="s">
        <v>43</v>
      </c>
      <c r="C838">
        <v>10561.520754220001</v>
      </c>
      <c r="D838">
        <v>463.23917864646609</v>
      </c>
    </row>
    <row r="839" spans="1:4" x14ac:dyDescent="0.2">
      <c r="A839" s="78"/>
      <c r="B839" t="s">
        <v>16</v>
      </c>
      <c r="C839">
        <v>36572.399698799993</v>
      </c>
      <c r="D839">
        <v>1776.2772007670801</v>
      </c>
    </row>
    <row r="840" spans="1:4" x14ac:dyDescent="0.2">
      <c r="A840" s="78"/>
      <c r="B840" t="s">
        <v>15</v>
      </c>
      <c r="C840">
        <v>4404.4075869999997</v>
      </c>
      <c r="D840">
        <v>2294.0868268610352</v>
      </c>
    </row>
    <row r="841" spans="1:4" x14ac:dyDescent="0.2">
      <c r="A841" s="78"/>
      <c r="B841" t="s">
        <v>42</v>
      </c>
      <c r="C841">
        <v>105.2927045</v>
      </c>
      <c r="D841">
        <v>622.82909665923421</v>
      </c>
    </row>
    <row r="842" spans="1:4" x14ac:dyDescent="0.2">
      <c r="A842" s="78"/>
      <c r="B842" t="s">
        <v>35</v>
      </c>
      <c r="C842">
        <v>2232.1241340000001</v>
      </c>
      <c r="D842">
        <v>719.61706650301403</v>
      </c>
    </row>
    <row r="843" spans="1:4" x14ac:dyDescent="0.2">
      <c r="A843" s="78"/>
      <c r="B843" t="s">
        <v>40</v>
      </c>
      <c r="C843">
        <v>1.4450574199999999</v>
      </c>
      <c r="D843">
        <v>2647.8081934500119</v>
      </c>
    </row>
    <row r="844" spans="1:4" x14ac:dyDescent="0.2">
      <c r="A844" s="78">
        <v>45083</v>
      </c>
      <c r="B844" t="s">
        <v>33</v>
      </c>
      <c r="C844">
        <v>45.775306</v>
      </c>
      <c r="D844">
        <v>465.21251139964193</v>
      </c>
    </row>
    <row r="845" spans="1:4" x14ac:dyDescent="0.2">
      <c r="A845" s="78"/>
      <c r="B845" t="s">
        <v>43</v>
      </c>
      <c r="C845">
        <v>10561.520754220001</v>
      </c>
      <c r="D845">
        <v>475.01823151323248</v>
      </c>
    </row>
    <row r="846" spans="1:4" x14ac:dyDescent="0.2">
      <c r="A846" s="78"/>
      <c r="B846" t="s">
        <v>16</v>
      </c>
      <c r="C846">
        <v>36572.399698799993</v>
      </c>
      <c r="D846">
        <v>1816.6311865947359</v>
      </c>
    </row>
    <row r="847" spans="1:4" x14ac:dyDescent="0.2">
      <c r="A847" s="78"/>
      <c r="B847" t="s">
        <v>15</v>
      </c>
      <c r="C847">
        <v>4404.4075869999997</v>
      </c>
      <c r="D847">
        <v>2341.885748287104</v>
      </c>
    </row>
    <row r="848" spans="1:4" x14ac:dyDescent="0.2">
      <c r="A848" s="78"/>
      <c r="B848" t="s">
        <v>42</v>
      </c>
      <c r="C848">
        <v>105.2927045</v>
      </c>
      <c r="D848">
        <v>658.95755691565455</v>
      </c>
    </row>
    <row r="849" spans="1:4" x14ac:dyDescent="0.2">
      <c r="A849" s="78"/>
      <c r="B849" t="s">
        <v>35</v>
      </c>
      <c r="C849">
        <v>2232.1241340000001</v>
      </c>
      <c r="D849">
        <v>790.40573611779496</v>
      </c>
    </row>
    <row r="850" spans="1:4" x14ac:dyDescent="0.2">
      <c r="A850" s="78"/>
      <c r="B850" t="s">
        <v>40</v>
      </c>
      <c r="C850">
        <v>1.4450574199999999</v>
      </c>
      <c r="D850">
        <v>2721.39367057956</v>
      </c>
    </row>
    <row r="851" spans="1:4" x14ac:dyDescent="0.2">
      <c r="A851" s="78">
        <v>45082</v>
      </c>
      <c r="B851" t="s">
        <v>33</v>
      </c>
      <c r="C851">
        <v>45.775306</v>
      </c>
      <c r="D851">
        <v>458.9392323001066</v>
      </c>
    </row>
    <row r="852" spans="1:4" x14ac:dyDescent="0.2">
      <c r="A852" s="78"/>
      <c r="B852" t="s">
        <v>43</v>
      </c>
      <c r="C852">
        <v>10561.520754220001</v>
      </c>
      <c r="D852">
        <v>442.5843293530607</v>
      </c>
    </row>
    <row r="853" spans="1:4" x14ac:dyDescent="0.2">
      <c r="A853" s="78"/>
      <c r="B853" t="s">
        <v>16</v>
      </c>
      <c r="C853">
        <v>36572.399698799993</v>
      </c>
      <c r="D853">
        <v>1793.5305960489859</v>
      </c>
    </row>
    <row r="854" spans="1:4" x14ac:dyDescent="0.2">
      <c r="A854" s="78"/>
      <c r="B854" t="s">
        <v>15</v>
      </c>
      <c r="C854">
        <v>4404.4075869999997</v>
      </c>
      <c r="D854">
        <v>2256.1830236962228</v>
      </c>
    </row>
    <row r="855" spans="1:4" x14ac:dyDescent="0.2">
      <c r="A855" s="78"/>
      <c r="B855" t="s">
        <v>42</v>
      </c>
      <c r="C855">
        <v>105.2927045</v>
      </c>
      <c r="D855">
        <v>638.98990423940791</v>
      </c>
    </row>
    <row r="856" spans="1:4" x14ac:dyDescent="0.2">
      <c r="A856" s="78"/>
      <c r="B856" t="s">
        <v>35</v>
      </c>
      <c r="C856">
        <v>2232.1241340000001</v>
      </c>
      <c r="D856">
        <v>785.88642134740928</v>
      </c>
    </row>
    <row r="857" spans="1:4" x14ac:dyDescent="0.2">
      <c r="A857" s="78"/>
      <c r="B857" t="s">
        <v>40</v>
      </c>
      <c r="C857">
        <v>1.4450574199999999</v>
      </c>
      <c r="D857">
        <v>2620.8741329311251</v>
      </c>
    </row>
    <row r="858" spans="1:4" x14ac:dyDescent="0.2">
      <c r="A858" s="78">
        <v>45081</v>
      </c>
      <c r="B858" t="s">
        <v>33</v>
      </c>
      <c r="C858">
        <v>45.775306</v>
      </c>
      <c r="D858">
        <v>492.81175622281802</v>
      </c>
    </row>
    <row r="859" spans="1:4" x14ac:dyDescent="0.2">
      <c r="A859" s="78"/>
      <c r="B859" t="s">
        <v>43</v>
      </c>
      <c r="C859">
        <v>10561.520754220001</v>
      </c>
      <c r="D859">
        <v>486.95021520052012</v>
      </c>
    </row>
    <row r="860" spans="1:4" x14ac:dyDescent="0.2">
      <c r="A860" s="78"/>
      <c r="B860" t="s">
        <v>16</v>
      </c>
      <c r="C860">
        <v>36572.399698799993</v>
      </c>
      <c r="D860">
        <v>1845.8854491138061</v>
      </c>
    </row>
    <row r="861" spans="1:4" x14ac:dyDescent="0.2">
      <c r="A861" s="78"/>
      <c r="B861" t="s">
        <v>15</v>
      </c>
      <c r="C861">
        <v>4404.4075869999997</v>
      </c>
      <c r="D861">
        <v>2367.914079407316</v>
      </c>
    </row>
    <row r="862" spans="1:4" x14ac:dyDescent="0.2">
      <c r="A862" s="78"/>
      <c r="B862" t="s">
        <v>42</v>
      </c>
      <c r="C862">
        <v>105.2927045</v>
      </c>
      <c r="D862">
        <v>680.69720262739963</v>
      </c>
    </row>
    <row r="863" spans="1:4" x14ac:dyDescent="0.2">
      <c r="A863" s="78"/>
      <c r="B863" t="s">
        <v>35</v>
      </c>
      <c r="C863">
        <v>2232.1241340000001</v>
      </c>
      <c r="D863">
        <v>845.13907165533419</v>
      </c>
    </row>
    <row r="864" spans="1:4" x14ac:dyDescent="0.2">
      <c r="A864" s="78"/>
      <c r="B864" t="s">
        <v>40</v>
      </c>
      <c r="C864">
        <v>1.4450574199999999</v>
      </c>
      <c r="D864">
        <v>2735.75132144596</v>
      </c>
    </row>
    <row r="865" spans="1:4" x14ac:dyDescent="0.2">
      <c r="A865" s="78">
        <v>45080</v>
      </c>
      <c r="B865" t="s">
        <v>16</v>
      </c>
      <c r="C865">
        <v>36572.399698799993</v>
      </c>
      <c r="D865">
        <v>1846.701379351086</v>
      </c>
    </row>
    <row r="866" spans="1:4" x14ac:dyDescent="0.2">
      <c r="A866" s="78"/>
      <c r="B866" t="s">
        <v>15</v>
      </c>
      <c r="C866">
        <v>4404.4075869999997</v>
      </c>
      <c r="D866">
        <v>2290.1699871939159</v>
      </c>
    </row>
    <row r="867" spans="1:4" x14ac:dyDescent="0.2">
      <c r="A867" s="78"/>
      <c r="B867" t="s">
        <v>42</v>
      </c>
      <c r="C867">
        <v>105.2927045</v>
      </c>
      <c r="D867">
        <v>676.02352481225989</v>
      </c>
    </row>
    <row r="868" spans="1:4" x14ac:dyDescent="0.2">
      <c r="A868" s="78"/>
      <c r="B868" t="s">
        <v>35</v>
      </c>
      <c r="C868">
        <v>2232.1241340000001</v>
      </c>
      <c r="D868">
        <v>839.16354142116813</v>
      </c>
    </row>
    <row r="869" spans="1:4" x14ac:dyDescent="0.2">
      <c r="A869" s="78"/>
      <c r="B869" t="s">
        <v>40</v>
      </c>
      <c r="C869">
        <v>1.4450574199999999</v>
      </c>
      <c r="D869">
        <v>2734.161608113593</v>
      </c>
    </row>
    <row r="870" spans="1:4" x14ac:dyDescent="0.2">
      <c r="A870" s="78">
        <v>45079</v>
      </c>
      <c r="B870" t="s">
        <v>16</v>
      </c>
      <c r="C870">
        <v>36572.399698799993</v>
      </c>
      <c r="D870">
        <v>1866.7423229380349</v>
      </c>
    </row>
    <row r="871" spans="1:4" x14ac:dyDescent="0.2">
      <c r="A871" s="78"/>
      <c r="B871" t="s">
        <v>15</v>
      </c>
      <c r="C871">
        <v>4404.4075869999997</v>
      </c>
      <c r="D871">
        <v>2316.335295390083</v>
      </c>
    </row>
    <row r="872" spans="1:4" x14ac:dyDescent="0.2">
      <c r="A872" s="78"/>
      <c r="B872" t="s">
        <v>42</v>
      </c>
      <c r="C872">
        <v>105.2927045</v>
      </c>
      <c r="D872">
        <v>679.77196930978198</v>
      </c>
    </row>
    <row r="873" spans="1:4" x14ac:dyDescent="0.2">
      <c r="A873" s="78"/>
      <c r="B873" t="s">
        <v>35</v>
      </c>
      <c r="C873">
        <v>2232.1241340000001</v>
      </c>
      <c r="D873">
        <v>844.83661883517721</v>
      </c>
    </row>
    <row r="874" spans="1:4" x14ac:dyDescent="0.2">
      <c r="A874" s="78"/>
      <c r="B874" t="s">
        <v>40</v>
      </c>
      <c r="C874">
        <v>1.4450574199999999</v>
      </c>
      <c r="D874">
        <v>2756.0313172047709</v>
      </c>
    </row>
    <row r="875" spans="1:4" x14ac:dyDescent="0.2">
      <c r="A875" s="78">
        <v>45078</v>
      </c>
      <c r="B875" t="s">
        <v>16</v>
      </c>
      <c r="C875">
        <v>36572.399698799993</v>
      </c>
      <c r="D875">
        <v>1845.835344926219</v>
      </c>
    </row>
    <row r="876" spans="1:4" x14ac:dyDescent="0.2">
      <c r="A876" s="78"/>
      <c r="B876" t="s">
        <v>15</v>
      </c>
      <c r="C876">
        <v>4404.4075869999997</v>
      </c>
      <c r="D876">
        <v>2239.466226831993</v>
      </c>
    </row>
    <row r="877" spans="1:4" x14ac:dyDescent="0.2">
      <c r="A877" s="78"/>
      <c r="B877" t="s">
        <v>42</v>
      </c>
      <c r="C877">
        <v>105.2927045</v>
      </c>
      <c r="D877">
        <v>667.87703563558432</v>
      </c>
    </row>
    <row r="878" spans="1:4" x14ac:dyDescent="0.2">
      <c r="A878" s="78"/>
      <c r="B878" t="s">
        <v>35</v>
      </c>
      <c r="C878">
        <v>2232.1241340000001</v>
      </c>
      <c r="D878">
        <v>815.11577438476047</v>
      </c>
    </row>
    <row r="879" spans="1:4" x14ac:dyDescent="0.2">
      <c r="A879" s="78"/>
      <c r="B879" t="s">
        <v>40</v>
      </c>
      <c r="C879">
        <v>1.4450574199999999</v>
      </c>
      <c r="D879">
        <v>2690.300084414469</v>
      </c>
    </row>
    <row r="880" spans="1:4" x14ac:dyDescent="0.2">
      <c r="A880" s="78">
        <v>45077</v>
      </c>
      <c r="B880" t="s">
        <v>16</v>
      </c>
      <c r="C880">
        <v>36572.399698799993</v>
      </c>
      <c r="D880">
        <v>1887.923959671589</v>
      </c>
    </row>
    <row r="881" spans="1:4" x14ac:dyDescent="0.2">
      <c r="A881" s="78"/>
      <c r="B881" t="s">
        <v>15</v>
      </c>
      <c r="C881">
        <v>4404.4075869999997</v>
      </c>
      <c r="D881">
        <v>2287.4169241435102</v>
      </c>
    </row>
    <row r="882" spans="1:4" x14ac:dyDescent="0.2">
      <c r="A882" s="78"/>
      <c r="B882" t="s">
        <v>42</v>
      </c>
      <c r="C882">
        <v>105.2927045</v>
      </c>
      <c r="D882">
        <v>682.95431074034093</v>
      </c>
    </row>
    <row r="883" spans="1:4" x14ac:dyDescent="0.2">
      <c r="A883" s="78"/>
      <c r="B883" t="s">
        <v>35</v>
      </c>
      <c r="C883">
        <v>2232.1241340000001</v>
      </c>
      <c r="D883">
        <v>837.23762007587027</v>
      </c>
    </row>
    <row r="884" spans="1:4" x14ac:dyDescent="0.2">
      <c r="A884" s="78"/>
      <c r="B884" t="s">
        <v>40</v>
      </c>
      <c r="C884">
        <v>1.4450574199999999</v>
      </c>
      <c r="D884">
        <v>2709.041753848649</v>
      </c>
    </row>
    <row r="885" spans="1:4" x14ac:dyDescent="0.2">
      <c r="A885" s="78">
        <v>45076</v>
      </c>
      <c r="B885" t="s">
        <v>16</v>
      </c>
      <c r="C885">
        <v>36572.399698799993</v>
      </c>
      <c r="D885">
        <v>1939.3897376997311</v>
      </c>
    </row>
    <row r="886" spans="1:4" x14ac:dyDescent="0.2">
      <c r="A886" s="78"/>
      <c r="B886" t="s">
        <v>15</v>
      </c>
      <c r="C886">
        <v>4404.4075869999997</v>
      </c>
      <c r="D886">
        <v>2300.5065151835429</v>
      </c>
    </row>
    <row r="887" spans="1:4" x14ac:dyDescent="0.2">
      <c r="A887" s="78"/>
      <c r="B887" t="s">
        <v>42</v>
      </c>
      <c r="C887">
        <v>105.2927045</v>
      </c>
      <c r="D887">
        <v>696.15325981317869</v>
      </c>
    </row>
    <row r="888" spans="1:4" x14ac:dyDescent="0.2">
      <c r="A888" s="78"/>
      <c r="B888" t="s">
        <v>35</v>
      </c>
      <c r="C888">
        <v>2232.1241340000001</v>
      </c>
      <c r="D888">
        <v>843.69995426242031</v>
      </c>
    </row>
    <row r="889" spans="1:4" x14ac:dyDescent="0.2">
      <c r="A889" s="78"/>
      <c r="B889" t="s">
        <v>40</v>
      </c>
      <c r="C889">
        <v>1.4450574199999999</v>
      </c>
      <c r="D889">
        <v>2747.16731809777</v>
      </c>
    </row>
    <row r="890" spans="1:4" x14ac:dyDescent="0.2">
      <c r="A890" s="78">
        <v>45075</v>
      </c>
      <c r="B890" t="s">
        <v>16</v>
      </c>
      <c r="C890">
        <v>36572.399698799993</v>
      </c>
      <c r="D890">
        <v>1937.652182990041</v>
      </c>
    </row>
    <row r="891" spans="1:4" x14ac:dyDescent="0.2">
      <c r="A891" s="78"/>
      <c r="B891" t="s">
        <v>15</v>
      </c>
      <c r="C891">
        <v>4404.4075869999997</v>
      </c>
      <c r="D891">
        <v>2174.741739622069</v>
      </c>
    </row>
    <row r="892" spans="1:4" x14ac:dyDescent="0.2">
      <c r="A892" s="78"/>
      <c r="B892" t="s">
        <v>42</v>
      </c>
      <c r="C892">
        <v>105.2927045</v>
      </c>
      <c r="D892">
        <v>699.16430580742178</v>
      </c>
    </row>
    <row r="893" spans="1:4" x14ac:dyDescent="0.2">
      <c r="A893" s="78"/>
      <c r="B893" t="s">
        <v>35</v>
      </c>
      <c r="C893">
        <v>2232.1241340000001</v>
      </c>
      <c r="D893">
        <v>845.98183244336724</v>
      </c>
    </row>
    <row r="894" spans="1:4" x14ac:dyDescent="0.2">
      <c r="A894" s="78"/>
      <c r="B894" t="s">
        <v>40</v>
      </c>
      <c r="C894">
        <v>1.4450574199999999</v>
      </c>
      <c r="D894">
        <v>2736.5258631336692</v>
      </c>
    </row>
    <row r="895" spans="1:4" x14ac:dyDescent="0.2">
      <c r="A895" s="78">
        <v>45074</v>
      </c>
      <c r="B895" t="s">
        <v>16</v>
      </c>
      <c r="C895">
        <v>36572.399698799993</v>
      </c>
      <c r="D895">
        <v>1960.71400679211</v>
      </c>
    </row>
    <row r="896" spans="1:4" x14ac:dyDescent="0.2">
      <c r="A896" s="78"/>
      <c r="B896" t="s">
        <v>15</v>
      </c>
      <c r="C896">
        <v>4404.4075869999997</v>
      </c>
      <c r="D896">
        <v>2129.6336910112768</v>
      </c>
    </row>
    <row r="897" spans="1:4" x14ac:dyDescent="0.2">
      <c r="A897" s="78"/>
      <c r="B897" t="s">
        <v>42</v>
      </c>
      <c r="C897">
        <v>105.2927045</v>
      </c>
      <c r="D897">
        <v>699.60466095618165</v>
      </c>
    </row>
    <row r="898" spans="1:4" x14ac:dyDescent="0.2">
      <c r="A898" s="78"/>
      <c r="B898" t="s">
        <v>35</v>
      </c>
      <c r="C898">
        <v>2232.1241340000001</v>
      </c>
      <c r="D898">
        <v>855.70094734763006</v>
      </c>
    </row>
    <row r="899" spans="1:4" x14ac:dyDescent="0.2">
      <c r="A899" s="78"/>
      <c r="B899" t="s">
        <v>40</v>
      </c>
      <c r="C899">
        <v>1.4450574199999999</v>
      </c>
      <c r="D899">
        <v>2765.5743715964368</v>
      </c>
    </row>
    <row r="900" spans="1:4" x14ac:dyDescent="0.2">
      <c r="A900" s="78">
        <v>45073</v>
      </c>
      <c r="B900" t="s">
        <v>16</v>
      </c>
      <c r="C900">
        <v>36572.399698799993</v>
      </c>
      <c r="D900">
        <v>1912.2903209709141</v>
      </c>
    </row>
    <row r="901" spans="1:4" x14ac:dyDescent="0.2">
      <c r="A901" s="78"/>
      <c r="B901" t="s">
        <v>15</v>
      </c>
      <c r="C901">
        <v>4404.4075869999997</v>
      </c>
      <c r="D901">
        <v>2079.833538909902</v>
      </c>
    </row>
    <row r="902" spans="1:4" x14ac:dyDescent="0.2">
      <c r="A902" s="78"/>
      <c r="B902" t="s">
        <v>42</v>
      </c>
      <c r="C902">
        <v>105.2927045</v>
      </c>
      <c r="D902">
        <v>677.88839233068973</v>
      </c>
    </row>
    <row r="903" spans="1:4" x14ac:dyDescent="0.2">
      <c r="A903" s="78"/>
      <c r="B903" t="s">
        <v>35</v>
      </c>
      <c r="C903">
        <v>2232.1241340000001</v>
      </c>
      <c r="D903">
        <v>819.30658744634547</v>
      </c>
    </row>
    <row r="904" spans="1:4" x14ac:dyDescent="0.2">
      <c r="A904" s="78"/>
      <c r="B904" t="s">
        <v>40</v>
      </c>
      <c r="C904">
        <v>1.4450574199999999</v>
      </c>
      <c r="D904">
        <v>2644.8982073653192</v>
      </c>
    </row>
    <row r="905" spans="1:4" x14ac:dyDescent="0.2">
      <c r="A905" s="78">
        <v>45072</v>
      </c>
      <c r="B905" t="s">
        <v>16</v>
      </c>
      <c r="C905">
        <v>36572.399698799993</v>
      </c>
      <c r="D905">
        <v>1914.5526896162819</v>
      </c>
    </row>
    <row r="906" spans="1:4" x14ac:dyDescent="0.2">
      <c r="A906" s="78"/>
      <c r="B906" t="s">
        <v>15</v>
      </c>
      <c r="C906">
        <v>4404.4075869999997</v>
      </c>
      <c r="D906">
        <v>2068.949190704604</v>
      </c>
    </row>
    <row r="907" spans="1:4" x14ac:dyDescent="0.2">
      <c r="A907" s="78"/>
      <c r="B907" t="s">
        <v>42</v>
      </c>
      <c r="C907">
        <v>105.2927045</v>
      </c>
      <c r="D907">
        <v>668.73708013399187</v>
      </c>
    </row>
    <row r="908" spans="1:4" x14ac:dyDescent="0.2">
      <c r="A908" s="78"/>
      <c r="B908" t="s">
        <v>35</v>
      </c>
      <c r="C908">
        <v>2232.1241340000001</v>
      </c>
      <c r="D908">
        <v>810.25742227966145</v>
      </c>
    </row>
    <row r="909" spans="1:4" x14ac:dyDescent="0.2">
      <c r="A909" s="78"/>
      <c r="B909" t="s">
        <v>40</v>
      </c>
      <c r="C909">
        <v>1.4450574199999999</v>
      </c>
      <c r="D909">
        <v>2642.9472141002329</v>
      </c>
    </row>
    <row r="910" spans="1:4" x14ac:dyDescent="0.2">
      <c r="A910" s="78">
        <v>45071</v>
      </c>
      <c r="B910" t="s">
        <v>16</v>
      </c>
      <c r="C910">
        <v>36572.399698799993</v>
      </c>
      <c r="D910">
        <v>1857.456590654509</v>
      </c>
    </row>
    <row r="911" spans="1:4" x14ac:dyDescent="0.2">
      <c r="A911" s="78"/>
      <c r="B911" t="s">
        <v>15</v>
      </c>
      <c r="C911">
        <v>4404.4075869999997</v>
      </c>
      <c r="D911">
        <v>2000.1083001197951</v>
      </c>
    </row>
    <row r="912" spans="1:4" x14ac:dyDescent="0.2">
      <c r="A912" s="78"/>
      <c r="B912" t="s">
        <v>42</v>
      </c>
      <c r="C912">
        <v>105.2927045</v>
      </c>
      <c r="D912">
        <v>660.8443032051523</v>
      </c>
    </row>
    <row r="913" spans="1:4" x14ac:dyDescent="0.2">
      <c r="A913" s="78"/>
      <c r="B913" t="s">
        <v>35</v>
      </c>
      <c r="C913">
        <v>2232.1241340000001</v>
      </c>
      <c r="D913">
        <v>800.34286258622558</v>
      </c>
    </row>
    <row r="914" spans="1:4" x14ac:dyDescent="0.2">
      <c r="A914" s="78"/>
      <c r="B914" t="s">
        <v>40</v>
      </c>
      <c r="C914">
        <v>1.4450574199999999</v>
      </c>
      <c r="D914">
        <v>2609.4930131592132</v>
      </c>
    </row>
    <row r="915" spans="1:4" x14ac:dyDescent="0.2">
      <c r="A915" s="78">
        <v>45070</v>
      </c>
      <c r="B915" t="s">
        <v>16</v>
      </c>
      <c r="C915">
        <v>36572.399698799993</v>
      </c>
      <c r="D915">
        <v>1867.223615718071</v>
      </c>
    </row>
    <row r="916" spans="1:4" x14ac:dyDescent="0.2">
      <c r="A916" s="78"/>
      <c r="B916" t="s">
        <v>15</v>
      </c>
      <c r="C916">
        <v>4404.4075869999997</v>
      </c>
      <c r="D916">
        <v>2001.2080806942679</v>
      </c>
    </row>
    <row r="917" spans="1:4" x14ac:dyDescent="0.2">
      <c r="A917" s="78"/>
      <c r="B917" t="s">
        <v>42</v>
      </c>
      <c r="C917">
        <v>105.2927045</v>
      </c>
      <c r="D917">
        <v>666.04919113791084</v>
      </c>
    </row>
    <row r="918" spans="1:4" x14ac:dyDescent="0.2">
      <c r="A918" s="78"/>
      <c r="B918" t="s">
        <v>35</v>
      </c>
      <c r="C918">
        <v>2232.1241340000001</v>
      </c>
      <c r="D918">
        <v>813.57846585119194</v>
      </c>
    </row>
    <row r="919" spans="1:4" x14ac:dyDescent="0.2">
      <c r="A919" s="78"/>
      <c r="B919" t="s">
        <v>40</v>
      </c>
      <c r="C919">
        <v>1.4450574199999999</v>
      </c>
      <c r="D919">
        <v>2602.1669331596631</v>
      </c>
    </row>
    <row r="920" spans="1:4" x14ac:dyDescent="0.2">
      <c r="A920" s="78">
        <v>45069</v>
      </c>
      <c r="B920" t="s">
        <v>16</v>
      </c>
      <c r="C920">
        <v>36572.399698799993</v>
      </c>
      <c r="D920">
        <v>1919.6713626781259</v>
      </c>
    </row>
    <row r="921" spans="1:4" x14ac:dyDescent="0.2">
      <c r="A921" s="78"/>
      <c r="B921" t="s">
        <v>15</v>
      </c>
      <c r="C921">
        <v>4404.4075869999997</v>
      </c>
      <c r="D921">
        <v>2052.6235933222511</v>
      </c>
    </row>
    <row r="922" spans="1:4" x14ac:dyDescent="0.2">
      <c r="A922" s="78"/>
      <c r="B922" t="s">
        <v>42</v>
      </c>
      <c r="C922">
        <v>105.2927045</v>
      </c>
      <c r="D922">
        <v>684.9057899316382</v>
      </c>
    </row>
    <row r="923" spans="1:4" x14ac:dyDescent="0.2">
      <c r="A923" s="78"/>
      <c r="B923" t="s">
        <v>35</v>
      </c>
      <c r="C923">
        <v>2232.1241340000001</v>
      </c>
      <c r="D923">
        <v>827.18618653053761</v>
      </c>
    </row>
    <row r="924" spans="1:4" x14ac:dyDescent="0.2">
      <c r="A924" s="78"/>
      <c r="B924" t="s">
        <v>40</v>
      </c>
      <c r="C924">
        <v>1.4450574199999999</v>
      </c>
      <c r="D924">
        <v>2679.4155236690021</v>
      </c>
    </row>
    <row r="925" spans="1:4" x14ac:dyDescent="0.2">
      <c r="A925" s="78">
        <v>45068</v>
      </c>
      <c r="B925" t="s">
        <v>16</v>
      </c>
      <c r="C925">
        <v>36572.399698799993</v>
      </c>
      <c r="D925">
        <v>1914.780901390403</v>
      </c>
    </row>
    <row r="926" spans="1:4" x14ac:dyDescent="0.2">
      <c r="A926" s="78"/>
      <c r="B926" t="s">
        <v>15</v>
      </c>
      <c r="C926">
        <v>4404.4075869999997</v>
      </c>
      <c r="D926">
        <v>2036.385291298272</v>
      </c>
    </row>
    <row r="927" spans="1:4" x14ac:dyDescent="0.2">
      <c r="A927" s="78"/>
      <c r="B927" t="s">
        <v>42</v>
      </c>
      <c r="C927">
        <v>105.2927045</v>
      </c>
      <c r="D927">
        <v>687.55365085317658</v>
      </c>
    </row>
    <row r="928" spans="1:4" x14ac:dyDescent="0.2">
      <c r="A928" s="78"/>
      <c r="B928" t="s">
        <v>35</v>
      </c>
      <c r="C928">
        <v>2232.1241340000001</v>
      </c>
      <c r="D928">
        <v>821.97156509241074</v>
      </c>
    </row>
    <row r="929" spans="1:4" x14ac:dyDescent="0.2">
      <c r="A929" s="78"/>
      <c r="B929" t="s">
        <v>40</v>
      </c>
      <c r="C929">
        <v>1.4450574199999999</v>
      </c>
      <c r="D929">
        <v>2627.6945288145921</v>
      </c>
    </row>
    <row r="930" spans="1:4" x14ac:dyDescent="0.2">
      <c r="A930" s="78">
        <v>45067</v>
      </c>
      <c r="B930" t="s">
        <v>16</v>
      </c>
      <c r="C930">
        <v>36513.931897809998</v>
      </c>
      <c r="D930">
        <v>1923.8595539866151</v>
      </c>
    </row>
    <row r="931" spans="1:4" x14ac:dyDescent="0.2">
      <c r="A931" s="78"/>
      <c r="B931" t="s">
        <v>15</v>
      </c>
      <c r="C931">
        <v>4404.4075869999997</v>
      </c>
      <c r="D931">
        <v>2020.0430452552389</v>
      </c>
    </row>
    <row r="932" spans="1:4" x14ac:dyDescent="0.2">
      <c r="A932" s="78"/>
      <c r="B932" t="s">
        <v>42</v>
      </c>
      <c r="C932">
        <v>105.2927045</v>
      </c>
      <c r="D932">
        <v>677.41841202659157</v>
      </c>
    </row>
    <row r="933" spans="1:4" x14ac:dyDescent="0.2">
      <c r="A933" s="78"/>
      <c r="B933" t="s">
        <v>35</v>
      </c>
      <c r="C933">
        <v>2232.1241340000001</v>
      </c>
      <c r="D933">
        <v>806.00748024976679</v>
      </c>
    </row>
    <row r="934" spans="1:4" x14ac:dyDescent="0.2">
      <c r="A934" s="78"/>
      <c r="B934" t="s">
        <v>40</v>
      </c>
      <c r="C934">
        <v>1.4450574199999999</v>
      </c>
      <c r="D934">
        <v>2608.2261410009842</v>
      </c>
    </row>
    <row r="935" spans="1:4" x14ac:dyDescent="0.2">
      <c r="A935" s="78">
        <v>45066</v>
      </c>
      <c r="B935" t="s">
        <v>16</v>
      </c>
      <c r="C935">
        <v>36513.931897809998</v>
      </c>
      <c r="D935">
        <v>1951.319491331044</v>
      </c>
    </row>
    <row r="936" spans="1:4" x14ac:dyDescent="0.2">
      <c r="A936" s="78"/>
      <c r="B936" t="s">
        <v>15</v>
      </c>
      <c r="C936">
        <v>4404.4075869999997</v>
      </c>
      <c r="D936">
        <v>2068.2837287622851</v>
      </c>
    </row>
    <row r="937" spans="1:4" x14ac:dyDescent="0.2">
      <c r="A937" s="78"/>
      <c r="B937" t="s">
        <v>42</v>
      </c>
      <c r="C937">
        <v>105.2927045</v>
      </c>
      <c r="D937">
        <v>684.91826079955911</v>
      </c>
    </row>
    <row r="938" spans="1:4" x14ac:dyDescent="0.2">
      <c r="A938" s="78"/>
      <c r="B938" t="s">
        <v>35</v>
      </c>
      <c r="C938">
        <v>2232.1241340000001</v>
      </c>
      <c r="D938">
        <v>818.00115196781701</v>
      </c>
    </row>
    <row r="939" spans="1:4" x14ac:dyDescent="0.2">
      <c r="A939" s="78"/>
      <c r="B939" t="s">
        <v>40</v>
      </c>
      <c r="C939">
        <v>1.4450574199999999</v>
      </c>
      <c r="D939">
        <v>2628.5154153578851</v>
      </c>
    </row>
    <row r="940" spans="1:4" x14ac:dyDescent="0.2">
      <c r="A940" s="78">
        <v>45065</v>
      </c>
      <c r="B940" t="s">
        <v>16</v>
      </c>
      <c r="C940">
        <v>36513.931897809998</v>
      </c>
      <c r="D940">
        <v>1940.724243712257</v>
      </c>
    </row>
    <row r="941" spans="1:4" x14ac:dyDescent="0.2">
      <c r="A941" s="78"/>
      <c r="B941" t="s">
        <v>15</v>
      </c>
      <c r="C941">
        <v>4404.4075869999997</v>
      </c>
      <c r="D941">
        <v>2065.124535288282</v>
      </c>
    </row>
    <row r="942" spans="1:4" x14ac:dyDescent="0.2">
      <c r="A942" s="78"/>
      <c r="B942" t="s">
        <v>42</v>
      </c>
      <c r="C942">
        <v>105.2927045</v>
      </c>
      <c r="D942">
        <v>685.31503950963474</v>
      </c>
    </row>
    <row r="943" spans="1:4" x14ac:dyDescent="0.2">
      <c r="A943" s="78"/>
      <c r="B943" t="s">
        <v>35</v>
      </c>
      <c r="C943">
        <v>2232.1241340000001</v>
      </c>
      <c r="D943">
        <v>822.75928169929932</v>
      </c>
    </row>
    <row r="944" spans="1:4" x14ac:dyDescent="0.2">
      <c r="A944" s="78"/>
      <c r="B944" t="s">
        <v>40</v>
      </c>
      <c r="C944">
        <v>1.4450574199999999</v>
      </c>
      <c r="D944">
        <v>2618.634364246619</v>
      </c>
    </row>
    <row r="945" spans="1:4" x14ac:dyDescent="0.2">
      <c r="A945" s="78">
        <v>45064</v>
      </c>
      <c r="B945" t="s">
        <v>16</v>
      </c>
      <c r="C945">
        <v>36513.931897809998</v>
      </c>
      <c r="D945">
        <v>1922.6542290946691</v>
      </c>
    </row>
    <row r="946" spans="1:4" x14ac:dyDescent="0.2">
      <c r="A946" s="78"/>
      <c r="B946" t="s">
        <v>15</v>
      </c>
      <c r="C946">
        <v>4404.4075869999997</v>
      </c>
      <c r="D946">
        <v>2029.392941901302</v>
      </c>
    </row>
    <row r="947" spans="1:4" x14ac:dyDescent="0.2">
      <c r="A947" s="78"/>
      <c r="B947" t="s">
        <v>42</v>
      </c>
      <c r="C947">
        <v>105.2927045</v>
      </c>
      <c r="D947">
        <v>687.80730940173339</v>
      </c>
    </row>
    <row r="948" spans="1:4" x14ac:dyDescent="0.2">
      <c r="A948" s="78"/>
      <c r="B948" t="s">
        <v>35</v>
      </c>
      <c r="C948">
        <v>2232.1241340000001</v>
      </c>
      <c r="D948">
        <v>831.99909258826847</v>
      </c>
    </row>
    <row r="949" spans="1:4" x14ac:dyDescent="0.2">
      <c r="A949" s="78"/>
      <c r="B949" t="s">
        <v>40</v>
      </c>
      <c r="C949">
        <v>1.4450574199999999</v>
      </c>
      <c r="D949">
        <v>2604.558423957264</v>
      </c>
    </row>
    <row r="950" spans="1:4" x14ac:dyDescent="0.2">
      <c r="A950" s="78">
        <v>45063</v>
      </c>
      <c r="B950" t="s">
        <v>16</v>
      </c>
      <c r="C950">
        <v>36513.931897809998</v>
      </c>
      <c r="D950">
        <v>1952.8384708979929</v>
      </c>
    </row>
    <row r="951" spans="1:4" x14ac:dyDescent="0.2">
      <c r="A951" s="78"/>
      <c r="B951" t="s">
        <v>15</v>
      </c>
      <c r="C951">
        <v>4404.4075869999997</v>
      </c>
      <c r="D951">
        <v>1976.401664370919</v>
      </c>
    </row>
    <row r="952" spans="1:4" x14ac:dyDescent="0.2">
      <c r="A952" s="78"/>
      <c r="B952" t="s">
        <v>42</v>
      </c>
      <c r="C952">
        <v>105.2927045</v>
      </c>
      <c r="D952">
        <v>710.37737445654795</v>
      </c>
    </row>
    <row r="953" spans="1:4" x14ac:dyDescent="0.2">
      <c r="A953" s="78"/>
      <c r="B953" t="s">
        <v>35</v>
      </c>
      <c r="C953">
        <v>2232.1241340000001</v>
      </c>
      <c r="D953">
        <v>837.48098857020022</v>
      </c>
    </row>
    <row r="954" spans="1:4" x14ac:dyDescent="0.2">
      <c r="A954" s="78"/>
      <c r="B954" t="s">
        <v>40</v>
      </c>
      <c r="C954">
        <v>1.4450574199999999</v>
      </c>
      <c r="D954">
        <v>2631.522731883395</v>
      </c>
    </row>
    <row r="955" spans="1:4" x14ac:dyDescent="0.2">
      <c r="A955" s="78">
        <v>45062</v>
      </c>
      <c r="B955" t="s">
        <v>16</v>
      </c>
      <c r="C955">
        <v>36513.931897809998</v>
      </c>
      <c r="D955">
        <v>1918.695388598308</v>
      </c>
    </row>
    <row r="956" spans="1:4" x14ac:dyDescent="0.2">
      <c r="A956" s="78"/>
      <c r="B956" t="s">
        <v>15</v>
      </c>
      <c r="C956">
        <v>4404.4075869999997</v>
      </c>
      <c r="D956">
        <v>1941.5066001169389</v>
      </c>
    </row>
    <row r="957" spans="1:4" x14ac:dyDescent="0.2">
      <c r="A957" s="78"/>
      <c r="B957" t="s">
        <v>42</v>
      </c>
      <c r="C957">
        <v>105.2927045</v>
      </c>
      <c r="D957">
        <v>701.19515042766295</v>
      </c>
    </row>
    <row r="958" spans="1:4" x14ac:dyDescent="0.2">
      <c r="A958" s="78"/>
      <c r="B958" t="s">
        <v>35</v>
      </c>
      <c r="C958">
        <v>2232.1241340000001</v>
      </c>
      <c r="D958">
        <v>821.61556361427915</v>
      </c>
    </row>
    <row r="959" spans="1:4" x14ac:dyDescent="0.2">
      <c r="A959" s="78"/>
      <c r="B959" t="s">
        <v>40</v>
      </c>
      <c r="C959">
        <v>1.4450574199999999</v>
      </c>
      <c r="D959">
        <v>2635.2977762462642</v>
      </c>
    </row>
    <row r="960" spans="1:4" x14ac:dyDescent="0.2">
      <c r="A960" s="78">
        <v>45061</v>
      </c>
      <c r="B960" t="s">
        <v>16</v>
      </c>
      <c r="C960">
        <v>36513.931897809998</v>
      </c>
      <c r="D960">
        <v>1922.618810580728</v>
      </c>
    </row>
    <row r="961" spans="1:4" x14ac:dyDescent="0.2">
      <c r="A961" s="78"/>
      <c r="B961" t="s">
        <v>15</v>
      </c>
      <c r="C961">
        <v>4404.4075869999997</v>
      </c>
      <c r="D961">
        <v>1886.872170248073</v>
      </c>
    </row>
    <row r="962" spans="1:4" x14ac:dyDescent="0.2">
      <c r="A962" s="78"/>
      <c r="B962" t="s">
        <v>42</v>
      </c>
      <c r="C962">
        <v>105.2927045</v>
      </c>
      <c r="D962">
        <v>700.19451068679064</v>
      </c>
    </row>
    <row r="963" spans="1:4" x14ac:dyDescent="0.2">
      <c r="A963" s="78"/>
      <c r="B963" t="s">
        <v>35</v>
      </c>
      <c r="C963">
        <v>2232.1241340000001</v>
      </c>
      <c r="D963">
        <v>821.61161275456197</v>
      </c>
    </row>
    <row r="964" spans="1:4" x14ac:dyDescent="0.2">
      <c r="A964" s="78"/>
      <c r="B964" t="s">
        <v>40</v>
      </c>
      <c r="C964">
        <v>1.4450574199999999</v>
      </c>
      <c r="D964">
        <v>2630.069184505393</v>
      </c>
    </row>
    <row r="965" spans="1:4" x14ac:dyDescent="0.2">
      <c r="A965" s="78">
        <v>45060</v>
      </c>
      <c r="B965" t="s">
        <v>16</v>
      </c>
      <c r="C965">
        <v>36513.931897809998</v>
      </c>
      <c r="D965">
        <v>1901.281164197605</v>
      </c>
    </row>
    <row r="966" spans="1:4" x14ac:dyDescent="0.2">
      <c r="A966" s="78"/>
      <c r="B966" t="s">
        <v>15</v>
      </c>
      <c r="C966">
        <v>4404.4075869999997</v>
      </c>
      <c r="D966">
        <v>1877.822918463899</v>
      </c>
    </row>
    <row r="967" spans="1:4" x14ac:dyDescent="0.2">
      <c r="A967" s="78"/>
      <c r="B967" t="s">
        <v>42</v>
      </c>
      <c r="C967">
        <v>105.2927045</v>
      </c>
      <c r="D967">
        <v>688.51286423239037</v>
      </c>
    </row>
    <row r="968" spans="1:4" x14ac:dyDescent="0.2">
      <c r="A968" s="78"/>
      <c r="B968" t="s">
        <v>35</v>
      </c>
      <c r="C968">
        <v>2232.1241340000001</v>
      </c>
      <c r="D968">
        <v>827.71334728726436</v>
      </c>
    </row>
    <row r="969" spans="1:4" x14ac:dyDescent="0.2">
      <c r="A969" s="78"/>
      <c r="B969" t="s">
        <v>40</v>
      </c>
      <c r="C969">
        <v>1.4450574199999999</v>
      </c>
      <c r="D969">
        <v>2599.6708107830791</v>
      </c>
    </row>
    <row r="970" spans="1:4" x14ac:dyDescent="0.2">
      <c r="A970" s="78">
        <v>45059</v>
      </c>
      <c r="B970" t="s">
        <v>16</v>
      </c>
      <c r="C970">
        <v>36513.931897809998</v>
      </c>
      <c r="D970">
        <v>1885.9248649986621</v>
      </c>
    </row>
    <row r="971" spans="1:4" x14ac:dyDescent="0.2">
      <c r="A971" s="78"/>
      <c r="B971" t="s">
        <v>15</v>
      </c>
      <c r="C971">
        <v>4404.4075869999997</v>
      </c>
      <c r="D971">
        <v>1874.346343379176</v>
      </c>
    </row>
    <row r="972" spans="1:4" x14ac:dyDescent="0.2">
      <c r="A972" s="78"/>
      <c r="B972" t="s">
        <v>42</v>
      </c>
      <c r="C972">
        <v>105.2927045</v>
      </c>
      <c r="D972">
        <v>684.01681310388813</v>
      </c>
    </row>
    <row r="973" spans="1:4" x14ac:dyDescent="0.2">
      <c r="A973" s="78"/>
      <c r="B973" t="s">
        <v>35</v>
      </c>
      <c r="C973">
        <v>2232.1241340000001</v>
      </c>
      <c r="D973">
        <v>814.93258395708312</v>
      </c>
    </row>
    <row r="974" spans="1:4" x14ac:dyDescent="0.2">
      <c r="A974" s="78"/>
      <c r="B974" t="s">
        <v>40</v>
      </c>
      <c r="C974">
        <v>1.4450574199999999</v>
      </c>
      <c r="D974">
        <v>2597.0564295458762</v>
      </c>
    </row>
    <row r="975" spans="1:4" x14ac:dyDescent="0.2">
      <c r="A975" s="78">
        <v>45058</v>
      </c>
      <c r="B975" t="s">
        <v>15</v>
      </c>
      <c r="C975">
        <v>4357.7849999999999</v>
      </c>
      <c r="D975">
        <v>1880.96481519555</v>
      </c>
    </row>
    <row r="976" spans="1:4" x14ac:dyDescent="0.2">
      <c r="A976" s="78"/>
      <c r="B976" t="s">
        <v>42</v>
      </c>
      <c r="C976">
        <v>105.2927045</v>
      </c>
      <c r="D976">
        <v>697.61694843941177</v>
      </c>
    </row>
    <row r="977" spans="1:4" x14ac:dyDescent="0.2">
      <c r="A977" s="78"/>
      <c r="B977" t="s">
        <v>16</v>
      </c>
      <c r="C977">
        <v>36230.054252109992</v>
      </c>
      <c r="D977">
        <v>1901.5659175691919</v>
      </c>
    </row>
    <row r="978" spans="1:4" x14ac:dyDescent="0.2">
      <c r="A978" s="78"/>
      <c r="B978" t="s">
        <v>35</v>
      </c>
      <c r="C978">
        <v>2232.1241340000001</v>
      </c>
      <c r="D978">
        <v>827.69870455294529</v>
      </c>
    </row>
    <row r="979" spans="1:4" x14ac:dyDescent="0.2">
      <c r="A979" s="78"/>
      <c r="B979" t="s">
        <v>40</v>
      </c>
      <c r="C979">
        <v>1.4450574199999999</v>
      </c>
      <c r="D979">
        <v>2613.6681301223948</v>
      </c>
    </row>
    <row r="980" spans="1:4" x14ac:dyDescent="0.2">
      <c r="A980" s="78">
        <v>45057</v>
      </c>
      <c r="B980" t="s">
        <v>15</v>
      </c>
      <c r="C980">
        <v>4357.7849999999999</v>
      </c>
      <c r="D980">
        <v>1843.15118172645</v>
      </c>
    </row>
    <row r="981" spans="1:4" x14ac:dyDescent="0.2">
      <c r="A981" s="78"/>
      <c r="B981" t="s">
        <v>42</v>
      </c>
      <c r="C981">
        <v>105.2927045</v>
      </c>
      <c r="D981">
        <v>670.76263484875903</v>
      </c>
    </row>
    <row r="982" spans="1:4" x14ac:dyDescent="0.2">
      <c r="A982" s="78"/>
      <c r="B982" t="s">
        <v>16</v>
      </c>
      <c r="C982">
        <v>36230.054252109992</v>
      </c>
      <c r="D982">
        <v>1867.6357471610061</v>
      </c>
    </row>
    <row r="983" spans="1:4" x14ac:dyDescent="0.2">
      <c r="A983" s="78"/>
      <c r="B983" t="s">
        <v>35</v>
      </c>
      <c r="C983">
        <v>2232.1241340000001</v>
      </c>
      <c r="D983">
        <v>804.96907378138872</v>
      </c>
    </row>
    <row r="984" spans="1:4" x14ac:dyDescent="0.2">
      <c r="A984" s="78"/>
      <c r="B984" t="s">
        <v>40</v>
      </c>
      <c r="C984">
        <v>1.4450574199999999</v>
      </c>
      <c r="D984">
        <v>2598.3172065819631</v>
      </c>
    </row>
    <row r="985" spans="1:4" x14ac:dyDescent="0.2">
      <c r="A985" s="78">
        <v>45056</v>
      </c>
      <c r="B985" t="s">
        <v>15</v>
      </c>
      <c r="C985">
        <v>4357.7849999999999</v>
      </c>
      <c r="D985">
        <v>1883.63169245985</v>
      </c>
    </row>
    <row r="986" spans="1:4" x14ac:dyDescent="0.2">
      <c r="A986" s="78"/>
      <c r="B986" t="s">
        <v>42</v>
      </c>
      <c r="C986">
        <v>105.2927045</v>
      </c>
      <c r="D986">
        <v>695.03080904832427</v>
      </c>
    </row>
    <row r="987" spans="1:4" x14ac:dyDescent="0.2">
      <c r="A987" s="78"/>
      <c r="B987" t="s">
        <v>16</v>
      </c>
      <c r="C987">
        <v>36230.054252109992</v>
      </c>
      <c r="D987">
        <v>1977.817501250895</v>
      </c>
    </row>
    <row r="988" spans="1:4" x14ac:dyDescent="0.2">
      <c r="A988" s="78"/>
      <c r="B988" t="s">
        <v>35</v>
      </c>
      <c r="C988">
        <v>2232.1241340000001</v>
      </c>
      <c r="D988">
        <v>827.24433336422828</v>
      </c>
    </row>
    <row r="989" spans="1:4" x14ac:dyDescent="0.2">
      <c r="A989" s="78"/>
      <c r="B989" t="s">
        <v>40</v>
      </c>
      <c r="C989">
        <v>1.4450574199999999</v>
      </c>
      <c r="D989">
        <v>2663.0465498497392</v>
      </c>
    </row>
    <row r="990" spans="1:4" x14ac:dyDescent="0.2">
      <c r="A990" s="78">
        <v>45055</v>
      </c>
      <c r="B990" t="s">
        <v>15</v>
      </c>
      <c r="C990">
        <v>4357.7849999999999</v>
      </c>
      <c r="D990">
        <v>1874.12413861395</v>
      </c>
    </row>
    <row r="991" spans="1:4" x14ac:dyDescent="0.2">
      <c r="A991" s="78"/>
      <c r="B991" t="s">
        <v>42</v>
      </c>
      <c r="C991">
        <v>105.2927045</v>
      </c>
      <c r="D991">
        <v>686.19147492335173</v>
      </c>
    </row>
    <row r="992" spans="1:4" x14ac:dyDescent="0.2">
      <c r="A992" s="78"/>
      <c r="B992" t="s">
        <v>16</v>
      </c>
      <c r="C992">
        <v>36230.054252109992</v>
      </c>
      <c r="D992">
        <v>1968.648036820229</v>
      </c>
    </row>
    <row r="993" spans="1:4" x14ac:dyDescent="0.2">
      <c r="A993" s="78"/>
      <c r="B993" t="s">
        <v>35</v>
      </c>
      <c r="C993">
        <v>2232.1241340000001</v>
      </c>
      <c r="D993">
        <v>811.55205427738144</v>
      </c>
    </row>
    <row r="994" spans="1:4" x14ac:dyDescent="0.2">
      <c r="A994" s="78"/>
      <c r="B994" t="s">
        <v>40</v>
      </c>
      <c r="C994">
        <v>1.4450574199999999</v>
      </c>
      <c r="D994">
        <v>2667.6688625189408</v>
      </c>
    </row>
    <row r="995" spans="1:4" x14ac:dyDescent="0.2">
      <c r="A995" s="78">
        <v>45054</v>
      </c>
      <c r="B995" t="s">
        <v>42</v>
      </c>
      <c r="C995">
        <v>105.2927045</v>
      </c>
      <c r="D995">
        <v>694.25622326767007</v>
      </c>
    </row>
    <row r="996" spans="1:4" x14ac:dyDescent="0.2">
      <c r="A996" s="78"/>
      <c r="B996" t="s">
        <v>15</v>
      </c>
      <c r="C996">
        <v>4244.4980000000014</v>
      </c>
      <c r="D996">
        <v>1823.7525559010001</v>
      </c>
    </row>
    <row r="997" spans="1:4" x14ac:dyDescent="0.2">
      <c r="A997" s="78"/>
      <c r="B997" t="s">
        <v>16</v>
      </c>
      <c r="C997">
        <v>36230.054252109992</v>
      </c>
      <c r="D997">
        <v>1982.818697939857</v>
      </c>
    </row>
    <row r="998" spans="1:4" x14ac:dyDescent="0.2">
      <c r="A998" s="78"/>
      <c r="B998" t="s">
        <v>35</v>
      </c>
      <c r="C998">
        <v>2232.1241340000001</v>
      </c>
      <c r="D998">
        <v>817.28260888784098</v>
      </c>
    </row>
    <row r="999" spans="1:4" x14ac:dyDescent="0.2">
      <c r="A999" s="78"/>
      <c r="B999" t="s">
        <v>40</v>
      </c>
      <c r="C999">
        <v>1.4450574199999999</v>
      </c>
      <c r="D999">
        <v>2672.32825586731</v>
      </c>
    </row>
    <row r="1000" spans="1:4" x14ac:dyDescent="0.2">
      <c r="A1000" s="78">
        <v>45053</v>
      </c>
      <c r="B1000" t="s">
        <v>42</v>
      </c>
      <c r="C1000">
        <v>105.2927045</v>
      </c>
      <c r="D1000">
        <v>731.06623477690243</v>
      </c>
    </row>
    <row r="1001" spans="1:4" x14ac:dyDescent="0.2">
      <c r="A1001" s="78"/>
      <c r="B1001" t="s">
        <v>15</v>
      </c>
      <c r="C1001">
        <v>4244.4980000000014</v>
      </c>
      <c r="D1001">
        <v>1922.5818717827999</v>
      </c>
    </row>
    <row r="1002" spans="1:4" x14ac:dyDescent="0.2">
      <c r="A1002" s="78"/>
      <c r="B1002" t="s">
        <v>16</v>
      </c>
      <c r="C1002">
        <v>36230.054252109992</v>
      </c>
      <c r="D1002">
        <v>2067.2079141071272</v>
      </c>
    </row>
    <row r="1003" spans="1:4" x14ac:dyDescent="0.2">
      <c r="A1003" s="78"/>
      <c r="B1003" t="s">
        <v>35</v>
      </c>
      <c r="C1003">
        <v>2232.1241340000001</v>
      </c>
      <c r="D1003">
        <v>843.94633612433131</v>
      </c>
    </row>
    <row r="1004" spans="1:4" x14ac:dyDescent="0.2">
      <c r="A1004" s="78"/>
      <c r="B1004" t="s">
        <v>40</v>
      </c>
      <c r="C1004">
        <v>1.4450574199999999</v>
      </c>
      <c r="D1004">
        <v>2738.7163880473522</v>
      </c>
    </row>
    <row r="1005" spans="1:4" x14ac:dyDescent="0.2">
      <c r="A1005" s="78">
        <v>45052</v>
      </c>
      <c r="B1005" t="s">
        <v>42</v>
      </c>
      <c r="C1005">
        <v>105.2927045</v>
      </c>
      <c r="D1005">
        <v>730.74615127278469</v>
      </c>
    </row>
    <row r="1006" spans="1:4" x14ac:dyDescent="0.2">
      <c r="A1006" s="78"/>
      <c r="B1006" t="s">
        <v>15</v>
      </c>
      <c r="C1006">
        <v>4244.4980000000014</v>
      </c>
      <c r="D1006">
        <v>1952.74344435072</v>
      </c>
    </row>
    <row r="1007" spans="1:4" x14ac:dyDescent="0.2">
      <c r="A1007" s="78"/>
      <c r="B1007" t="s">
        <v>16</v>
      </c>
      <c r="C1007">
        <v>36230.054252109992</v>
      </c>
      <c r="D1007">
        <v>2076.507806733101</v>
      </c>
    </row>
    <row r="1008" spans="1:4" x14ac:dyDescent="0.2">
      <c r="A1008" s="78"/>
      <c r="B1008" t="s">
        <v>35</v>
      </c>
      <c r="C1008">
        <v>2232.1241340000001</v>
      </c>
      <c r="D1008">
        <v>848.78933121538842</v>
      </c>
    </row>
    <row r="1009" spans="1:4" x14ac:dyDescent="0.2">
      <c r="A1009" s="78"/>
      <c r="B1009" t="s">
        <v>40</v>
      </c>
      <c r="C1009">
        <v>1.4450574199999999</v>
      </c>
      <c r="D1009">
        <v>2746.2024371749471</v>
      </c>
    </row>
    <row r="1010" spans="1:4" x14ac:dyDescent="0.2">
      <c r="A1010" s="78">
        <v>45051</v>
      </c>
      <c r="B1010" t="s">
        <v>42</v>
      </c>
      <c r="C1010">
        <v>105.2927045</v>
      </c>
      <c r="D1010">
        <v>761.03268483446175</v>
      </c>
    </row>
    <row r="1011" spans="1:4" x14ac:dyDescent="0.2">
      <c r="A1011" s="78"/>
      <c r="B1011" t="s">
        <v>15</v>
      </c>
      <c r="C1011">
        <v>4244.4980000000014</v>
      </c>
      <c r="D1011">
        <v>1985.68762491748</v>
      </c>
    </row>
    <row r="1012" spans="1:4" x14ac:dyDescent="0.2">
      <c r="A1012" s="78"/>
      <c r="B1012" t="s">
        <v>16</v>
      </c>
      <c r="C1012">
        <v>36230.054252109992</v>
      </c>
      <c r="D1012">
        <v>2119.8853260880669</v>
      </c>
    </row>
    <row r="1013" spans="1:4" x14ac:dyDescent="0.2">
      <c r="A1013" s="78"/>
      <c r="B1013" t="s">
        <v>35</v>
      </c>
      <c r="C1013">
        <v>2232.1241340000001</v>
      </c>
      <c r="D1013">
        <v>880.65018003679495</v>
      </c>
    </row>
    <row r="1014" spans="1:4" x14ac:dyDescent="0.2">
      <c r="A1014" s="78"/>
      <c r="B1014" t="s">
        <v>40</v>
      </c>
      <c r="C1014">
        <v>1.4450574199999999</v>
      </c>
      <c r="D1014">
        <v>2880.885208765244</v>
      </c>
    </row>
    <row r="1015" spans="1:4" x14ac:dyDescent="0.2">
      <c r="A1015" s="78">
        <v>45050</v>
      </c>
      <c r="B1015" t="s">
        <v>42</v>
      </c>
      <c r="C1015">
        <v>105.2927045</v>
      </c>
      <c r="D1015">
        <v>736.99753181337132</v>
      </c>
    </row>
    <row r="1016" spans="1:4" x14ac:dyDescent="0.2">
      <c r="A1016" s="78"/>
      <c r="B1016" t="s">
        <v>15</v>
      </c>
      <c r="C1016">
        <v>4244.4980000000014</v>
      </c>
      <c r="D1016">
        <v>1962.2490400667</v>
      </c>
    </row>
    <row r="1017" spans="1:4" x14ac:dyDescent="0.2">
      <c r="A1017" s="78"/>
      <c r="B1017" t="s">
        <v>16</v>
      </c>
      <c r="C1017">
        <v>36230.054252109992</v>
      </c>
      <c r="D1017">
        <v>2092.5954000232082</v>
      </c>
    </row>
    <row r="1018" spans="1:4" x14ac:dyDescent="0.2">
      <c r="A1018" s="78"/>
      <c r="B1018" t="s">
        <v>35</v>
      </c>
      <c r="C1018">
        <v>2232.1241340000001</v>
      </c>
      <c r="D1018">
        <v>865.41756227286271</v>
      </c>
    </row>
    <row r="1019" spans="1:4" x14ac:dyDescent="0.2">
      <c r="A1019" s="78"/>
      <c r="B1019" t="s">
        <v>40</v>
      </c>
      <c r="C1019">
        <v>1.4450574199999999</v>
      </c>
      <c r="D1019">
        <v>2712.9525272238711</v>
      </c>
    </row>
    <row r="1020" spans="1:4" x14ac:dyDescent="0.2">
      <c r="A1020" s="78">
        <v>45049</v>
      </c>
      <c r="B1020" t="s">
        <v>42</v>
      </c>
      <c r="C1020">
        <v>105.2927045</v>
      </c>
      <c r="D1020">
        <v>749.92984185304147</v>
      </c>
    </row>
    <row r="1021" spans="1:4" x14ac:dyDescent="0.2">
      <c r="A1021" s="78"/>
      <c r="B1021" t="s">
        <v>15</v>
      </c>
      <c r="C1021">
        <v>4244.4980000000014</v>
      </c>
      <c r="D1021">
        <v>1966.75253733466</v>
      </c>
    </row>
    <row r="1022" spans="1:4" x14ac:dyDescent="0.2">
      <c r="A1022" s="78"/>
      <c r="B1022" t="s">
        <v>16</v>
      </c>
      <c r="C1022">
        <v>36230.054252109992</v>
      </c>
      <c r="D1022">
        <v>2125.3372246519239</v>
      </c>
    </row>
    <row r="1023" spans="1:4" x14ac:dyDescent="0.2">
      <c r="A1023" s="78"/>
      <c r="B1023" t="s">
        <v>35</v>
      </c>
      <c r="C1023">
        <v>2232.1241340000001</v>
      </c>
      <c r="D1023">
        <v>879.09436719415567</v>
      </c>
    </row>
    <row r="1024" spans="1:4" x14ac:dyDescent="0.2">
      <c r="A1024" s="78"/>
      <c r="B1024" t="s">
        <v>40</v>
      </c>
      <c r="C1024">
        <v>1.4450574199999999</v>
      </c>
      <c r="D1024">
        <v>2750.9965765931611</v>
      </c>
    </row>
    <row r="1025" spans="1:4" x14ac:dyDescent="0.2">
      <c r="A1025" s="78">
        <v>45048</v>
      </c>
      <c r="B1025" t="s">
        <v>42</v>
      </c>
      <c r="C1025">
        <v>105.2927045</v>
      </c>
      <c r="D1025">
        <v>735.48044504497796</v>
      </c>
    </row>
    <row r="1026" spans="1:4" x14ac:dyDescent="0.2">
      <c r="A1026" s="78"/>
      <c r="B1026" t="s">
        <v>15</v>
      </c>
      <c r="C1026">
        <v>4244.4980000000014</v>
      </c>
      <c r="D1026">
        <v>1973.84216478904</v>
      </c>
    </row>
    <row r="1027" spans="1:4" x14ac:dyDescent="0.2">
      <c r="A1027" s="78"/>
      <c r="B1027" t="s">
        <v>16</v>
      </c>
      <c r="C1027">
        <v>36230.054252109992</v>
      </c>
      <c r="D1027">
        <v>2136.3421036310028</v>
      </c>
    </row>
    <row r="1028" spans="1:4" x14ac:dyDescent="0.2">
      <c r="A1028" s="78"/>
      <c r="B1028" t="s">
        <v>35</v>
      </c>
      <c r="C1028">
        <v>2232.1241340000001</v>
      </c>
      <c r="D1028">
        <v>874.02059278888419</v>
      </c>
    </row>
    <row r="1029" spans="1:4" x14ac:dyDescent="0.2">
      <c r="A1029" s="78"/>
      <c r="B1029" t="s">
        <v>40</v>
      </c>
      <c r="C1029">
        <v>1.4450574199999999</v>
      </c>
      <c r="D1029">
        <v>2703.4547106581999</v>
      </c>
    </row>
    <row r="1030" spans="1:4" x14ac:dyDescent="0.2">
      <c r="A1030" s="78">
        <v>45047</v>
      </c>
      <c r="B1030" t="s">
        <v>42</v>
      </c>
      <c r="C1030">
        <v>105.2927045</v>
      </c>
      <c r="D1030">
        <v>727.21090976089658</v>
      </c>
    </row>
    <row r="1031" spans="1:4" x14ac:dyDescent="0.2">
      <c r="A1031" s="78"/>
      <c r="B1031" t="s">
        <v>15</v>
      </c>
      <c r="C1031">
        <v>4244.4980000000014</v>
      </c>
      <c r="D1031">
        <v>1974.67209148298</v>
      </c>
    </row>
    <row r="1032" spans="1:4" x14ac:dyDescent="0.2">
      <c r="A1032" s="78"/>
      <c r="B1032" t="s">
        <v>16</v>
      </c>
      <c r="C1032">
        <v>36230.054252109992</v>
      </c>
      <c r="D1032">
        <v>2155.5650458160871</v>
      </c>
    </row>
    <row r="1033" spans="1:4" x14ac:dyDescent="0.2">
      <c r="A1033" s="78"/>
      <c r="B1033" t="s">
        <v>35</v>
      </c>
      <c r="C1033">
        <v>2232.1241340000001</v>
      </c>
      <c r="D1033">
        <v>864.50004764758205</v>
      </c>
    </row>
    <row r="1034" spans="1:4" x14ac:dyDescent="0.2">
      <c r="A1034" s="78"/>
      <c r="B1034" t="s">
        <v>40</v>
      </c>
      <c r="C1034">
        <v>1.4450574199999999</v>
      </c>
      <c r="D1034">
        <v>2648.3940152628529</v>
      </c>
    </row>
    <row r="1035" spans="1:4" x14ac:dyDescent="0.2">
      <c r="A1035" s="78">
        <v>45046</v>
      </c>
      <c r="B1035" t="s">
        <v>42</v>
      </c>
      <c r="C1035">
        <v>105.2927045</v>
      </c>
      <c r="D1035">
        <v>743.91832230501404</v>
      </c>
    </row>
    <row r="1036" spans="1:4" x14ac:dyDescent="0.2">
      <c r="A1036" s="78"/>
      <c r="B1036" t="s">
        <v>15</v>
      </c>
      <c r="C1036">
        <v>4244.4980000000014</v>
      </c>
      <c r="D1036">
        <v>2007.93117135636</v>
      </c>
    </row>
    <row r="1037" spans="1:4" x14ac:dyDescent="0.2">
      <c r="A1037" s="78"/>
      <c r="B1037" t="s">
        <v>16</v>
      </c>
      <c r="C1037">
        <v>36230.054252109992</v>
      </c>
      <c r="D1037">
        <v>2315.2906744946522</v>
      </c>
    </row>
    <row r="1038" spans="1:4" x14ac:dyDescent="0.2">
      <c r="A1038" s="78"/>
      <c r="B1038" t="s">
        <v>35</v>
      </c>
      <c r="C1038">
        <v>2232.1241340000001</v>
      </c>
      <c r="D1038">
        <v>888.96401655001546</v>
      </c>
    </row>
    <row r="1039" spans="1:4" x14ac:dyDescent="0.2">
      <c r="A1039" s="78"/>
      <c r="B1039" t="s">
        <v>40</v>
      </c>
      <c r="C1039">
        <v>1.4450574199999999</v>
      </c>
      <c r="D1039">
        <v>2724.4996057712278</v>
      </c>
    </row>
    <row r="1040" spans="1:4" x14ac:dyDescent="0.2">
      <c r="A1040" s="78">
        <v>45045</v>
      </c>
      <c r="B1040" t="s">
        <v>42</v>
      </c>
      <c r="C1040">
        <v>105.2927045</v>
      </c>
      <c r="D1040">
        <v>756.02129962232516</v>
      </c>
    </row>
    <row r="1041" spans="1:4" x14ac:dyDescent="0.2">
      <c r="A1041" s="78"/>
      <c r="B1041" t="s">
        <v>15</v>
      </c>
      <c r="C1041">
        <v>4244.4980000000014</v>
      </c>
      <c r="D1041">
        <v>2027.8489875611201</v>
      </c>
    </row>
    <row r="1042" spans="1:4" x14ac:dyDescent="0.2">
      <c r="A1042" s="78"/>
      <c r="B1042" t="s">
        <v>16</v>
      </c>
      <c r="C1042">
        <v>36230.054252109992</v>
      </c>
      <c r="D1042">
        <v>2206.2077779502288</v>
      </c>
    </row>
    <row r="1043" spans="1:4" x14ac:dyDescent="0.2">
      <c r="A1043" s="78"/>
      <c r="B1043" t="s">
        <v>35</v>
      </c>
      <c r="C1043">
        <v>2232.1241340000001</v>
      </c>
      <c r="D1043">
        <v>898.69181441715943</v>
      </c>
    </row>
    <row r="1044" spans="1:4" x14ac:dyDescent="0.2">
      <c r="A1044" s="78"/>
      <c r="B1044" t="s">
        <v>40</v>
      </c>
      <c r="C1044">
        <v>1.4450574199999999</v>
      </c>
      <c r="D1044">
        <v>2753.230117354748</v>
      </c>
    </row>
    <row r="1045" spans="1:4" x14ac:dyDescent="0.2">
      <c r="A1045" s="78">
        <v>45044</v>
      </c>
      <c r="B1045" t="s">
        <v>42</v>
      </c>
      <c r="C1045">
        <v>105.2927045</v>
      </c>
      <c r="D1045">
        <v>742.66947712475098</v>
      </c>
    </row>
    <row r="1046" spans="1:4" x14ac:dyDescent="0.2">
      <c r="A1046" s="78"/>
      <c r="B1046" t="s">
        <v>15</v>
      </c>
      <c r="C1046">
        <v>4244.4980000000014</v>
      </c>
      <c r="D1046">
        <v>2038.13463711954</v>
      </c>
    </row>
    <row r="1047" spans="1:4" x14ac:dyDescent="0.2">
      <c r="A1047" s="78"/>
      <c r="B1047" t="s">
        <v>16</v>
      </c>
      <c r="C1047">
        <v>36230.054252109992</v>
      </c>
      <c r="D1047">
        <v>2207.044692203453</v>
      </c>
    </row>
    <row r="1048" spans="1:4" x14ac:dyDescent="0.2">
      <c r="A1048" s="78"/>
      <c r="B1048" t="s">
        <v>35</v>
      </c>
      <c r="C1048">
        <v>2232.1241340000001</v>
      </c>
      <c r="D1048">
        <v>904.52111819930712</v>
      </c>
    </row>
    <row r="1049" spans="1:4" x14ac:dyDescent="0.2">
      <c r="A1049" s="78"/>
      <c r="B1049" t="s">
        <v>40</v>
      </c>
      <c r="C1049">
        <v>1.4450574199999999</v>
      </c>
      <c r="D1049">
        <v>2737.5573593683312</v>
      </c>
    </row>
    <row r="1050" spans="1:4" x14ac:dyDescent="0.2">
      <c r="A1050" s="78">
        <v>45043</v>
      </c>
      <c r="B1050" t="s">
        <v>42</v>
      </c>
      <c r="C1050">
        <v>105.2927045</v>
      </c>
      <c r="D1050">
        <v>755.93091952356349</v>
      </c>
    </row>
    <row r="1051" spans="1:4" x14ac:dyDescent="0.2">
      <c r="A1051" s="78"/>
      <c r="B1051" t="s">
        <v>15</v>
      </c>
      <c r="C1051">
        <v>4244.4980000000014</v>
      </c>
      <c r="D1051">
        <v>1982.70527084276</v>
      </c>
    </row>
    <row r="1052" spans="1:4" x14ac:dyDescent="0.2">
      <c r="A1052" s="78"/>
      <c r="B1052" t="s">
        <v>16</v>
      </c>
      <c r="C1052">
        <v>36230.054252109992</v>
      </c>
      <c r="D1052">
        <v>2224.2452727601849</v>
      </c>
    </row>
    <row r="1053" spans="1:4" x14ac:dyDescent="0.2">
      <c r="A1053" s="78"/>
      <c r="B1053" t="s">
        <v>35</v>
      </c>
      <c r="C1053">
        <v>2232.1241340000001</v>
      </c>
      <c r="D1053">
        <v>915.88321039364189</v>
      </c>
    </row>
    <row r="1054" spans="1:4" x14ac:dyDescent="0.2">
      <c r="A1054" s="78"/>
      <c r="B1054" t="s">
        <v>40</v>
      </c>
      <c r="C1054">
        <v>1.4450574199999999</v>
      </c>
      <c r="D1054">
        <v>2760.719744227757</v>
      </c>
    </row>
    <row r="1055" spans="1:4" x14ac:dyDescent="0.2">
      <c r="A1055" s="78">
        <v>45042</v>
      </c>
      <c r="B1055" t="s">
        <v>42</v>
      </c>
      <c r="C1055">
        <v>105.2927045</v>
      </c>
      <c r="D1055">
        <v>736.86341312516038</v>
      </c>
    </row>
    <row r="1056" spans="1:4" x14ac:dyDescent="0.2">
      <c r="A1056" s="78"/>
      <c r="B1056" t="s">
        <v>15</v>
      </c>
      <c r="C1056">
        <v>4244.4980000000014</v>
      </c>
      <c r="D1056">
        <v>1959.9672828318601</v>
      </c>
    </row>
    <row r="1057" spans="1:4" x14ac:dyDescent="0.2">
      <c r="A1057" s="78"/>
      <c r="B1057" t="s">
        <v>16</v>
      </c>
      <c r="C1057">
        <v>36230.054252109992</v>
      </c>
      <c r="D1057">
        <v>2187.7054515442192</v>
      </c>
    </row>
    <row r="1058" spans="1:4" x14ac:dyDescent="0.2">
      <c r="A1058" s="78"/>
      <c r="B1058" t="s">
        <v>35</v>
      </c>
      <c r="C1058">
        <v>2232.1241340000001</v>
      </c>
      <c r="D1058">
        <v>895.75420512936739</v>
      </c>
    </row>
    <row r="1059" spans="1:4" x14ac:dyDescent="0.2">
      <c r="A1059" s="78"/>
      <c r="B1059" t="s">
        <v>40</v>
      </c>
      <c r="C1059">
        <v>1.4450574199999999</v>
      </c>
      <c r="D1059">
        <v>2698.7738116184928</v>
      </c>
    </row>
    <row r="1060" spans="1:4" x14ac:dyDescent="0.2">
      <c r="A1060" s="78">
        <v>45041</v>
      </c>
      <c r="B1060" t="s">
        <v>42</v>
      </c>
      <c r="C1060">
        <v>105.2927045</v>
      </c>
      <c r="D1060">
        <v>766.03359236957351</v>
      </c>
    </row>
    <row r="1061" spans="1:4" x14ac:dyDescent="0.2">
      <c r="A1061" s="78"/>
      <c r="B1061" t="s">
        <v>15</v>
      </c>
      <c r="C1061">
        <v>4244.4980000000014</v>
      </c>
      <c r="D1061">
        <v>1995.3911840201799</v>
      </c>
    </row>
    <row r="1062" spans="1:4" x14ac:dyDescent="0.2">
      <c r="A1062" s="78"/>
      <c r="B1062" t="s">
        <v>16</v>
      </c>
      <c r="C1062">
        <v>36230.054252109992</v>
      </c>
      <c r="D1062">
        <v>2212.7121595901099</v>
      </c>
    </row>
    <row r="1063" spans="1:4" x14ac:dyDescent="0.2">
      <c r="A1063" s="78"/>
      <c r="B1063" t="s">
        <v>35</v>
      </c>
      <c r="C1063">
        <v>2232.1241340000001</v>
      </c>
      <c r="D1063">
        <v>881.87883044511386</v>
      </c>
    </row>
    <row r="1064" spans="1:4" x14ac:dyDescent="0.2">
      <c r="A1064" s="78"/>
      <c r="B1064" t="s">
        <v>40</v>
      </c>
      <c r="C1064">
        <v>1.4450574199999999</v>
      </c>
      <c r="D1064">
        <v>2703.0741552635118</v>
      </c>
    </row>
    <row r="1065" spans="1:4" x14ac:dyDescent="0.2">
      <c r="A1065" s="78">
        <v>45040</v>
      </c>
      <c r="B1065" t="s">
        <v>42</v>
      </c>
      <c r="C1065">
        <v>105.2927045</v>
      </c>
      <c r="D1065">
        <v>744.55620972619704</v>
      </c>
    </row>
    <row r="1066" spans="1:4" x14ac:dyDescent="0.2">
      <c r="A1066" s="78"/>
      <c r="B1066" t="s">
        <v>15</v>
      </c>
      <c r="C1066">
        <v>4244.4980000000014</v>
      </c>
      <c r="D1066">
        <v>1958.30178426164</v>
      </c>
    </row>
    <row r="1067" spans="1:4" x14ac:dyDescent="0.2">
      <c r="A1067" s="78"/>
      <c r="B1067" t="s">
        <v>16</v>
      </c>
      <c r="C1067">
        <v>36230.054252109992</v>
      </c>
      <c r="D1067">
        <v>2173.7789809902511</v>
      </c>
    </row>
    <row r="1068" spans="1:4" x14ac:dyDescent="0.2">
      <c r="A1068" s="78"/>
      <c r="B1068" t="s">
        <v>35</v>
      </c>
      <c r="C1068">
        <v>2232.1241340000001</v>
      </c>
      <c r="D1068">
        <v>857.2488584708351</v>
      </c>
    </row>
    <row r="1069" spans="1:4" x14ac:dyDescent="0.2">
      <c r="A1069" s="78"/>
      <c r="B1069" t="s">
        <v>40</v>
      </c>
      <c r="C1069">
        <v>1.4450574199999999</v>
      </c>
      <c r="D1069">
        <v>2662.7072984301331</v>
      </c>
    </row>
    <row r="1070" spans="1:4" x14ac:dyDescent="0.2">
      <c r="A1070" s="78">
        <v>45039</v>
      </c>
      <c r="B1070" t="s">
        <v>42</v>
      </c>
      <c r="C1070">
        <v>105.2927045</v>
      </c>
      <c r="D1070">
        <v>746.41839754529735</v>
      </c>
    </row>
    <row r="1071" spans="1:4" x14ac:dyDescent="0.2">
      <c r="A1071" s="78"/>
      <c r="B1071" t="s">
        <v>15</v>
      </c>
      <c r="C1071">
        <v>4244.4980000000014</v>
      </c>
      <c r="D1071">
        <v>1975.27969137168</v>
      </c>
    </row>
    <row r="1072" spans="1:4" x14ac:dyDescent="0.2">
      <c r="A1072" s="78"/>
      <c r="B1072" t="s">
        <v>16</v>
      </c>
      <c r="C1072">
        <v>36230.054252109992</v>
      </c>
      <c r="D1072">
        <v>2191.523736961849</v>
      </c>
    </row>
    <row r="1073" spans="1:4" x14ac:dyDescent="0.2">
      <c r="A1073" s="78"/>
      <c r="B1073" t="s">
        <v>35</v>
      </c>
      <c r="C1073">
        <v>2232.1241340000001</v>
      </c>
      <c r="D1073">
        <v>868.51012561803702</v>
      </c>
    </row>
    <row r="1074" spans="1:4" x14ac:dyDescent="0.2">
      <c r="A1074" s="78"/>
      <c r="B1074" t="s">
        <v>40</v>
      </c>
      <c r="C1074">
        <v>1.4450574199999999</v>
      </c>
      <c r="D1074">
        <v>2693.065570652996</v>
      </c>
    </row>
    <row r="1075" spans="1:4" x14ac:dyDescent="0.2">
      <c r="A1075" s="78">
        <v>45038</v>
      </c>
      <c r="B1075" t="s">
        <v>42</v>
      </c>
      <c r="C1075">
        <v>105.2927045</v>
      </c>
      <c r="D1075">
        <v>758.26934098048196</v>
      </c>
    </row>
    <row r="1076" spans="1:4" x14ac:dyDescent="0.2">
      <c r="A1076" s="78"/>
      <c r="B1076" t="s">
        <v>15</v>
      </c>
      <c r="C1076">
        <v>4244.4980000000014</v>
      </c>
      <c r="D1076">
        <v>2011.9629351166</v>
      </c>
    </row>
    <row r="1077" spans="1:4" x14ac:dyDescent="0.2">
      <c r="A1077" s="78"/>
      <c r="B1077" t="s">
        <v>16</v>
      </c>
      <c r="C1077">
        <v>36230.054252109992</v>
      </c>
      <c r="D1077">
        <v>2223.6572589796729</v>
      </c>
    </row>
    <row r="1078" spans="1:4" x14ac:dyDescent="0.2">
      <c r="A1078" s="78"/>
      <c r="B1078" t="s">
        <v>35</v>
      </c>
      <c r="C1078">
        <v>2232.1241340000001</v>
      </c>
      <c r="D1078">
        <v>885.98439868602145</v>
      </c>
    </row>
    <row r="1079" spans="1:4" x14ac:dyDescent="0.2">
      <c r="A1079" s="78"/>
      <c r="B1079" t="s">
        <v>40</v>
      </c>
      <c r="C1079">
        <v>1.4450574199999999</v>
      </c>
      <c r="D1079">
        <v>2713.1550274697579</v>
      </c>
    </row>
    <row r="1080" spans="1:4" x14ac:dyDescent="0.2">
      <c r="A1080" s="78">
        <v>45037</v>
      </c>
      <c r="B1080" t="s">
        <v>42</v>
      </c>
      <c r="C1080">
        <v>105.2927045</v>
      </c>
      <c r="D1080">
        <v>749.47693160219694</v>
      </c>
    </row>
    <row r="1081" spans="1:4" x14ac:dyDescent="0.2">
      <c r="A1081" s="78"/>
      <c r="B1081" t="s">
        <v>15</v>
      </c>
      <c r="C1081">
        <v>4244.4980000000014</v>
      </c>
      <c r="D1081">
        <v>1909.08339190826</v>
      </c>
    </row>
    <row r="1082" spans="1:4" x14ac:dyDescent="0.2">
      <c r="A1082" s="78"/>
      <c r="B1082" t="s">
        <v>16</v>
      </c>
      <c r="C1082">
        <v>36230.054252109992</v>
      </c>
      <c r="D1082">
        <v>2163.6204360785009</v>
      </c>
    </row>
    <row r="1083" spans="1:4" x14ac:dyDescent="0.2">
      <c r="A1083" s="78"/>
      <c r="B1083" t="s">
        <v>35</v>
      </c>
      <c r="C1083">
        <v>2232.1241340000001</v>
      </c>
      <c r="D1083">
        <v>854.86635613392741</v>
      </c>
    </row>
    <row r="1084" spans="1:4" x14ac:dyDescent="0.2">
      <c r="A1084" s="78"/>
      <c r="B1084" t="s">
        <v>40</v>
      </c>
      <c r="C1084">
        <v>1.4450574199999999</v>
      </c>
      <c r="D1084">
        <v>2673.5726076148808</v>
      </c>
    </row>
    <row r="1085" spans="1:4" x14ac:dyDescent="0.2">
      <c r="A1085" s="78">
        <v>45036</v>
      </c>
      <c r="B1085" t="s">
        <v>42</v>
      </c>
      <c r="C1085">
        <v>105.2927045</v>
      </c>
      <c r="D1085">
        <v>790.79931039742087</v>
      </c>
    </row>
    <row r="1086" spans="1:4" x14ac:dyDescent="0.2">
      <c r="A1086" s="78"/>
      <c r="B1086" t="s">
        <v>15</v>
      </c>
      <c r="C1086">
        <v>4244.4980000000014</v>
      </c>
      <c r="D1086">
        <v>2014.5175286828801</v>
      </c>
    </row>
    <row r="1087" spans="1:4" x14ac:dyDescent="0.2">
      <c r="A1087" s="78"/>
      <c r="B1087" t="s">
        <v>16</v>
      </c>
      <c r="C1087">
        <v>36230.054252109992</v>
      </c>
      <c r="D1087">
        <v>2247.2303437788082</v>
      </c>
    </row>
    <row r="1088" spans="1:4" x14ac:dyDescent="0.2">
      <c r="A1088" s="78"/>
      <c r="B1088" t="s">
        <v>35</v>
      </c>
      <c r="C1088">
        <v>2232.1241340000001</v>
      </c>
      <c r="D1088">
        <v>894.52263063843282</v>
      </c>
    </row>
    <row r="1089" spans="1:4" x14ac:dyDescent="0.2">
      <c r="A1089" s="78"/>
      <c r="B1089" t="s">
        <v>40</v>
      </c>
      <c r="C1089">
        <v>1.4450574199999999</v>
      </c>
      <c r="D1089">
        <v>2808.3760314565989</v>
      </c>
    </row>
    <row r="1090" spans="1:4" x14ac:dyDescent="0.2">
      <c r="A1090" s="78">
        <v>45035</v>
      </c>
      <c r="B1090" t="s">
        <v>42</v>
      </c>
      <c r="C1090">
        <v>105.2927045</v>
      </c>
      <c r="D1090">
        <v>817.82723165218033</v>
      </c>
    </row>
    <row r="1091" spans="1:4" x14ac:dyDescent="0.2">
      <c r="A1091" s="78"/>
      <c r="B1091" t="s">
        <v>15</v>
      </c>
      <c r="C1091">
        <v>4244.4980000000014</v>
      </c>
      <c r="D1091">
        <v>2083.7950790244199</v>
      </c>
    </row>
    <row r="1092" spans="1:4" x14ac:dyDescent="0.2">
      <c r="A1092" s="78"/>
      <c r="B1092" t="s">
        <v>16</v>
      </c>
      <c r="C1092">
        <v>36230.054252109992</v>
      </c>
      <c r="D1092">
        <v>2261.5839666724091</v>
      </c>
    </row>
    <row r="1093" spans="1:4" x14ac:dyDescent="0.2">
      <c r="A1093" s="78"/>
      <c r="B1093" t="s">
        <v>35</v>
      </c>
      <c r="C1093">
        <v>2232.1241340000001</v>
      </c>
      <c r="D1093">
        <v>926.88887700625969</v>
      </c>
    </row>
    <row r="1094" spans="1:4" x14ac:dyDescent="0.2">
      <c r="A1094" s="78"/>
      <c r="B1094" t="s">
        <v>40</v>
      </c>
      <c r="C1094">
        <v>1.4450574199999999</v>
      </c>
      <c r="D1094">
        <v>2798.246645132373</v>
      </c>
    </row>
    <row r="1095" spans="1:4" x14ac:dyDescent="0.2">
      <c r="A1095" s="78">
        <v>45034</v>
      </c>
      <c r="B1095" t="s">
        <v>15</v>
      </c>
      <c r="C1095">
        <v>4244.4980000000014</v>
      </c>
      <c r="D1095">
        <v>2255.4154133572201</v>
      </c>
    </row>
    <row r="1096" spans="1:4" x14ac:dyDescent="0.2">
      <c r="A1096" s="78"/>
      <c r="B1096" t="s">
        <v>16</v>
      </c>
      <c r="C1096">
        <v>36230.054252109992</v>
      </c>
      <c r="D1096">
        <v>2464.9407250857048</v>
      </c>
    </row>
    <row r="1097" spans="1:4" x14ac:dyDescent="0.2">
      <c r="A1097" s="78"/>
      <c r="B1097" t="s">
        <v>35</v>
      </c>
      <c r="C1097">
        <v>2232.1241340000001</v>
      </c>
      <c r="D1097">
        <v>990.20068969434624</v>
      </c>
    </row>
    <row r="1098" spans="1:4" x14ac:dyDescent="0.2">
      <c r="A1098" s="78"/>
      <c r="B1098" t="s">
        <v>40</v>
      </c>
      <c r="C1098">
        <v>1.4450574199999999</v>
      </c>
      <c r="D1098">
        <v>3039.3586559070268</v>
      </c>
    </row>
    <row r="1099" spans="1:4" x14ac:dyDescent="0.2">
      <c r="A1099" s="78">
        <v>45033</v>
      </c>
      <c r="B1099" t="s">
        <v>15</v>
      </c>
      <c r="C1099">
        <v>4244.4980000000014</v>
      </c>
      <c r="D1099">
        <v>2170.7400976210802</v>
      </c>
    </row>
    <row r="1100" spans="1:4" x14ac:dyDescent="0.2">
      <c r="A1100" s="78"/>
      <c r="B1100" t="s">
        <v>16</v>
      </c>
      <c r="C1100">
        <v>36230.054252109992</v>
      </c>
      <c r="D1100">
        <v>2415.8953760435388</v>
      </c>
    </row>
    <row r="1101" spans="1:4" x14ac:dyDescent="0.2">
      <c r="A1101" s="78"/>
      <c r="B1101" t="s">
        <v>35</v>
      </c>
      <c r="C1101">
        <v>2232.1241340000001</v>
      </c>
      <c r="D1101">
        <v>970.12436255963416</v>
      </c>
    </row>
    <row r="1102" spans="1:4" x14ac:dyDescent="0.2">
      <c r="A1102" s="78"/>
      <c r="B1102" t="s">
        <v>40</v>
      </c>
      <c r="C1102">
        <v>1.4450574199999999</v>
      </c>
      <c r="D1102">
        <v>3002.1583275026651</v>
      </c>
    </row>
    <row r="1103" spans="1:4" x14ac:dyDescent="0.2">
      <c r="A1103" s="78">
        <v>45032</v>
      </c>
      <c r="B1103" t="s">
        <v>15</v>
      </c>
      <c r="C1103">
        <v>4244.4980000000014</v>
      </c>
      <c r="D1103">
        <v>2212.1262451500011</v>
      </c>
    </row>
    <row r="1104" spans="1:4" x14ac:dyDescent="0.2">
      <c r="A1104" s="78"/>
      <c r="B1104" t="s">
        <v>16</v>
      </c>
      <c r="C1104">
        <v>36230.054252109992</v>
      </c>
      <c r="D1104">
        <v>2505.786125948991</v>
      </c>
    </row>
    <row r="1105" spans="1:4" x14ac:dyDescent="0.2">
      <c r="A1105" s="78"/>
      <c r="B1105" t="s">
        <v>35</v>
      </c>
      <c r="C1105">
        <v>2232.1241340000001</v>
      </c>
      <c r="D1105">
        <v>1008.398260266712</v>
      </c>
    </row>
    <row r="1106" spans="1:4" x14ac:dyDescent="0.2">
      <c r="A1106" s="78"/>
      <c r="B1106" t="s">
        <v>40</v>
      </c>
      <c r="C1106">
        <v>1.4450574199999999</v>
      </c>
      <c r="D1106">
        <v>3061.4969002642242</v>
      </c>
    </row>
    <row r="1107" spans="1:4" x14ac:dyDescent="0.2">
      <c r="A1107" s="78">
        <v>45031</v>
      </c>
      <c r="B1107" t="s">
        <v>15</v>
      </c>
      <c r="C1107">
        <v>4244.4980000000014</v>
      </c>
      <c r="D1107">
        <v>2210.559303823341</v>
      </c>
    </row>
    <row r="1108" spans="1:4" x14ac:dyDescent="0.2">
      <c r="A1108" s="78"/>
      <c r="B1108" t="s">
        <v>16</v>
      </c>
      <c r="C1108">
        <v>36230.054252109992</v>
      </c>
      <c r="D1108">
        <v>2476.8567899292239</v>
      </c>
    </row>
    <row r="1109" spans="1:4" x14ac:dyDescent="0.2">
      <c r="A1109" s="78"/>
      <c r="B1109" t="s">
        <v>35</v>
      </c>
      <c r="C1109">
        <v>2232.1241340000001</v>
      </c>
      <c r="D1109">
        <v>1013.7371663766201</v>
      </c>
    </row>
    <row r="1110" spans="1:4" x14ac:dyDescent="0.2">
      <c r="A1110" s="78"/>
      <c r="B1110" t="s">
        <v>40</v>
      </c>
      <c r="C1110">
        <v>1.4450574199999999</v>
      </c>
      <c r="D1110">
        <v>3024.7455383825959</v>
      </c>
    </row>
    <row r="1111" spans="1:4" x14ac:dyDescent="0.2">
      <c r="A1111" s="78">
        <v>45030</v>
      </c>
      <c r="B1111" t="s">
        <v>15</v>
      </c>
      <c r="C1111">
        <v>4244.4980000000014</v>
      </c>
      <c r="D1111">
        <v>2223.02513977946</v>
      </c>
    </row>
    <row r="1112" spans="1:4" x14ac:dyDescent="0.2">
      <c r="A1112" s="78"/>
      <c r="B1112" t="s">
        <v>16</v>
      </c>
      <c r="C1112">
        <v>36230.054252109992</v>
      </c>
      <c r="D1112">
        <v>2444.8022494296702</v>
      </c>
    </row>
    <row r="1113" spans="1:4" x14ac:dyDescent="0.2">
      <c r="A1113" s="78"/>
      <c r="B1113" t="s">
        <v>35</v>
      </c>
      <c r="C1113">
        <v>2232.1241340000001</v>
      </c>
      <c r="D1113">
        <v>979.72365704038373</v>
      </c>
    </row>
    <row r="1114" spans="1:4" x14ac:dyDescent="0.2">
      <c r="A1114" s="78"/>
      <c r="B1114" t="s">
        <v>40</v>
      </c>
      <c r="C1114">
        <v>1.4450574199999999</v>
      </c>
      <c r="D1114">
        <v>3038.877993249183</v>
      </c>
    </row>
    <row r="1115" spans="1:4" x14ac:dyDescent="0.2">
      <c r="A1115" s="78">
        <v>45029</v>
      </c>
      <c r="B1115" t="s">
        <v>15</v>
      </c>
      <c r="C1115">
        <v>4244.4980000000014</v>
      </c>
      <c r="D1115">
        <v>2181.2480739847401</v>
      </c>
    </row>
    <row r="1116" spans="1:4" x14ac:dyDescent="0.2">
      <c r="A1116" s="78"/>
      <c r="B1116" t="s">
        <v>16</v>
      </c>
      <c r="C1116">
        <v>36230.054252109992</v>
      </c>
      <c r="D1116">
        <v>2419.5335980915352</v>
      </c>
    </row>
    <row r="1117" spans="1:4" x14ac:dyDescent="0.2">
      <c r="A1117" s="78"/>
      <c r="B1117" t="s">
        <v>35</v>
      </c>
      <c r="C1117">
        <v>2232.1241340000001</v>
      </c>
      <c r="D1117">
        <v>951.23039157870176</v>
      </c>
    </row>
    <row r="1118" spans="1:4" x14ac:dyDescent="0.2">
      <c r="A1118" s="78"/>
      <c r="B1118" t="s">
        <v>40</v>
      </c>
      <c r="C1118">
        <v>1.4450574199999999</v>
      </c>
      <c r="D1118">
        <v>2908.5904990447389</v>
      </c>
    </row>
    <row r="1119" spans="1:4" x14ac:dyDescent="0.2">
      <c r="A1119" s="78">
        <v>45028</v>
      </c>
      <c r="B1119" t="s">
        <v>15</v>
      </c>
      <c r="C1119">
        <v>4244.4980000000014</v>
      </c>
      <c r="D1119">
        <v>2145.4872021002002</v>
      </c>
    </row>
    <row r="1120" spans="1:4" x14ac:dyDescent="0.2">
      <c r="A1120" s="78"/>
      <c r="B1120" t="s">
        <v>16</v>
      </c>
      <c r="C1120">
        <v>36230.054252109992</v>
      </c>
      <c r="D1120">
        <v>2326.306060189464</v>
      </c>
    </row>
    <row r="1121" spans="1:4" x14ac:dyDescent="0.2">
      <c r="A1121" s="78"/>
      <c r="B1121" t="s">
        <v>35</v>
      </c>
      <c r="C1121">
        <v>2232.1241340000001</v>
      </c>
      <c r="D1121">
        <v>904.91165063779181</v>
      </c>
    </row>
    <row r="1122" spans="1:4" x14ac:dyDescent="0.2">
      <c r="A1122" s="78"/>
      <c r="B1122" t="s">
        <v>40</v>
      </c>
      <c r="C1122">
        <v>1.4450574199999999</v>
      </c>
      <c r="D1122">
        <v>2774.8325392760021</v>
      </c>
    </row>
    <row r="1123" spans="1:4" x14ac:dyDescent="0.2">
      <c r="A1123" s="78">
        <v>45027</v>
      </c>
      <c r="B1123" t="s">
        <v>15</v>
      </c>
      <c r="C1123">
        <v>4244.4980000000014</v>
      </c>
      <c r="D1123">
        <v>2196.473852320381</v>
      </c>
    </row>
    <row r="1124" spans="1:4" x14ac:dyDescent="0.2">
      <c r="A1124" s="78"/>
      <c r="B1124" t="s">
        <v>16</v>
      </c>
      <c r="C1124">
        <v>36230.054252109992</v>
      </c>
      <c r="D1124">
        <v>2369.2835997454858</v>
      </c>
    </row>
    <row r="1125" spans="1:4" x14ac:dyDescent="0.2">
      <c r="A1125" s="78"/>
      <c r="B1125" t="s">
        <v>35</v>
      </c>
      <c r="C1125">
        <v>2232.1241340000001</v>
      </c>
      <c r="D1125">
        <v>896.56502422104279</v>
      </c>
    </row>
    <row r="1126" spans="1:4" x14ac:dyDescent="0.2">
      <c r="A1126" s="78"/>
      <c r="B1126" t="s">
        <v>40</v>
      </c>
      <c r="C1126">
        <v>1.4450574199999999</v>
      </c>
      <c r="D1126">
        <v>2735.4054190484239</v>
      </c>
    </row>
    <row r="1127" spans="1:4" x14ac:dyDescent="0.2">
      <c r="A1127" s="78">
        <v>45026</v>
      </c>
      <c r="B1127" t="s">
        <v>15</v>
      </c>
      <c r="C1127">
        <v>4244.4980000000014</v>
      </c>
      <c r="D1127">
        <v>2199.65395755692</v>
      </c>
    </row>
    <row r="1128" spans="1:4" x14ac:dyDescent="0.2">
      <c r="A1128" s="78"/>
      <c r="B1128" t="s">
        <v>16</v>
      </c>
      <c r="C1128">
        <v>36230.054252109992</v>
      </c>
      <c r="D1128">
        <v>2398.0701893515011</v>
      </c>
    </row>
    <row r="1129" spans="1:4" x14ac:dyDescent="0.2">
      <c r="A1129" s="78"/>
      <c r="B1129" t="s">
        <v>35</v>
      </c>
      <c r="C1129">
        <v>2232.1241340000001</v>
      </c>
      <c r="D1129">
        <v>886.56046528252409</v>
      </c>
    </row>
    <row r="1130" spans="1:4" x14ac:dyDescent="0.2">
      <c r="A1130" s="78"/>
      <c r="B1130" t="s">
        <v>40</v>
      </c>
      <c r="C1130">
        <v>1.4450574199999999</v>
      </c>
      <c r="D1130">
        <v>2759.88924348624</v>
      </c>
    </row>
    <row r="1131" spans="1:4" x14ac:dyDescent="0.2">
      <c r="A1131" s="78">
        <v>45025</v>
      </c>
      <c r="B1131" t="s">
        <v>15</v>
      </c>
      <c r="C1131">
        <v>4244.4980000000014</v>
      </c>
      <c r="D1131">
        <v>2147.3125060201201</v>
      </c>
    </row>
    <row r="1132" spans="1:4" x14ac:dyDescent="0.2">
      <c r="A1132" s="78"/>
      <c r="B1132" t="s">
        <v>16</v>
      </c>
      <c r="C1132">
        <v>36230.054252109992</v>
      </c>
      <c r="D1132">
        <v>2346.182230252713</v>
      </c>
    </row>
    <row r="1133" spans="1:4" x14ac:dyDescent="0.2">
      <c r="A1133" s="78"/>
      <c r="B1133" t="s">
        <v>35</v>
      </c>
      <c r="C1133">
        <v>2232.1241340000001</v>
      </c>
      <c r="D1133">
        <v>870.2307361854896</v>
      </c>
    </row>
    <row r="1134" spans="1:4" x14ac:dyDescent="0.2">
      <c r="A1134" s="78"/>
      <c r="B1134" t="s">
        <v>40</v>
      </c>
      <c r="C1134">
        <v>1.4450574199999999</v>
      </c>
      <c r="D1134">
        <v>2687.7206574110892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C368"/>
  <sheetViews>
    <sheetView workbookViewId="0">
      <selection activeCell="C2" sqref="C2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</cols>
  <sheetData>
    <row r="1" spans="1:3" x14ac:dyDescent="0.2">
      <c r="A1" t="s">
        <v>17</v>
      </c>
      <c r="B1" t="s">
        <v>83</v>
      </c>
      <c r="C1" t="s">
        <v>82</v>
      </c>
    </row>
    <row r="2" spans="1:3" x14ac:dyDescent="0.2">
      <c r="A2" s="78">
        <v>45392</v>
      </c>
      <c r="B2">
        <v>15846.72661073366</v>
      </c>
      <c r="C2">
        <v>12084.38</v>
      </c>
    </row>
    <row r="3" spans="1:3" x14ac:dyDescent="0.2">
      <c r="A3" s="78">
        <v>45391</v>
      </c>
      <c r="B3">
        <v>15967.64412229779</v>
      </c>
      <c r="C3">
        <v>12084.38</v>
      </c>
    </row>
    <row r="4" spans="1:3" x14ac:dyDescent="0.2">
      <c r="A4" s="78">
        <v>45390</v>
      </c>
      <c r="B4">
        <v>16477.391104747039</v>
      </c>
      <c r="C4">
        <v>12084.38</v>
      </c>
    </row>
    <row r="5" spans="1:3" x14ac:dyDescent="0.2">
      <c r="A5" s="78">
        <v>45389</v>
      </c>
      <c r="B5">
        <v>15922.128083149941</v>
      </c>
      <c r="C5">
        <v>12084.38</v>
      </c>
    </row>
    <row r="6" spans="1:3" x14ac:dyDescent="0.2">
      <c r="A6" s="78">
        <v>45388</v>
      </c>
      <c r="B6">
        <v>15923.414353000629</v>
      </c>
      <c r="C6">
        <v>12084.38</v>
      </c>
    </row>
    <row r="7" spans="1:3" x14ac:dyDescent="0.2">
      <c r="A7" s="78">
        <v>45387</v>
      </c>
      <c r="B7">
        <v>15766.353115084979</v>
      </c>
      <c r="C7">
        <v>12084.38</v>
      </c>
    </row>
    <row r="8" spans="1:3" x14ac:dyDescent="0.2">
      <c r="A8" s="78">
        <v>45386</v>
      </c>
      <c r="B8">
        <v>15865.293281397901</v>
      </c>
      <c r="C8">
        <v>12084.38</v>
      </c>
    </row>
    <row r="9" spans="1:3" x14ac:dyDescent="0.2">
      <c r="A9" s="78">
        <v>45385</v>
      </c>
      <c r="B9">
        <v>15454.691850456171</v>
      </c>
      <c r="C9">
        <v>12084.38</v>
      </c>
    </row>
    <row r="10" spans="1:3" x14ac:dyDescent="0.2">
      <c r="A10" s="78">
        <v>45384</v>
      </c>
      <c r="B10">
        <v>15628.39592822707</v>
      </c>
      <c r="C10">
        <v>12084.38</v>
      </c>
    </row>
    <row r="11" spans="1:3" x14ac:dyDescent="0.2">
      <c r="A11" s="78">
        <v>45383</v>
      </c>
      <c r="B11">
        <v>16480.621473743031</v>
      </c>
      <c r="C11">
        <v>12084.38</v>
      </c>
    </row>
    <row r="12" spans="1:3" x14ac:dyDescent="0.2">
      <c r="A12" s="78">
        <v>45382</v>
      </c>
      <c r="B12">
        <v>17152.75965003555</v>
      </c>
      <c r="C12">
        <v>12084.38</v>
      </c>
    </row>
    <row r="13" spans="1:3" x14ac:dyDescent="0.2">
      <c r="A13" s="78">
        <v>45381</v>
      </c>
      <c r="B13">
        <v>16885.294168204469</v>
      </c>
      <c r="C13">
        <v>12084.38</v>
      </c>
    </row>
    <row r="14" spans="1:3" x14ac:dyDescent="0.2">
      <c r="A14" s="78">
        <v>45380</v>
      </c>
      <c r="B14">
        <v>17218.471402921248</v>
      </c>
      <c r="C14">
        <v>12084.38</v>
      </c>
    </row>
    <row r="15" spans="1:3" x14ac:dyDescent="0.2">
      <c r="A15" s="78">
        <v>45379</v>
      </c>
      <c r="B15">
        <v>17130.414550736768</v>
      </c>
      <c r="C15">
        <v>12084.38</v>
      </c>
    </row>
    <row r="16" spans="1:3" x14ac:dyDescent="0.2">
      <c r="A16" s="78">
        <v>45378</v>
      </c>
      <c r="B16">
        <v>16782.47822208485</v>
      </c>
      <c r="C16">
        <v>12084.38</v>
      </c>
    </row>
    <row r="17" spans="1:3" x14ac:dyDescent="0.2">
      <c r="A17" s="78">
        <v>45377</v>
      </c>
      <c r="B17">
        <v>17562.387656364779</v>
      </c>
      <c r="C17">
        <v>12084.38</v>
      </c>
    </row>
    <row r="18" spans="1:3" x14ac:dyDescent="0.2">
      <c r="A18" s="78">
        <v>45376</v>
      </c>
      <c r="B18">
        <v>17380.77704715055</v>
      </c>
      <c r="C18">
        <v>12084.38</v>
      </c>
    </row>
    <row r="19" spans="1:3" x14ac:dyDescent="0.2">
      <c r="A19" s="78">
        <v>45375</v>
      </c>
      <c r="B19">
        <v>16732.179677034779</v>
      </c>
      <c r="C19">
        <v>12084.38</v>
      </c>
    </row>
    <row r="20" spans="1:3" x14ac:dyDescent="0.2">
      <c r="A20" s="78">
        <v>45374</v>
      </c>
      <c r="B20">
        <v>16302.038591817231</v>
      </c>
      <c r="C20">
        <v>12084.38</v>
      </c>
    </row>
    <row r="21" spans="1:3" x14ac:dyDescent="0.2">
      <c r="A21" s="78">
        <v>45373</v>
      </c>
      <c r="B21">
        <v>16147.3063083257</v>
      </c>
      <c r="C21">
        <v>12084.38</v>
      </c>
    </row>
    <row r="22" spans="1:3" x14ac:dyDescent="0.2">
      <c r="A22" s="78">
        <v>45372</v>
      </c>
      <c r="B22">
        <v>16836.62087441286</v>
      </c>
      <c r="C22">
        <v>12084.38</v>
      </c>
    </row>
    <row r="23" spans="1:3" x14ac:dyDescent="0.2">
      <c r="A23" s="78">
        <v>45371</v>
      </c>
      <c r="B23">
        <v>16588.789790804662</v>
      </c>
      <c r="C23">
        <v>12084.38</v>
      </c>
    </row>
    <row r="24" spans="1:3" x14ac:dyDescent="0.2">
      <c r="A24" s="78">
        <v>45370</v>
      </c>
      <c r="B24">
        <v>15444.61691712735</v>
      </c>
      <c r="C24">
        <v>12084.38</v>
      </c>
    </row>
    <row r="25" spans="1:3" x14ac:dyDescent="0.2">
      <c r="A25" s="78">
        <v>45369</v>
      </c>
      <c r="B25">
        <v>17145.48051589328</v>
      </c>
      <c r="C25">
        <v>12084.38</v>
      </c>
    </row>
    <row r="26" spans="1:3" x14ac:dyDescent="0.2">
      <c r="A26" s="78">
        <v>45368</v>
      </c>
      <c r="B26">
        <v>17089.592187954731</v>
      </c>
      <c r="C26">
        <v>12084.38</v>
      </c>
    </row>
    <row r="27" spans="1:3" x14ac:dyDescent="0.2">
      <c r="A27" s="78">
        <v>45367</v>
      </c>
      <c r="B27">
        <v>16395.949765043672</v>
      </c>
      <c r="C27">
        <v>12084.38</v>
      </c>
    </row>
    <row r="28" spans="1:3" x14ac:dyDescent="0.2">
      <c r="A28" s="78">
        <v>45366</v>
      </c>
      <c r="B28">
        <v>17597.46511288944</v>
      </c>
      <c r="C28">
        <v>12084.38</v>
      </c>
    </row>
    <row r="29" spans="1:3" x14ac:dyDescent="0.2">
      <c r="A29" s="78">
        <v>45365</v>
      </c>
      <c r="B29">
        <v>18567.383130602509</v>
      </c>
      <c r="C29">
        <v>12084.38</v>
      </c>
    </row>
    <row r="30" spans="1:3" x14ac:dyDescent="0.2">
      <c r="A30" s="78">
        <v>45364</v>
      </c>
      <c r="B30">
        <v>19257.31695295528</v>
      </c>
      <c r="C30">
        <v>12084.38</v>
      </c>
    </row>
    <row r="31" spans="1:3" x14ac:dyDescent="0.2">
      <c r="A31" s="78">
        <v>45363</v>
      </c>
      <c r="B31">
        <v>19291.2571991121</v>
      </c>
      <c r="C31">
        <v>12084.38</v>
      </c>
    </row>
    <row r="32" spans="1:3" x14ac:dyDescent="0.2">
      <c r="A32" s="78">
        <v>45362</v>
      </c>
      <c r="B32">
        <v>19612.843270664569</v>
      </c>
      <c r="C32">
        <v>12084.38</v>
      </c>
    </row>
    <row r="33" spans="1:3" x14ac:dyDescent="0.2">
      <c r="A33" s="78">
        <v>45361</v>
      </c>
      <c r="B33">
        <v>17730.58766639583</v>
      </c>
      <c r="C33">
        <v>12084.38</v>
      </c>
    </row>
    <row r="34" spans="1:3" x14ac:dyDescent="0.2">
      <c r="A34" s="78">
        <v>45360</v>
      </c>
      <c r="B34">
        <v>18285.781809238691</v>
      </c>
      <c r="C34">
        <v>12084.38</v>
      </c>
    </row>
    <row r="35" spans="1:3" x14ac:dyDescent="0.2">
      <c r="A35" s="78">
        <v>45359</v>
      </c>
      <c r="B35">
        <v>18275.18309604314</v>
      </c>
      <c r="C35">
        <v>12084.38</v>
      </c>
    </row>
    <row r="36" spans="1:3" x14ac:dyDescent="0.2">
      <c r="A36" s="78">
        <v>45358</v>
      </c>
      <c r="B36">
        <v>18630.100979451399</v>
      </c>
      <c r="C36">
        <v>12084.38</v>
      </c>
    </row>
    <row r="37" spans="1:3" x14ac:dyDescent="0.2">
      <c r="A37" s="78">
        <v>45357</v>
      </c>
      <c r="B37">
        <v>17789.341222581199</v>
      </c>
      <c r="C37">
        <v>12084.38</v>
      </c>
    </row>
    <row r="38" spans="1:3" x14ac:dyDescent="0.2">
      <c r="A38" s="78">
        <v>45356</v>
      </c>
      <c r="B38">
        <v>16444.294929952968</v>
      </c>
      <c r="C38">
        <v>12084.38</v>
      </c>
    </row>
    <row r="39" spans="1:3" x14ac:dyDescent="0.2">
      <c r="A39" s="78">
        <v>45355</v>
      </c>
      <c r="B39">
        <v>17591.332205708699</v>
      </c>
      <c r="C39">
        <v>12084.38</v>
      </c>
    </row>
    <row r="40" spans="1:3" x14ac:dyDescent="0.2">
      <c r="A40" s="78">
        <v>45354</v>
      </c>
      <c r="B40">
        <v>16893.951771701541</v>
      </c>
      <c r="C40">
        <v>12084.38</v>
      </c>
    </row>
    <row r="41" spans="1:3" x14ac:dyDescent="0.2">
      <c r="A41" s="78">
        <v>45353</v>
      </c>
      <c r="B41">
        <v>17306.03140143189</v>
      </c>
      <c r="C41">
        <v>12084.38</v>
      </c>
    </row>
    <row r="42" spans="1:3" x14ac:dyDescent="0.2">
      <c r="A42" s="78">
        <v>45352</v>
      </c>
      <c r="B42">
        <v>16879.717475913589</v>
      </c>
      <c r="C42">
        <v>12084.38</v>
      </c>
    </row>
    <row r="43" spans="1:3" x14ac:dyDescent="0.2">
      <c r="A43" s="78">
        <v>45351</v>
      </c>
      <c r="B43">
        <v>16515.674111174249</v>
      </c>
      <c r="C43">
        <v>12084.38</v>
      </c>
    </row>
    <row r="44" spans="1:3" x14ac:dyDescent="0.2">
      <c r="A44" s="78">
        <v>45350</v>
      </c>
      <c r="B44">
        <v>16295.60891480912</v>
      </c>
      <c r="C44">
        <v>12084.38</v>
      </c>
    </row>
    <row r="45" spans="1:3" x14ac:dyDescent="0.2">
      <c r="A45" s="78">
        <v>45349</v>
      </c>
      <c r="B45">
        <v>16027.4065023444</v>
      </c>
      <c r="C45">
        <v>12084.38</v>
      </c>
    </row>
    <row r="46" spans="1:3" x14ac:dyDescent="0.2">
      <c r="A46" s="78">
        <v>45348</v>
      </c>
      <c r="B46">
        <v>15876.700055517251</v>
      </c>
      <c r="C46">
        <v>12084.38</v>
      </c>
    </row>
    <row r="47" spans="1:3" x14ac:dyDescent="0.2">
      <c r="A47" s="78">
        <v>45347</v>
      </c>
      <c r="B47">
        <v>15583.072359455349</v>
      </c>
      <c r="C47">
        <v>12084.38</v>
      </c>
    </row>
    <row r="48" spans="1:3" x14ac:dyDescent="0.2">
      <c r="A48" s="78">
        <v>45346</v>
      </c>
      <c r="B48">
        <v>15649.49181156128</v>
      </c>
      <c r="C48">
        <v>12084.38</v>
      </c>
    </row>
    <row r="49" spans="1:3" x14ac:dyDescent="0.2">
      <c r="A49" s="78">
        <v>45345</v>
      </c>
      <c r="B49">
        <v>13561.782471925861</v>
      </c>
      <c r="C49">
        <v>10113.74</v>
      </c>
    </row>
    <row r="50" spans="1:3" x14ac:dyDescent="0.2">
      <c r="A50" s="78">
        <v>45344</v>
      </c>
      <c r="B50">
        <v>14263.24546925888</v>
      </c>
      <c r="C50">
        <v>10113.74</v>
      </c>
    </row>
    <row r="51" spans="1:3" x14ac:dyDescent="0.2">
      <c r="A51" s="78">
        <v>45343</v>
      </c>
      <c r="B51">
        <v>13284.16035359389</v>
      </c>
      <c r="C51">
        <v>10113.74</v>
      </c>
    </row>
    <row r="52" spans="1:3" x14ac:dyDescent="0.2">
      <c r="A52" s="78">
        <v>45342</v>
      </c>
      <c r="B52">
        <v>13643.81172449971</v>
      </c>
      <c r="C52">
        <v>10113.74</v>
      </c>
    </row>
    <row r="53" spans="1:3" x14ac:dyDescent="0.2">
      <c r="A53" s="78">
        <v>45341</v>
      </c>
      <c r="B53">
        <v>13895.873277314309</v>
      </c>
      <c r="C53">
        <v>10113.74</v>
      </c>
    </row>
    <row r="54" spans="1:3" x14ac:dyDescent="0.2">
      <c r="A54" s="78">
        <v>45340</v>
      </c>
      <c r="B54">
        <v>12137.43328218663</v>
      </c>
      <c r="C54">
        <v>10113.74</v>
      </c>
    </row>
    <row r="55" spans="1:3" x14ac:dyDescent="0.2">
      <c r="A55" s="78">
        <v>45339</v>
      </c>
      <c r="B55">
        <v>11563.20843205476</v>
      </c>
      <c r="C55">
        <v>10113.74</v>
      </c>
    </row>
    <row r="56" spans="1:3" x14ac:dyDescent="0.2">
      <c r="A56" s="78">
        <v>45338</v>
      </c>
      <c r="B56">
        <v>11863.65126588734</v>
      </c>
      <c r="C56">
        <v>10113.74</v>
      </c>
    </row>
    <row r="57" spans="1:3" x14ac:dyDescent="0.2">
      <c r="A57" s="78">
        <v>45337</v>
      </c>
      <c r="B57">
        <v>11613.818656762231</v>
      </c>
      <c r="C57">
        <v>10113.74</v>
      </c>
    </row>
    <row r="58" spans="1:3" x14ac:dyDescent="0.2">
      <c r="A58" s="78">
        <v>45336</v>
      </c>
      <c r="B58">
        <v>11371.637394588261</v>
      </c>
      <c r="C58">
        <v>10113.74</v>
      </c>
    </row>
    <row r="59" spans="1:3" x14ac:dyDescent="0.2">
      <c r="A59" s="78">
        <v>45335</v>
      </c>
      <c r="B59">
        <v>11193.701416061551</v>
      </c>
      <c r="C59">
        <v>10113.74</v>
      </c>
    </row>
    <row r="60" spans="1:3" x14ac:dyDescent="0.2">
      <c r="A60" s="78">
        <v>45334</v>
      </c>
      <c r="B60">
        <v>11120.22968209853</v>
      </c>
      <c r="C60">
        <v>10113.74</v>
      </c>
    </row>
    <row r="61" spans="1:3" x14ac:dyDescent="0.2">
      <c r="A61" s="78">
        <v>45333</v>
      </c>
      <c r="B61">
        <v>10926.58711992184</v>
      </c>
      <c r="C61">
        <v>10113.74</v>
      </c>
    </row>
    <row r="62" spans="1:3" x14ac:dyDescent="0.2">
      <c r="A62" s="78">
        <v>45332</v>
      </c>
      <c r="B62">
        <v>10961.034809831821</v>
      </c>
      <c r="C62">
        <v>10113.74</v>
      </c>
    </row>
    <row r="63" spans="1:3" x14ac:dyDescent="0.2">
      <c r="A63" s="78">
        <v>45331</v>
      </c>
      <c r="B63">
        <v>11025.37085685381</v>
      </c>
      <c r="C63">
        <v>10113.74</v>
      </c>
    </row>
    <row r="64" spans="1:3" x14ac:dyDescent="0.2">
      <c r="A64" s="78">
        <v>45330</v>
      </c>
      <c r="B64">
        <v>10651.412460070391</v>
      </c>
      <c r="C64">
        <v>10113.74</v>
      </c>
    </row>
    <row r="65" spans="1:3" x14ac:dyDescent="0.2">
      <c r="A65" s="78">
        <v>45329</v>
      </c>
      <c r="B65">
        <v>10636.0469685633</v>
      </c>
      <c r="C65">
        <v>10113.74</v>
      </c>
    </row>
    <row r="66" spans="1:3" x14ac:dyDescent="0.2">
      <c r="A66" s="78">
        <v>45328</v>
      </c>
      <c r="B66">
        <v>10478.15153579369</v>
      </c>
      <c r="C66">
        <v>10113.74</v>
      </c>
    </row>
    <row r="67" spans="1:3" x14ac:dyDescent="0.2">
      <c r="A67" s="78">
        <v>45327</v>
      </c>
      <c r="B67">
        <v>10034.14543548085</v>
      </c>
      <c r="C67">
        <v>10113</v>
      </c>
    </row>
    <row r="68" spans="1:3" x14ac:dyDescent="0.2">
      <c r="A68" s="78">
        <v>45326</v>
      </c>
      <c r="B68">
        <v>9938.0793912179543</v>
      </c>
      <c r="C68">
        <v>10113</v>
      </c>
    </row>
    <row r="69" spans="1:3" x14ac:dyDescent="0.2">
      <c r="A69" s="78">
        <v>45325</v>
      </c>
      <c r="B69">
        <v>10143.033866931821</v>
      </c>
      <c r="C69">
        <v>10113</v>
      </c>
    </row>
    <row r="70" spans="1:3" x14ac:dyDescent="0.2">
      <c r="A70" s="78">
        <v>45324</v>
      </c>
      <c r="B70">
        <v>10055.326241896641</v>
      </c>
      <c r="C70">
        <v>10113</v>
      </c>
    </row>
    <row r="71" spans="1:3" x14ac:dyDescent="0.2">
      <c r="A71" s="78">
        <v>45323</v>
      </c>
      <c r="B71">
        <v>10105.16881367773</v>
      </c>
      <c r="C71">
        <v>10113</v>
      </c>
    </row>
    <row r="72" spans="1:3" x14ac:dyDescent="0.2">
      <c r="A72" s="78">
        <v>45322</v>
      </c>
      <c r="B72">
        <v>10016.30727916656</v>
      </c>
      <c r="C72">
        <v>10113</v>
      </c>
    </row>
    <row r="73" spans="1:3" x14ac:dyDescent="0.2">
      <c r="A73" s="78">
        <v>45321</v>
      </c>
      <c r="B73">
        <v>10364.34015468112</v>
      </c>
      <c r="C73">
        <v>10113</v>
      </c>
    </row>
    <row r="74" spans="1:3" x14ac:dyDescent="0.2">
      <c r="A74" s="78">
        <v>45320</v>
      </c>
      <c r="B74">
        <v>10691.1761218925</v>
      </c>
      <c r="C74">
        <v>10107.67</v>
      </c>
    </row>
    <row r="75" spans="1:3" x14ac:dyDescent="0.2">
      <c r="A75" s="78">
        <v>45319</v>
      </c>
      <c r="B75">
        <v>10510.16920993928</v>
      </c>
      <c r="C75">
        <v>10107.67</v>
      </c>
    </row>
    <row r="76" spans="1:3" x14ac:dyDescent="0.2">
      <c r="A76" s="78">
        <v>45318</v>
      </c>
      <c r="B76">
        <v>10649.391593845021</v>
      </c>
      <c r="C76">
        <v>10107.67</v>
      </c>
    </row>
    <row r="77" spans="1:3" x14ac:dyDescent="0.2">
      <c r="A77" s="78">
        <v>45317</v>
      </c>
      <c r="B77">
        <v>10667.646585194179</v>
      </c>
      <c r="C77">
        <v>10107.67</v>
      </c>
    </row>
    <row r="78" spans="1:3" x14ac:dyDescent="0.2">
      <c r="A78" s="78">
        <v>45316</v>
      </c>
      <c r="B78">
        <v>10258.940591199889</v>
      </c>
      <c r="C78">
        <v>10107.67</v>
      </c>
    </row>
    <row r="79" spans="1:3" x14ac:dyDescent="0.2">
      <c r="A79" s="78">
        <v>45315</v>
      </c>
      <c r="B79">
        <v>10370.933511508259</v>
      </c>
      <c r="C79">
        <v>10107.67</v>
      </c>
    </row>
    <row r="80" spans="1:3" x14ac:dyDescent="0.2">
      <c r="A80" s="78">
        <v>45314</v>
      </c>
      <c r="B80">
        <v>10234.87300467814</v>
      </c>
      <c r="C80">
        <v>10107.67</v>
      </c>
    </row>
    <row r="81" spans="1:3" x14ac:dyDescent="0.2">
      <c r="A81" s="78">
        <v>45313</v>
      </c>
      <c r="B81">
        <v>10323.10400177199</v>
      </c>
      <c r="C81">
        <v>10107.67</v>
      </c>
    </row>
    <row r="82" spans="1:3" x14ac:dyDescent="0.2">
      <c r="A82" s="78">
        <v>45312</v>
      </c>
      <c r="B82">
        <v>10885.323843478431</v>
      </c>
      <c r="C82">
        <v>10107.67</v>
      </c>
    </row>
    <row r="83" spans="1:3" x14ac:dyDescent="0.2">
      <c r="A83" s="78">
        <v>45311</v>
      </c>
      <c r="B83">
        <v>10998.77938722225</v>
      </c>
      <c r="C83">
        <v>10107.67</v>
      </c>
    </row>
    <row r="84" spans="1:3" x14ac:dyDescent="0.2">
      <c r="A84" s="78">
        <v>45310</v>
      </c>
      <c r="B84">
        <v>10868.277651179371</v>
      </c>
      <c r="C84">
        <v>10107.67</v>
      </c>
    </row>
    <row r="85" spans="1:3" x14ac:dyDescent="0.2">
      <c r="A85" s="78">
        <v>45309</v>
      </c>
      <c r="B85">
        <v>10898.59473036851</v>
      </c>
      <c r="C85">
        <v>10107.67</v>
      </c>
    </row>
    <row r="86" spans="1:3" x14ac:dyDescent="0.2">
      <c r="A86" s="78">
        <v>45308</v>
      </c>
      <c r="B86">
        <v>11334.293298374039</v>
      </c>
      <c r="C86">
        <v>10107.67</v>
      </c>
    </row>
    <row r="87" spans="1:3" x14ac:dyDescent="0.2">
      <c r="A87" s="78">
        <v>45307</v>
      </c>
      <c r="B87">
        <v>11549.591594518721</v>
      </c>
      <c r="C87">
        <v>10107.67</v>
      </c>
    </row>
    <row r="88" spans="1:3" x14ac:dyDescent="0.2">
      <c r="A88" s="78">
        <v>45306</v>
      </c>
      <c r="B88">
        <v>11316.305705637409</v>
      </c>
      <c r="C88">
        <v>10107.67</v>
      </c>
    </row>
    <row r="89" spans="1:3" x14ac:dyDescent="0.2">
      <c r="A89" s="78">
        <v>45305</v>
      </c>
      <c r="B89">
        <v>11258.909096567961</v>
      </c>
      <c r="C89">
        <v>10107.67</v>
      </c>
    </row>
    <row r="90" spans="1:3" x14ac:dyDescent="0.2">
      <c r="A90" s="78">
        <v>45304</v>
      </c>
      <c r="B90">
        <v>11594.80878521291</v>
      </c>
      <c r="C90">
        <v>10107.67</v>
      </c>
    </row>
    <row r="91" spans="1:3" x14ac:dyDescent="0.2">
      <c r="A91" s="78">
        <v>45303</v>
      </c>
      <c r="B91">
        <v>11472.1837554957</v>
      </c>
      <c r="C91">
        <v>10107.67</v>
      </c>
    </row>
    <row r="92" spans="1:3" x14ac:dyDescent="0.2">
      <c r="A92" s="78">
        <v>45302</v>
      </c>
      <c r="B92">
        <v>12050.385866039031</v>
      </c>
      <c r="C92">
        <v>10107.67</v>
      </c>
    </row>
    <row r="93" spans="1:3" x14ac:dyDescent="0.2">
      <c r="A93" s="78">
        <v>45301</v>
      </c>
      <c r="B93">
        <v>12017.543972990339</v>
      </c>
      <c r="C93">
        <v>10107.67</v>
      </c>
    </row>
    <row r="94" spans="1:3" x14ac:dyDescent="0.2">
      <c r="A94" s="78">
        <v>45300</v>
      </c>
      <c r="B94">
        <v>11200.19391363105</v>
      </c>
      <c r="C94">
        <v>10107.67</v>
      </c>
    </row>
    <row r="95" spans="1:3" x14ac:dyDescent="0.2">
      <c r="A95" s="78">
        <v>45299</v>
      </c>
      <c r="B95">
        <v>11648.34864640766</v>
      </c>
      <c r="C95">
        <v>10107.67</v>
      </c>
    </row>
    <row r="96" spans="1:3" x14ac:dyDescent="0.2">
      <c r="A96" s="78">
        <v>45298</v>
      </c>
      <c r="B96">
        <v>10904.296130439991</v>
      </c>
      <c r="C96">
        <v>10107.67</v>
      </c>
    </row>
    <row r="97" spans="1:3" x14ac:dyDescent="0.2">
      <c r="A97" s="78">
        <v>45297</v>
      </c>
      <c r="B97">
        <v>11393.19303462634</v>
      </c>
      <c r="C97">
        <v>10107.67</v>
      </c>
    </row>
    <row r="98" spans="1:3" x14ac:dyDescent="0.2">
      <c r="A98" s="78">
        <v>45296</v>
      </c>
      <c r="B98">
        <v>11879.299762819441</v>
      </c>
      <c r="C98">
        <v>10107.67</v>
      </c>
    </row>
    <row r="99" spans="1:3" x14ac:dyDescent="0.2">
      <c r="A99" s="78">
        <v>45295</v>
      </c>
      <c r="B99">
        <v>12260.64380262154</v>
      </c>
      <c r="C99">
        <v>10107.67</v>
      </c>
    </row>
    <row r="100" spans="1:3" x14ac:dyDescent="0.2">
      <c r="A100" s="78">
        <v>45294</v>
      </c>
      <c r="B100">
        <v>12245.13383786062</v>
      </c>
      <c r="C100">
        <v>10107.67</v>
      </c>
    </row>
    <row r="101" spans="1:3" x14ac:dyDescent="0.2">
      <c r="A101" s="78">
        <v>45293</v>
      </c>
      <c r="B101">
        <v>13347.16501940245</v>
      </c>
      <c r="C101">
        <v>10107.67</v>
      </c>
    </row>
    <row r="102" spans="1:3" x14ac:dyDescent="0.2">
      <c r="A102" s="78">
        <v>45292</v>
      </c>
      <c r="B102">
        <v>12947.83007908254</v>
      </c>
      <c r="C102">
        <v>10107.67</v>
      </c>
    </row>
    <row r="103" spans="1:3" x14ac:dyDescent="0.2">
      <c r="A103" s="78">
        <v>45291</v>
      </c>
      <c r="B103">
        <v>12290.362082772919</v>
      </c>
      <c r="C103">
        <v>10107.67</v>
      </c>
    </row>
    <row r="104" spans="1:3" x14ac:dyDescent="0.2">
      <c r="A104" s="78">
        <v>45290</v>
      </c>
      <c r="B104">
        <v>12481.769861201659</v>
      </c>
      <c r="C104">
        <v>10107.67</v>
      </c>
    </row>
    <row r="105" spans="1:3" x14ac:dyDescent="0.2">
      <c r="A105" s="78">
        <v>45289</v>
      </c>
      <c r="B105">
        <v>12649.83927396639</v>
      </c>
      <c r="C105">
        <v>10107.67</v>
      </c>
    </row>
    <row r="106" spans="1:3" x14ac:dyDescent="0.2">
      <c r="A106" s="78">
        <v>45288</v>
      </c>
      <c r="B106">
        <v>12774.881816162009</v>
      </c>
      <c r="C106">
        <v>10107.67</v>
      </c>
    </row>
    <row r="107" spans="1:3" x14ac:dyDescent="0.2">
      <c r="A107" s="78">
        <v>45287</v>
      </c>
      <c r="B107">
        <v>13006.60806487115</v>
      </c>
      <c r="C107">
        <v>10107.67</v>
      </c>
    </row>
    <row r="108" spans="1:3" x14ac:dyDescent="0.2">
      <c r="A108" s="78">
        <v>45286</v>
      </c>
      <c r="B108">
        <v>12672.522174734209</v>
      </c>
      <c r="C108">
        <v>10107.67</v>
      </c>
    </row>
    <row r="109" spans="1:3" x14ac:dyDescent="0.2">
      <c r="A109" s="78">
        <v>45285</v>
      </c>
      <c r="B109">
        <v>13142.746239323251</v>
      </c>
      <c r="C109">
        <v>10107.67</v>
      </c>
    </row>
    <row r="110" spans="1:3" x14ac:dyDescent="0.2">
      <c r="A110" s="78">
        <v>45284</v>
      </c>
      <c r="B110">
        <v>12657.45403680088</v>
      </c>
      <c r="C110">
        <v>10107.67</v>
      </c>
    </row>
    <row r="111" spans="1:3" x14ac:dyDescent="0.2">
      <c r="A111" s="78">
        <v>45283</v>
      </c>
      <c r="B111">
        <v>12815.150111431731</v>
      </c>
      <c r="C111">
        <v>10107.67</v>
      </c>
    </row>
    <row r="112" spans="1:3" x14ac:dyDescent="0.2">
      <c r="A112" s="78">
        <v>45282</v>
      </c>
      <c r="B112">
        <v>12825.28771257796</v>
      </c>
      <c r="C112">
        <v>10107.67</v>
      </c>
    </row>
    <row r="113" spans="1:3" x14ac:dyDescent="0.2">
      <c r="A113" s="78">
        <v>45281</v>
      </c>
      <c r="B113">
        <v>12822.636072947271</v>
      </c>
      <c r="C113">
        <v>10104.700000000001</v>
      </c>
    </row>
    <row r="114" spans="1:3" x14ac:dyDescent="0.2">
      <c r="A114" s="78">
        <v>45280</v>
      </c>
      <c r="B114">
        <v>12433.37057334973</v>
      </c>
      <c r="C114">
        <v>10104.700000000001</v>
      </c>
    </row>
    <row r="115" spans="1:3" x14ac:dyDescent="0.2">
      <c r="A115" s="78">
        <v>45279</v>
      </c>
      <c r="B115">
        <v>11858.97661647687</v>
      </c>
      <c r="C115">
        <v>10104.700000000001</v>
      </c>
    </row>
    <row r="116" spans="1:3" x14ac:dyDescent="0.2">
      <c r="A116" s="78">
        <v>45278</v>
      </c>
      <c r="B116">
        <v>11760.411637300151</v>
      </c>
      <c r="C116">
        <v>10104.700000000001</v>
      </c>
    </row>
    <row r="117" spans="1:3" x14ac:dyDescent="0.2">
      <c r="A117" s="78">
        <v>45277</v>
      </c>
      <c r="B117">
        <v>11663.423132235421</v>
      </c>
      <c r="C117">
        <v>10104.700000000001</v>
      </c>
    </row>
    <row r="118" spans="1:3" x14ac:dyDescent="0.2">
      <c r="A118" s="78">
        <v>45276</v>
      </c>
      <c r="B118">
        <v>11861.11292038148</v>
      </c>
      <c r="C118">
        <v>10104.700000000001</v>
      </c>
    </row>
    <row r="119" spans="1:3" x14ac:dyDescent="0.2">
      <c r="A119" s="78">
        <v>45275</v>
      </c>
      <c r="B119">
        <v>11835.709963896839</v>
      </c>
      <c r="C119">
        <v>10104.700000000001</v>
      </c>
    </row>
    <row r="120" spans="1:3" x14ac:dyDescent="0.2">
      <c r="A120" s="78">
        <v>45274</v>
      </c>
      <c r="B120">
        <v>12282.92479743255</v>
      </c>
      <c r="C120">
        <v>10104.700000000001</v>
      </c>
    </row>
    <row r="121" spans="1:3" x14ac:dyDescent="0.2">
      <c r="A121" s="78">
        <v>45273</v>
      </c>
      <c r="B121">
        <v>11683.926183295889</v>
      </c>
      <c r="C121">
        <v>10104.700000000001</v>
      </c>
    </row>
    <row r="122" spans="1:3" x14ac:dyDescent="0.2">
      <c r="A122" s="78">
        <v>45272</v>
      </c>
      <c r="B122">
        <v>11508.474862555389</v>
      </c>
      <c r="C122">
        <v>10104.700000000001</v>
      </c>
    </row>
    <row r="123" spans="1:3" x14ac:dyDescent="0.2">
      <c r="A123" s="78">
        <v>45271</v>
      </c>
      <c r="B123">
        <v>11142.806863884371</v>
      </c>
      <c r="C123">
        <v>10104.700000000001</v>
      </c>
    </row>
    <row r="124" spans="1:3" x14ac:dyDescent="0.2">
      <c r="A124" s="78">
        <v>45270</v>
      </c>
      <c r="B124">
        <v>11836.837317052359</v>
      </c>
      <c r="C124">
        <v>10104.700000000001</v>
      </c>
    </row>
    <row r="125" spans="1:3" x14ac:dyDescent="0.2">
      <c r="A125" s="78">
        <v>45269</v>
      </c>
      <c r="B125">
        <v>11764.85487427043</v>
      </c>
      <c r="C125">
        <v>10104.700000000001</v>
      </c>
    </row>
    <row r="126" spans="1:3" x14ac:dyDescent="0.2">
      <c r="A126" s="78">
        <v>45268</v>
      </c>
      <c r="B126">
        <v>11876.13907076065</v>
      </c>
      <c r="C126">
        <v>10104.700000000001</v>
      </c>
    </row>
    <row r="127" spans="1:3" x14ac:dyDescent="0.2">
      <c r="A127" s="78">
        <v>45267</v>
      </c>
      <c r="B127">
        <v>11198.50020851601</v>
      </c>
      <c r="C127">
        <v>10104.700000000001</v>
      </c>
    </row>
    <row r="128" spans="1:3" x14ac:dyDescent="0.2">
      <c r="A128" s="78">
        <v>45266</v>
      </c>
      <c r="B128">
        <v>11140.41804568555</v>
      </c>
      <c r="C128">
        <v>10101.52</v>
      </c>
    </row>
    <row r="129" spans="1:3" x14ac:dyDescent="0.2">
      <c r="A129" s="78">
        <v>45265</v>
      </c>
      <c r="B129">
        <v>10738.02817676457</v>
      </c>
      <c r="C129">
        <v>10101.52</v>
      </c>
    </row>
    <row r="130" spans="1:3" x14ac:dyDescent="0.2">
      <c r="A130" s="78">
        <v>45264</v>
      </c>
      <c r="B130">
        <v>10604.88062856559</v>
      </c>
      <c r="C130">
        <v>10101.52</v>
      </c>
    </row>
    <row r="131" spans="1:3" x14ac:dyDescent="0.2">
      <c r="A131" s="78">
        <v>45263</v>
      </c>
      <c r="B131">
        <v>10453.732481992811</v>
      </c>
      <c r="C131">
        <v>10101.52</v>
      </c>
    </row>
    <row r="132" spans="1:3" x14ac:dyDescent="0.2">
      <c r="A132" s="78">
        <v>45262</v>
      </c>
      <c r="B132">
        <v>10446.18299241199</v>
      </c>
      <c r="C132">
        <v>10101.52</v>
      </c>
    </row>
    <row r="133" spans="1:3" x14ac:dyDescent="0.2">
      <c r="A133" s="78">
        <v>45261</v>
      </c>
      <c r="B133">
        <v>10249.65975068158</v>
      </c>
      <c r="C133">
        <v>10101.52</v>
      </c>
    </row>
    <row r="134" spans="1:3" x14ac:dyDescent="0.2">
      <c r="A134" s="78">
        <v>45260</v>
      </c>
      <c r="B134">
        <v>10136.19096233995</v>
      </c>
      <c r="C134">
        <v>10101.52</v>
      </c>
    </row>
    <row r="135" spans="1:3" x14ac:dyDescent="0.2">
      <c r="A135" s="78">
        <v>45259</v>
      </c>
      <c r="B135">
        <v>10154.976982975781</v>
      </c>
      <c r="C135">
        <v>10101.52</v>
      </c>
    </row>
    <row r="136" spans="1:3" x14ac:dyDescent="0.2">
      <c r="A136" s="78">
        <v>45258</v>
      </c>
      <c r="B136">
        <v>10252.933484462121</v>
      </c>
      <c r="C136">
        <v>10101.52</v>
      </c>
    </row>
    <row r="137" spans="1:3" x14ac:dyDescent="0.2">
      <c r="A137" s="78">
        <v>45257</v>
      </c>
      <c r="B137">
        <v>10240.342007749499</v>
      </c>
      <c r="C137">
        <v>10101.52</v>
      </c>
    </row>
    <row r="138" spans="1:3" x14ac:dyDescent="0.2">
      <c r="A138" s="78">
        <v>45256</v>
      </c>
      <c r="B138">
        <v>10456.61645257977</v>
      </c>
      <c r="C138">
        <v>10101.52</v>
      </c>
    </row>
    <row r="139" spans="1:3" x14ac:dyDescent="0.2">
      <c r="A139" s="78">
        <v>45255</v>
      </c>
      <c r="B139">
        <v>10563.93995438009</v>
      </c>
      <c r="C139">
        <v>10101.52</v>
      </c>
    </row>
    <row r="140" spans="1:3" x14ac:dyDescent="0.2">
      <c r="A140" s="78">
        <v>45254</v>
      </c>
      <c r="B140">
        <v>10453.935564153269</v>
      </c>
      <c r="C140">
        <v>10101.52</v>
      </c>
    </row>
    <row r="141" spans="1:3" x14ac:dyDescent="0.2">
      <c r="A141" s="78">
        <v>45253</v>
      </c>
      <c r="B141">
        <v>10370.558405331451</v>
      </c>
      <c r="C141">
        <v>10101.52</v>
      </c>
    </row>
    <row r="142" spans="1:3" x14ac:dyDescent="0.2">
      <c r="A142" s="78">
        <v>45252</v>
      </c>
      <c r="B142">
        <v>10377.209684921751</v>
      </c>
      <c r="C142">
        <v>10101.52</v>
      </c>
    </row>
    <row r="143" spans="1:3" x14ac:dyDescent="0.2">
      <c r="A143" s="78">
        <v>45251</v>
      </c>
      <c r="B143">
        <v>9800.3433959968752</v>
      </c>
      <c r="C143">
        <v>10101.52</v>
      </c>
    </row>
    <row r="144" spans="1:3" x14ac:dyDescent="0.2">
      <c r="A144" s="78">
        <v>45250</v>
      </c>
      <c r="B144">
        <v>10666.69194580202</v>
      </c>
      <c r="C144">
        <v>10101.52</v>
      </c>
    </row>
    <row r="145" spans="1:3" x14ac:dyDescent="0.2">
      <c r="A145" s="78">
        <v>45249</v>
      </c>
      <c r="B145">
        <v>10519.64265596577</v>
      </c>
      <c r="C145">
        <v>10101.52</v>
      </c>
    </row>
    <row r="146" spans="1:3" x14ac:dyDescent="0.2">
      <c r="A146" s="78">
        <v>45248</v>
      </c>
      <c r="B146">
        <v>10299.01993628986</v>
      </c>
      <c r="C146">
        <v>10101.52</v>
      </c>
    </row>
    <row r="147" spans="1:3" x14ac:dyDescent="0.2">
      <c r="A147" s="78">
        <v>45247</v>
      </c>
      <c r="B147">
        <v>10480.65410897804</v>
      </c>
      <c r="C147">
        <v>10100.85</v>
      </c>
    </row>
    <row r="148" spans="1:3" x14ac:dyDescent="0.2">
      <c r="A148" s="78">
        <v>45246</v>
      </c>
      <c r="B148">
        <v>10244.094157626179</v>
      </c>
      <c r="C148">
        <v>10100.85</v>
      </c>
    </row>
    <row r="149" spans="1:3" x14ac:dyDescent="0.2">
      <c r="A149" s="78">
        <v>45245</v>
      </c>
      <c r="B149">
        <v>10657.063583724859</v>
      </c>
      <c r="C149">
        <v>10100.85</v>
      </c>
    </row>
    <row r="150" spans="1:3" x14ac:dyDescent="0.2">
      <c r="A150" s="78">
        <v>45244</v>
      </c>
      <c r="B150">
        <v>10214.06939839362</v>
      </c>
      <c r="C150">
        <v>10100.85</v>
      </c>
    </row>
    <row r="151" spans="1:3" x14ac:dyDescent="0.2">
      <c r="A151" s="78">
        <v>45243</v>
      </c>
      <c r="B151">
        <v>10621.61662867511</v>
      </c>
      <c r="C151">
        <v>10097.379999999999</v>
      </c>
    </row>
    <row r="152" spans="1:3" x14ac:dyDescent="0.2">
      <c r="A152" s="78">
        <v>45242</v>
      </c>
      <c r="B152">
        <v>10791.683633547171</v>
      </c>
      <c r="C152">
        <v>10097.379999999999</v>
      </c>
    </row>
    <row r="153" spans="1:3" x14ac:dyDescent="0.2">
      <c r="A153" s="78">
        <v>45241</v>
      </c>
      <c r="B153">
        <v>10776.169425909209</v>
      </c>
      <c r="C153">
        <v>10097.379999999999</v>
      </c>
    </row>
    <row r="154" spans="1:3" x14ac:dyDescent="0.2">
      <c r="A154" s="78">
        <v>45240</v>
      </c>
      <c r="B154">
        <v>10826.566100976541</v>
      </c>
      <c r="C154">
        <v>10097.379999999999</v>
      </c>
    </row>
    <row r="155" spans="1:3" x14ac:dyDescent="0.2">
      <c r="A155" s="78">
        <v>45239</v>
      </c>
      <c r="B155">
        <v>10641.241772928541</v>
      </c>
      <c r="C155">
        <v>10097.379999999999</v>
      </c>
    </row>
    <row r="156" spans="1:3" x14ac:dyDescent="0.2">
      <c r="A156" s="78">
        <v>45238</v>
      </c>
      <c r="B156">
        <v>10886.523136665401</v>
      </c>
      <c r="C156">
        <v>10097.379999999999</v>
      </c>
    </row>
    <row r="157" spans="1:3" x14ac:dyDescent="0.2">
      <c r="A157" s="78">
        <v>45237</v>
      </c>
      <c r="B157">
        <v>10613.16634201649</v>
      </c>
      <c r="C157">
        <v>10097.379999999999</v>
      </c>
    </row>
    <row r="158" spans="1:3" x14ac:dyDescent="0.2">
      <c r="A158" s="78">
        <v>45236</v>
      </c>
      <c r="B158">
        <v>10960.99645953356</v>
      </c>
      <c r="C158">
        <v>10097.379999999999</v>
      </c>
    </row>
    <row r="159" spans="1:3" x14ac:dyDescent="0.2">
      <c r="A159" s="78">
        <v>45235</v>
      </c>
      <c r="B159">
        <v>10252.794616110439</v>
      </c>
      <c r="C159">
        <v>10097.379999999999</v>
      </c>
    </row>
    <row r="160" spans="1:3" x14ac:dyDescent="0.2">
      <c r="A160" s="78">
        <v>45234</v>
      </c>
      <c r="B160">
        <v>9858.5995637323358</v>
      </c>
      <c r="C160">
        <v>10097.379999999999</v>
      </c>
    </row>
    <row r="161" spans="1:3" x14ac:dyDescent="0.2">
      <c r="A161" s="78">
        <v>45233</v>
      </c>
      <c r="B161">
        <v>9758.7423148428134</v>
      </c>
      <c r="C161">
        <v>10097.379999999999</v>
      </c>
    </row>
    <row r="162" spans="1:3" x14ac:dyDescent="0.2">
      <c r="A162" s="78">
        <v>45232</v>
      </c>
      <c r="B162">
        <v>9758.3019405593805</v>
      </c>
      <c r="C162">
        <v>10097.379999999999</v>
      </c>
    </row>
    <row r="163" spans="1:3" x14ac:dyDescent="0.2">
      <c r="A163" s="78">
        <v>45231</v>
      </c>
      <c r="B163">
        <v>9634.0383977521378</v>
      </c>
      <c r="C163">
        <v>10097.379999999999</v>
      </c>
    </row>
    <row r="164" spans="1:3" x14ac:dyDescent="0.2">
      <c r="A164" s="78">
        <v>45230</v>
      </c>
      <c r="B164">
        <v>9465.7439791246397</v>
      </c>
      <c r="C164">
        <v>10097.379999999999</v>
      </c>
    </row>
    <row r="165" spans="1:3" x14ac:dyDescent="0.2">
      <c r="A165" s="78">
        <v>45229</v>
      </c>
      <c r="B165">
        <v>9378.9117674783811</v>
      </c>
      <c r="C165">
        <v>10097.379999999999</v>
      </c>
    </row>
    <row r="166" spans="1:3" x14ac:dyDescent="0.2">
      <c r="A166" s="78">
        <v>45228</v>
      </c>
      <c r="B166">
        <v>9083.3971108411297</v>
      </c>
      <c r="C166">
        <v>10097.379999999999</v>
      </c>
    </row>
    <row r="167" spans="1:3" x14ac:dyDescent="0.2">
      <c r="A167" s="78">
        <v>45227</v>
      </c>
      <c r="B167">
        <v>8938.8474584105988</v>
      </c>
      <c r="C167">
        <v>10097.379999999999</v>
      </c>
    </row>
    <row r="168" spans="1:3" x14ac:dyDescent="0.2">
      <c r="A168" s="78">
        <v>45226</v>
      </c>
      <c r="B168">
        <v>8869.7413743746183</v>
      </c>
      <c r="C168">
        <v>10097.379999999999</v>
      </c>
    </row>
    <row r="169" spans="1:3" x14ac:dyDescent="0.2">
      <c r="A169" s="78">
        <v>45225</v>
      </c>
      <c r="B169">
        <v>9099.2806005458187</v>
      </c>
      <c r="C169">
        <v>10097.379999999999</v>
      </c>
    </row>
    <row r="170" spans="1:3" x14ac:dyDescent="0.2">
      <c r="A170" s="78">
        <v>45224</v>
      </c>
      <c r="B170">
        <v>9029.5615544221691</v>
      </c>
      <c r="C170">
        <v>10096.57</v>
      </c>
    </row>
    <row r="171" spans="1:3" x14ac:dyDescent="0.2">
      <c r="A171" s="78">
        <v>45223</v>
      </c>
      <c r="B171">
        <v>9007.4570817409185</v>
      </c>
      <c r="C171">
        <v>10096.57</v>
      </c>
    </row>
    <row r="172" spans="1:3" x14ac:dyDescent="0.2">
      <c r="A172" s="78">
        <v>45222</v>
      </c>
      <c r="B172">
        <v>8926.9152057755236</v>
      </c>
      <c r="C172">
        <v>10096.57</v>
      </c>
    </row>
    <row r="173" spans="1:3" x14ac:dyDescent="0.2">
      <c r="A173" s="78">
        <v>45221</v>
      </c>
      <c r="B173">
        <v>8589.3607743606626</v>
      </c>
      <c r="C173">
        <v>10096.57</v>
      </c>
    </row>
    <row r="174" spans="1:3" x14ac:dyDescent="0.2">
      <c r="A174" s="78">
        <v>45220</v>
      </c>
      <c r="B174">
        <v>8491.0099231596887</v>
      </c>
      <c r="C174">
        <v>10096.57</v>
      </c>
    </row>
    <row r="175" spans="1:3" x14ac:dyDescent="0.2">
      <c r="A175" s="78">
        <v>45219</v>
      </c>
      <c r="B175">
        <v>8314.1137890381833</v>
      </c>
      <c r="C175">
        <v>10082.94</v>
      </c>
    </row>
    <row r="176" spans="1:3" x14ac:dyDescent="0.2">
      <c r="A176" s="78">
        <v>45218</v>
      </c>
      <c r="B176">
        <v>8212.5659704171721</v>
      </c>
      <c r="C176">
        <v>10082.94</v>
      </c>
    </row>
    <row r="177" spans="1:3" x14ac:dyDescent="0.2">
      <c r="A177" s="78">
        <v>45217</v>
      </c>
      <c r="B177">
        <v>8065.5234772560198</v>
      </c>
      <c r="C177">
        <v>10082.94</v>
      </c>
    </row>
    <row r="178" spans="1:3" x14ac:dyDescent="0.2">
      <c r="A178" s="78">
        <v>45216</v>
      </c>
      <c r="B178">
        <v>8042.9933527495268</v>
      </c>
      <c r="C178">
        <v>10082.94</v>
      </c>
    </row>
    <row r="179" spans="1:3" x14ac:dyDescent="0.2">
      <c r="A179" s="78">
        <v>45215</v>
      </c>
      <c r="B179">
        <v>8162.4918353675384</v>
      </c>
      <c r="C179">
        <v>10082.94</v>
      </c>
    </row>
    <row r="180" spans="1:3" x14ac:dyDescent="0.2">
      <c r="A180" s="78">
        <v>45214</v>
      </c>
      <c r="B180">
        <v>8008.8100985180681</v>
      </c>
      <c r="C180">
        <v>10082.94</v>
      </c>
    </row>
    <row r="181" spans="1:3" x14ac:dyDescent="0.2">
      <c r="A181" s="78">
        <v>45213</v>
      </c>
      <c r="B181">
        <v>8003.7048014559041</v>
      </c>
      <c r="C181">
        <v>10082.94</v>
      </c>
    </row>
    <row r="182" spans="1:3" x14ac:dyDescent="0.2">
      <c r="A182" s="78">
        <v>45212</v>
      </c>
      <c r="B182">
        <v>7977.0830805758123</v>
      </c>
      <c r="C182">
        <v>10082.94</v>
      </c>
    </row>
    <row r="183" spans="1:3" x14ac:dyDescent="0.2">
      <c r="A183" s="78">
        <v>45211</v>
      </c>
      <c r="B183">
        <v>7869.3672095141374</v>
      </c>
      <c r="C183">
        <v>10082.94</v>
      </c>
    </row>
    <row r="184" spans="1:3" x14ac:dyDescent="0.2">
      <c r="A184" s="78">
        <v>45210</v>
      </c>
      <c r="B184">
        <v>8004.4115915315324</v>
      </c>
      <c r="C184">
        <v>10082.94</v>
      </c>
    </row>
    <row r="185" spans="1:3" x14ac:dyDescent="0.2">
      <c r="A185" s="78">
        <v>45209</v>
      </c>
      <c r="B185">
        <v>8104.1763099658492</v>
      </c>
      <c r="C185">
        <v>10082.94</v>
      </c>
    </row>
    <row r="186" spans="1:3" x14ac:dyDescent="0.2">
      <c r="A186" s="78">
        <v>45208</v>
      </c>
      <c r="B186">
        <v>8118.6589940664308</v>
      </c>
      <c r="C186">
        <v>10082.94</v>
      </c>
    </row>
    <row r="187" spans="1:3" x14ac:dyDescent="0.2">
      <c r="A187" s="78">
        <v>45207</v>
      </c>
      <c r="B187">
        <v>8376.1857224494979</v>
      </c>
      <c r="C187">
        <v>10082.94</v>
      </c>
    </row>
    <row r="188" spans="1:3" x14ac:dyDescent="0.2">
      <c r="A188" s="78">
        <v>45206</v>
      </c>
      <c r="B188">
        <v>8426.5909648566558</v>
      </c>
      <c r="C188">
        <v>10082.94</v>
      </c>
    </row>
    <row r="189" spans="1:3" x14ac:dyDescent="0.2">
      <c r="A189" s="78">
        <v>45205</v>
      </c>
      <c r="B189">
        <v>8481.3141958619181</v>
      </c>
      <c r="C189">
        <v>10082.94</v>
      </c>
    </row>
    <row r="190" spans="1:3" x14ac:dyDescent="0.2">
      <c r="A190" s="78">
        <v>45204</v>
      </c>
      <c r="B190">
        <v>8425.9616981367872</v>
      </c>
      <c r="C190">
        <v>10082.94</v>
      </c>
    </row>
    <row r="191" spans="1:3" x14ac:dyDescent="0.2">
      <c r="A191" s="78">
        <v>45203</v>
      </c>
      <c r="B191">
        <v>8568.7188784892223</v>
      </c>
      <c r="C191">
        <v>10082.94</v>
      </c>
    </row>
    <row r="192" spans="1:3" x14ac:dyDescent="0.2">
      <c r="A192" s="78">
        <v>45202</v>
      </c>
      <c r="B192">
        <v>8650.2666680188177</v>
      </c>
      <c r="C192">
        <v>10082.94</v>
      </c>
    </row>
    <row r="193" spans="1:3" x14ac:dyDescent="0.2">
      <c r="A193" s="78">
        <v>45201</v>
      </c>
      <c r="B193">
        <v>8491.2583267891405</v>
      </c>
      <c r="C193">
        <v>10082.94</v>
      </c>
    </row>
    <row r="194" spans="1:3" x14ac:dyDescent="0.2">
      <c r="A194" s="78">
        <v>45200</v>
      </c>
      <c r="B194">
        <v>8648.3565462640472</v>
      </c>
      <c r="C194">
        <v>10082.94</v>
      </c>
    </row>
    <row r="195" spans="1:3" x14ac:dyDescent="0.2">
      <c r="A195" s="78">
        <v>45199</v>
      </c>
      <c r="B195">
        <v>8492.273675454082</v>
      </c>
      <c r="C195">
        <v>10082.94</v>
      </c>
    </row>
    <row r="196" spans="1:3" x14ac:dyDescent="0.2">
      <c r="A196" s="78">
        <v>45198</v>
      </c>
      <c r="B196">
        <v>8522.4216418009473</v>
      </c>
      <c r="C196">
        <v>10082.94</v>
      </c>
    </row>
    <row r="197" spans="1:3" x14ac:dyDescent="0.2">
      <c r="A197" s="78">
        <v>45197</v>
      </c>
      <c r="B197">
        <v>8448.9560696732915</v>
      </c>
      <c r="C197">
        <v>10082.94</v>
      </c>
    </row>
    <row r="198" spans="1:3" x14ac:dyDescent="0.2">
      <c r="A198" s="78">
        <v>45196</v>
      </c>
      <c r="B198">
        <v>8324.8618331078123</v>
      </c>
      <c r="C198">
        <v>10082.94</v>
      </c>
    </row>
    <row r="199" spans="1:3" x14ac:dyDescent="0.2">
      <c r="A199" s="78">
        <v>45195</v>
      </c>
      <c r="B199">
        <v>8342.0893013376717</v>
      </c>
      <c r="C199">
        <v>10082.94</v>
      </c>
    </row>
    <row r="200" spans="1:3" x14ac:dyDescent="0.2">
      <c r="A200" s="78">
        <v>45194</v>
      </c>
      <c r="B200">
        <v>8464.8736812821735</v>
      </c>
      <c r="C200">
        <v>10082.94</v>
      </c>
    </row>
    <row r="201" spans="1:3" x14ac:dyDescent="0.2">
      <c r="A201" s="78">
        <v>45193</v>
      </c>
      <c r="B201">
        <v>8382.0572599026436</v>
      </c>
      <c r="C201">
        <v>10082.94</v>
      </c>
    </row>
    <row r="202" spans="1:3" x14ac:dyDescent="0.2">
      <c r="A202" s="78">
        <v>45192</v>
      </c>
      <c r="B202">
        <v>8595.6206728184043</v>
      </c>
      <c r="C202">
        <v>10082.94</v>
      </c>
    </row>
    <row r="203" spans="1:3" x14ac:dyDescent="0.2">
      <c r="A203" s="78">
        <v>45191</v>
      </c>
      <c r="B203">
        <v>8516.180888644285</v>
      </c>
      <c r="C203">
        <v>10082.94</v>
      </c>
    </row>
    <row r="204" spans="1:3" x14ac:dyDescent="0.2">
      <c r="A204" s="78">
        <v>45190</v>
      </c>
      <c r="B204">
        <v>8468.4320929953792</v>
      </c>
      <c r="C204">
        <v>10082.94</v>
      </c>
    </row>
    <row r="205" spans="1:3" x14ac:dyDescent="0.2">
      <c r="A205" s="78">
        <v>45189</v>
      </c>
      <c r="B205">
        <v>8608.7763099441836</v>
      </c>
      <c r="C205">
        <v>10082.94</v>
      </c>
    </row>
    <row r="206" spans="1:3" x14ac:dyDescent="0.2">
      <c r="A206" s="78">
        <v>45188</v>
      </c>
      <c r="B206">
        <v>8577.6484919235791</v>
      </c>
      <c r="C206">
        <v>10082.94</v>
      </c>
    </row>
    <row r="207" spans="1:3" x14ac:dyDescent="0.2">
      <c r="A207" s="78">
        <v>45187</v>
      </c>
      <c r="B207">
        <v>8402.2141419593681</v>
      </c>
      <c r="C207">
        <v>10082.94</v>
      </c>
    </row>
    <row r="208" spans="1:3" x14ac:dyDescent="0.2">
      <c r="A208" s="78">
        <v>45186</v>
      </c>
      <c r="B208">
        <v>8284.6486405886753</v>
      </c>
      <c r="C208">
        <v>10082.94</v>
      </c>
    </row>
    <row r="209" spans="1:3" x14ac:dyDescent="0.2">
      <c r="A209" s="78">
        <v>45185</v>
      </c>
      <c r="B209">
        <v>8506.4244249392359</v>
      </c>
      <c r="C209">
        <v>10082.94</v>
      </c>
    </row>
    <row r="210" spans="1:3" x14ac:dyDescent="0.2">
      <c r="A210" s="78">
        <v>45184</v>
      </c>
      <c r="B210">
        <v>8541.5816202143542</v>
      </c>
      <c r="C210">
        <v>10082.94</v>
      </c>
    </row>
    <row r="211" spans="1:3" x14ac:dyDescent="0.2">
      <c r="A211" s="78">
        <v>45183</v>
      </c>
      <c r="B211">
        <v>8403.1013799248885</v>
      </c>
      <c r="C211">
        <v>10082.94</v>
      </c>
    </row>
    <row r="212" spans="1:3" x14ac:dyDescent="0.2">
      <c r="A212" s="78">
        <v>45182</v>
      </c>
      <c r="B212">
        <v>8212.687749576</v>
      </c>
      <c r="C212">
        <v>10082.94</v>
      </c>
    </row>
    <row r="213" spans="1:3" x14ac:dyDescent="0.2">
      <c r="A213" s="78">
        <v>45181</v>
      </c>
      <c r="B213">
        <v>7972.7694829444426</v>
      </c>
      <c r="C213">
        <v>10082.94</v>
      </c>
    </row>
    <row r="214" spans="1:3" x14ac:dyDescent="0.2">
      <c r="A214" s="78">
        <v>45180</v>
      </c>
      <c r="B214">
        <v>7861.9185296123596</v>
      </c>
      <c r="C214">
        <v>10082.94</v>
      </c>
    </row>
    <row r="215" spans="1:3" x14ac:dyDescent="0.2">
      <c r="A215" s="78">
        <v>45179</v>
      </c>
      <c r="B215">
        <v>8181.962855730686</v>
      </c>
      <c r="C215">
        <v>10082.94</v>
      </c>
    </row>
    <row r="216" spans="1:3" x14ac:dyDescent="0.2">
      <c r="A216" s="78">
        <v>45178</v>
      </c>
      <c r="B216">
        <v>8327.3284263581136</v>
      </c>
      <c r="C216">
        <v>10082.94</v>
      </c>
    </row>
    <row r="217" spans="1:3" x14ac:dyDescent="0.2">
      <c r="A217" s="78">
        <v>45177</v>
      </c>
      <c r="B217">
        <v>8407.548904174886</v>
      </c>
      <c r="C217">
        <v>10082.94</v>
      </c>
    </row>
    <row r="218" spans="1:3" x14ac:dyDescent="0.2">
      <c r="A218" s="78">
        <v>45176</v>
      </c>
      <c r="B218">
        <v>8408.4211739302245</v>
      </c>
      <c r="C218">
        <v>10082.94</v>
      </c>
    </row>
    <row r="219" spans="1:3" x14ac:dyDescent="0.2">
      <c r="A219" s="78">
        <v>45175</v>
      </c>
      <c r="B219">
        <v>8337.3450464198086</v>
      </c>
      <c r="C219">
        <v>10082.94</v>
      </c>
    </row>
    <row r="220" spans="1:3" x14ac:dyDescent="0.2">
      <c r="A220" s="78">
        <v>45174</v>
      </c>
      <c r="B220">
        <v>8374.2577399467846</v>
      </c>
      <c r="C220">
        <v>10082.94</v>
      </c>
    </row>
    <row r="221" spans="1:3" x14ac:dyDescent="0.2">
      <c r="A221" s="78">
        <v>45173</v>
      </c>
      <c r="B221">
        <v>8326.0139558691208</v>
      </c>
      <c r="C221">
        <v>10082.94</v>
      </c>
    </row>
    <row r="222" spans="1:3" x14ac:dyDescent="0.2">
      <c r="A222" s="78">
        <v>45172</v>
      </c>
      <c r="B222">
        <v>8305.1953159387085</v>
      </c>
      <c r="C222">
        <v>10082.94</v>
      </c>
    </row>
    <row r="223" spans="1:3" x14ac:dyDescent="0.2">
      <c r="A223" s="78">
        <v>45171</v>
      </c>
      <c r="B223">
        <v>8342.5997272485292</v>
      </c>
      <c r="C223">
        <v>10082.94</v>
      </c>
    </row>
    <row r="224" spans="1:3" x14ac:dyDescent="0.2">
      <c r="A224" s="78">
        <v>45170</v>
      </c>
      <c r="B224">
        <v>8354.3922592512154</v>
      </c>
      <c r="C224">
        <v>10082.94</v>
      </c>
    </row>
    <row r="225" spans="1:3" x14ac:dyDescent="0.2">
      <c r="A225" s="78">
        <v>45169</v>
      </c>
      <c r="B225">
        <v>8662.0432460095581</v>
      </c>
      <c r="C225">
        <v>10082.94</v>
      </c>
    </row>
    <row r="226" spans="1:3" x14ac:dyDescent="0.2">
      <c r="A226" s="78">
        <v>45168</v>
      </c>
      <c r="B226">
        <v>8910.7767296058228</v>
      </c>
      <c r="C226">
        <v>10082.94</v>
      </c>
    </row>
    <row r="227" spans="1:3" x14ac:dyDescent="0.2">
      <c r="A227" s="78">
        <v>45167</v>
      </c>
      <c r="B227">
        <v>9231.1929611511077</v>
      </c>
      <c r="C227">
        <v>10082.94</v>
      </c>
    </row>
    <row r="228" spans="1:3" x14ac:dyDescent="0.2">
      <c r="A228" s="78">
        <v>45166</v>
      </c>
      <c r="B228">
        <v>9073.0713650416692</v>
      </c>
      <c r="C228">
        <v>10082.94</v>
      </c>
    </row>
    <row r="229" spans="1:3" x14ac:dyDescent="0.2">
      <c r="A229" s="78">
        <v>45165</v>
      </c>
      <c r="B229">
        <v>9240.4342236819648</v>
      </c>
      <c r="C229">
        <v>10082.94</v>
      </c>
    </row>
    <row r="230" spans="1:3" x14ac:dyDescent="0.2">
      <c r="A230" s="78">
        <v>45164</v>
      </c>
      <c r="B230">
        <v>9212.3657326176035</v>
      </c>
      <c r="C230">
        <v>10082.94</v>
      </c>
    </row>
    <row r="231" spans="1:3" x14ac:dyDescent="0.2">
      <c r="A231" s="78">
        <v>45163</v>
      </c>
      <c r="B231">
        <v>9326.2764293700548</v>
      </c>
      <c r="C231">
        <v>10082.94</v>
      </c>
    </row>
    <row r="232" spans="1:3" x14ac:dyDescent="0.2">
      <c r="A232" s="78">
        <v>45162</v>
      </c>
      <c r="B232">
        <v>9276.761917179967</v>
      </c>
      <c r="C232">
        <v>10082.94</v>
      </c>
    </row>
    <row r="233" spans="1:3" x14ac:dyDescent="0.2">
      <c r="A233" s="78">
        <v>45161</v>
      </c>
      <c r="B233">
        <v>9594.8482593820372</v>
      </c>
      <c r="C233">
        <v>10082.94</v>
      </c>
    </row>
    <row r="234" spans="1:3" x14ac:dyDescent="0.2">
      <c r="A234" s="78">
        <v>45160</v>
      </c>
      <c r="B234">
        <v>9278.3493998211088</v>
      </c>
      <c r="C234">
        <v>10082.94</v>
      </c>
    </row>
    <row r="235" spans="1:3" x14ac:dyDescent="0.2">
      <c r="A235" s="78">
        <v>45159</v>
      </c>
      <c r="B235">
        <v>9491.1415856114509</v>
      </c>
      <c r="C235">
        <v>10082.94</v>
      </c>
    </row>
    <row r="236" spans="1:3" x14ac:dyDescent="0.2">
      <c r="A236" s="78">
        <v>45158</v>
      </c>
      <c r="B236">
        <v>9633.7716393044866</v>
      </c>
      <c r="C236">
        <v>10082.94</v>
      </c>
    </row>
    <row r="237" spans="1:3" x14ac:dyDescent="0.2">
      <c r="A237" s="78">
        <v>45157</v>
      </c>
      <c r="B237">
        <v>9778.251438320096</v>
      </c>
      <c r="C237">
        <v>10082.94</v>
      </c>
    </row>
    <row r="238" spans="1:3" x14ac:dyDescent="0.2">
      <c r="A238" s="78">
        <v>45156</v>
      </c>
      <c r="B238">
        <v>9158.5272479019131</v>
      </c>
      <c r="C238">
        <v>10082.94</v>
      </c>
    </row>
    <row r="239" spans="1:3" x14ac:dyDescent="0.2">
      <c r="A239" s="78">
        <v>45155</v>
      </c>
      <c r="B239">
        <v>9034.1373808997378</v>
      </c>
      <c r="C239">
        <v>10082.94</v>
      </c>
    </row>
    <row r="240" spans="1:3" x14ac:dyDescent="0.2">
      <c r="A240" s="78">
        <v>45154</v>
      </c>
      <c r="B240">
        <v>10211.561992499801</v>
      </c>
      <c r="C240">
        <v>10082.94</v>
      </c>
    </row>
    <row r="241" spans="1:3" x14ac:dyDescent="0.2">
      <c r="A241" s="78">
        <v>45153</v>
      </c>
      <c r="B241">
        <v>10778.768347668451</v>
      </c>
      <c r="C241">
        <v>10082.94</v>
      </c>
    </row>
    <row r="242" spans="1:3" x14ac:dyDescent="0.2">
      <c r="A242" s="78">
        <v>45152</v>
      </c>
      <c r="B242">
        <v>10810.24958790991</v>
      </c>
      <c r="C242">
        <v>10082.94</v>
      </c>
    </row>
    <row r="243" spans="1:3" x14ac:dyDescent="0.2">
      <c r="A243" s="78">
        <v>45151</v>
      </c>
      <c r="B243">
        <v>10036.07217399173</v>
      </c>
      <c r="C243">
        <v>10082.94</v>
      </c>
    </row>
    <row r="244" spans="1:3" x14ac:dyDescent="0.2">
      <c r="A244" s="78">
        <v>45150</v>
      </c>
      <c r="B244">
        <v>9980.2845952989555</v>
      </c>
      <c r="C244">
        <v>10082.94</v>
      </c>
    </row>
    <row r="245" spans="1:3" x14ac:dyDescent="0.2">
      <c r="A245" s="78">
        <v>45149</v>
      </c>
      <c r="B245">
        <v>10048.34144669896</v>
      </c>
      <c r="C245">
        <v>10082.94</v>
      </c>
    </row>
    <row r="246" spans="1:3" x14ac:dyDescent="0.2">
      <c r="A246" s="78">
        <v>45148</v>
      </c>
      <c r="B246">
        <v>10149.43561119864</v>
      </c>
      <c r="C246">
        <v>10082.94</v>
      </c>
    </row>
    <row r="247" spans="1:3" x14ac:dyDescent="0.2">
      <c r="A247" s="78">
        <v>45147</v>
      </c>
      <c r="B247">
        <v>10412.63593568634</v>
      </c>
      <c r="C247">
        <v>10082.94</v>
      </c>
    </row>
    <row r="248" spans="1:3" x14ac:dyDescent="0.2">
      <c r="A248" s="78">
        <v>45146</v>
      </c>
      <c r="B248">
        <v>10510.37984993502</v>
      </c>
      <c r="C248">
        <v>9505.5399999999991</v>
      </c>
    </row>
    <row r="249" spans="1:3" x14ac:dyDescent="0.2">
      <c r="A249" s="78">
        <v>45145</v>
      </c>
      <c r="B249">
        <v>10081.055483912431</v>
      </c>
      <c r="C249">
        <v>9505.5399999999991</v>
      </c>
    </row>
    <row r="250" spans="1:3" x14ac:dyDescent="0.2">
      <c r="A250" s="78">
        <v>45144</v>
      </c>
      <c r="B250">
        <v>10129.17211459518</v>
      </c>
      <c r="C250">
        <v>9505.5399999999991</v>
      </c>
    </row>
    <row r="251" spans="1:3" x14ac:dyDescent="0.2">
      <c r="A251" s="78">
        <v>45143</v>
      </c>
      <c r="B251">
        <v>10017.074614403989</v>
      </c>
      <c r="C251">
        <v>9505.5399999999991</v>
      </c>
    </row>
    <row r="252" spans="1:3" x14ac:dyDescent="0.2">
      <c r="A252" s="78">
        <v>45142</v>
      </c>
      <c r="B252">
        <v>10099.53796778721</v>
      </c>
      <c r="C252">
        <v>9505.5399999999991</v>
      </c>
    </row>
    <row r="253" spans="1:3" x14ac:dyDescent="0.2">
      <c r="A253" s="78">
        <v>45141</v>
      </c>
      <c r="B253">
        <v>10360.71526881369</v>
      </c>
      <c r="C253">
        <v>9507.7099999999991</v>
      </c>
    </row>
    <row r="254" spans="1:3" x14ac:dyDescent="0.2">
      <c r="A254" s="78">
        <v>45140</v>
      </c>
      <c r="B254">
        <v>10512.195814584709</v>
      </c>
      <c r="C254">
        <v>9505.5399999999991</v>
      </c>
    </row>
    <row r="255" spans="1:3" x14ac:dyDescent="0.2">
      <c r="A255" s="78">
        <v>45139</v>
      </c>
      <c r="B255">
        <v>10720.284995360311</v>
      </c>
      <c r="C255">
        <v>9505.5399999999991</v>
      </c>
    </row>
    <row r="256" spans="1:3" x14ac:dyDescent="0.2">
      <c r="A256" s="78">
        <v>45138</v>
      </c>
      <c r="B256">
        <v>10654.33024823601</v>
      </c>
      <c r="C256">
        <v>9505.5399999999991</v>
      </c>
    </row>
    <row r="257" spans="1:3" x14ac:dyDescent="0.2">
      <c r="A257" s="78">
        <v>45137</v>
      </c>
      <c r="B257">
        <v>10733.58095100615</v>
      </c>
      <c r="C257">
        <v>9505.5399999999991</v>
      </c>
    </row>
    <row r="258" spans="1:3" x14ac:dyDescent="0.2">
      <c r="A258" s="78">
        <v>45136</v>
      </c>
      <c r="B258">
        <v>10861.49669800383</v>
      </c>
      <c r="C258">
        <v>9505.5399999999991</v>
      </c>
    </row>
    <row r="259" spans="1:3" x14ac:dyDescent="0.2">
      <c r="A259" s="78">
        <v>45135</v>
      </c>
      <c r="B259">
        <v>10805.16164848315</v>
      </c>
      <c r="C259">
        <v>9505.5399999999991</v>
      </c>
    </row>
    <row r="260" spans="1:3" x14ac:dyDescent="0.2">
      <c r="A260" s="78">
        <v>45134</v>
      </c>
      <c r="B260">
        <v>10761.958862441979</v>
      </c>
      <c r="C260">
        <v>9505.5399999999991</v>
      </c>
    </row>
    <row r="261" spans="1:3" x14ac:dyDescent="0.2">
      <c r="A261" s="78">
        <v>45133</v>
      </c>
      <c r="B261">
        <v>10825.31922847221</v>
      </c>
      <c r="C261">
        <v>9505.5399999999991</v>
      </c>
    </row>
    <row r="262" spans="1:3" x14ac:dyDescent="0.2">
      <c r="A262" s="78">
        <v>45132</v>
      </c>
      <c r="B262">
        <v>10749.31645161079</v>
      </c>
      <c r="C262">
        <v>9505.5399999999991</v>
      </c>
    </row>
    <row r="263" spans="1:3" x14ac:dyDescent="0.2">
      <c r="A263" s="78">
        <v>45131</v>
      </c>
      <c r="B263">
        <v>9674.2427029689297</v>
      </c>
      <c r="C263">
        <v>8505.5399999999991</v>
      </c>
    </row>
    <row r="264" spans="1:3" x14ac:dyDescent="0.2">
      <c r="A264" s="78">
        <v>45130</v>
      </c>
      <c r="B264">
        <v>10028.545581642969</v>
      </c>
      <c r="C264">
        <v>8505.5399999999991</v>
      </c>
    </row>
    <row r="265" spans="1:3" x14ac:dyDescent="0.2">
      <c r="A265" s="78">
        <v>45129</v>
      </c>
      <c r="B265">
        <v>9937.300940003528</v>
      </c>
      <c r="C265">
        <v>8505.5399999999991</v>
      </c>
    </row>
    <row r="266" spans="1:3" x14ac:dyDescent="0.2">
      <c r="A266" s="78">
        <v>45128</v>
      </c>
      <c r="B266">
        <v>10360.684645860951</v>
      </c>
      <c r="C266">
        <v>8505.5399999999991</v>
      </c>
    </row>
    <row r="267" spans="1:3" x14ac:dyDescent="0.2">
      <c r="A267" s="78">
        <v>45127</v>
      </c>
      <c r="B267">
        <v>10571.646766448401</v>
      </c>
      <c r="C267">
        <v>8505.5399999999991</v>
      </c>
    </row>
    <row r="268" spans="1:3" x14ac:dyDescent="0.2">
      <c r="A268" s="78">
        <v>45126</v>
      </c>
      <c r="B268">
        <v>10738.624374690149</v>
      </c>
      <c r="C268">
        <v>8505.5399999999991</v>
      </c>
    </row>
    <row r="269" spans="1:3" x14ac:dyDescent="0.2">
      <c r="A269" s="78">
        <v>45125</v>
      </c>
      <c r="B269">
        <v>10324.396730505099</v>
      </c>
      <c r="C269">
        <v>8505.5399999999991</v>
      </c>
    </row>
    <row r="270" spans="1:3" x14ac:dyDescent="0.2">
      <c r="A270" s="78">
        <v>45124</v>
      </c>
      <c r="B270">
        <v>10089.11236686464</v>
      </c>
      <c r="C270">
        <v>8876.409999999998</v>
      </c>
    </row>
    <row r="271" spans="1:3" x14ac:dyDescent="0.2">
      <c r="A271" s="78">
        <v>45123</v>
      </c>
      <c r="B271">
        <v>10041.6116913892</v>
      </c>
      <c r="C271">
        <v>8876.409999999998</v>
      </c>
    </row>
    <row r="272" spans="1:3" x14ac:dyDescent="0.2">
      <c r="A272" s="78">
        <v>45122</v>
      </c>
      <c r="B272">
        <v>10026.813439166959</v>
      </c>
      <c r="C272">
        <v>8876.409999999998</v>
      </c>
    </row>
    <row r="273" spans="1:3" x14ac:dyDescent="0.2">
      <c r="A273" s="78">
        <v>45121</v>
      </c>
      <c r="B273">
        <v>10038.01463198471</v>
      </c>
      <c r="C273">
        <v>8876.409999999998</v>
      </c>
    </row>
    <row r="274" spans="1:3" x14ac:dyDescent="0.2">
      <c r="A274" s="78">
        <v>45120</v>
      </c>
      <c r="B274">
        <v>10669.429924021781</v>
      </c>
      <c r="C274">
        <v>9003.6699999999983</v>
      </c>
    </row>
    <row r="275" spans="1:3" x14ac:dyDescent="0.2">
      <c r="A275" s="78">
        <v>45119</v>
      </c>
      <c r="B275">
        <v>8557.0181329960033</v>
      </c>
      <c r="C275">
        <v>9003.6699999999983</v>
      </c>
    </row>
    <row r="276" spans="1:3" x14ac:dyDescent="0.2">
      <c r="A276" s="78">
        <v>45118</v>
      </c>
      <c r="B276">
        <v>8587.4105508715129</v>
      </c>
      <c r="C276">
        <v>9003.6699999999983</v>
      </c>
    </row>
    <row r="277" spans="1:3" x14ac:dyDescent="0.2">
      <c r="A277" s="78">
        <v>45117</v>
      </c>
      <c r="B277">
        <v>8552.3155039103549</v>
      </c>
      <c r="C277">
        <v>9003.6699999999983</v>
      </c>
    </row>
    <row r="278" spans="1:3" x14ac:dyDescent="0.2">
      <c r="A278" s="78">
        <v>45116</v>
      </c>
      <c r="B278">
        <v>8479.7718129479308</v>
      </c>
      <c r="C278">
        <v>9003.4999999999982</v>
      </c>
    </row>
    <row r="279" spans="1:3" x14ac:dyDescent="0.2">
      <c r="A279" s="78">
        <v>45115</v>
      </c>
      <c r="B279">
        <v>8512.2498522802452</v>
      </c>
      <c r="C279">
        <v>9003.4999999999982</v>
      </c>
    </row>
    <row r="280" spans="1:3" x14ac:dyDescent="0.2">
      <c r="A280" s="78">
        <v>45114</v>
      </c>
      <c r="B280">
        <v>8491.9994271439136</v>
      </c>
      <c r="C280">
        <v>9003.4999999999982</v>
      </c>
    </row>
    <row r="281" spans="1:3" x14ac:dyDescent="0.2">
      <c r="A281" s="78">
        <v>45113</v>
      </c>
      <c r="B281">
        <v>8396.4470933559223</v>
      </c>
      <c r="C281">
        <v>9003.4999999999982</v>
      </c>
    </row>
    <row r="282" spans="1:3" x14ac:dyDescent="0.2">
      <c r="A282" s="78">
        <v>45112</v>
      </c>
      <c r="B282">
        <v>8615.9700257796721</v>
      </c>
      <c r="C282">
        <v>9003.4999999999982</v>
      </c>
    </row>
    <row r="283" spans="1:3" x14ac:dyDescent="0.2">
      <c r="A283" s="78">
        <v>45111</v>
      </c>
      <c r="B283">
        <v>8810.8772705159445</v>
      </c>
      <c r="C283">
        <v>9003.4999999999982</v>
      </c>
    </row>
    <row r="284" spans="1:3" x14ac:dyDescent="0.2">
      <c r="A284" s="78">
        <v>45110</v>
      </c>
      <c r="B284">
        <v>8929.8899329355809</v>
      </c>
      <c r="C284">
        <v>9003.4999999999982</v>
      </c>
    </row>
    <row r="285" spans="1:3" x14ac:dyDescent="0.2">
      <c r="A285" s="78">
        <v>45109</v>
      </c>
      <c r="B285">
        <v>8845.1011240823937</v>
      </c>
      <c r="C285">
        <v>9003.4999999999982</v>
      </c>
    </row>
    <row r="286" spans="1:3" x14ac:dyDescent="0.2">
      <c r="A286" s="78">
        <v>45108</v>
      </c>
      <c r="B286">
        <v>8802.3688384427278</v>
      </c>
      <c r="C286">
        <v>9003.4999999999982</v>
      </c>
    </row>
    <row r="287" spans="1:3" x14ac:dyDescent="0.2">
      <c r="A287" s="78">
        <v>45107</v>
      </c>
      <c r="B287">
        <v>8752.4286890626918</v>
      </c>
      <c r="C287">
        <v>9003.4999999999982</v>
      </c>
    </row>
    <row r="288" spans="1:3" x14ac:dyDescent="0.2">
      <c r="A288" s="78">
        <v>45106</v>
      </c>
      <c r="B288">
        <v>8489.5913659972612</v>
      </c>
      <c r="C288">
        <v>9003.4999999999982</v>
      </c>
    </row>
    <row r="289" spans="1:3" x14ac:dyDescent="0.2">
      <c r="A289" s="78">
        <v>45105</v>
      </c>
      <c r="B289">
        <v>8355.915094720247</v>
      </c>
      <c r="C289">
        <v>9003.4999999999982</v>
      </c>
    </row>
    <row r="290" spans="1:3" x14ac:dyDescent="0.2">
      <c r="A290" s="78">
        <v>45104</v>
      </c>
      <c r="B290">
        <v>8754.3367183418704</v>
      </c>
      <c r="C290">
        <v>9003.4999999999982</v>
      </c>
    </row>
    <row r="291" spans="1:3" x14ac:dyDescent="0.2">
      <c r="A291" s="78">
        <v>45103</v>
      </c>
      <c r="B291">
        <v>8627.6731379835564</v>
      </c>
      <c r="C291">
        <v>9003.4999999999982</v>
      </c>
    </row>
    <row r="292" spans="1:3" x14ac:dyDescent="0.2">
      <c r="A292" s="78">
        <v>45102</v>
      </c>
      <c r="B292">
        <v>8854.5673784002884</v>
      </c>
      <c r="C292">
        <v>9003.4999999999982</v>
      </c>
    </row>
    <row r="293" spans="1:3" x14ac:dyDescent="0.2">
      <c r="A293" s="78">
        <v>45101</v>
      </c>
      <c r="B293">
        <v>8768.1142221048685</v>
      </c>
      <c r="C293">
        <v>9003.4999999999982</v>
      </c>
    </row>
    <row r="294" spans="1:3" x14ac:dyDescent="0.2">
      <c r="A294" s="78">
        <v>45100</v>
      </c>
      <c r="B294">
        <v>8877.5022805921108</v>
      </c>
      <c r="C294">
        <v>9003.4999999999982</v>
      </c>
    </row>
    <row r="295" spans="1:3" x14ac:dyDescent="0.2">
      <c r="A295" s="78">
        <v>45099</v>
      </c>
      <c r="B295">
        <v>8711.1484859102857</v>
      </c>
      <c r="C295">
        <v>9003.4999999999982</v>
      </c>
    </row>
    <row r="296" spans="1:3" x14ac:dyDescent="0.2">
      <c r="A296" s="78">
        <v>45098</v>
      </c>
      <c r="B296">
        <v>8763.3531025526427</v>
      </c>
      <c r="C296">
        <v>9003.4999999999982</v>
      </c>
    </row>
    <row r="297" spans="1:3" x14ac:dyDescent="0.2">
      <c r="A297" s="78">
        <v>45097</v>
      </c>
      <c r="B297">
        <v>8430.5134296292672</v>
      </c>
      <c r="C297">
        <v>9002.6299999999974</v>
      </c>
    </row>
    <row r="298" spans="1:3" x14ac:dyDescent="0.2">
      <c r="A298" s="78">
        <v>45096</v>
      </c>
      <c r="B298">
        <v>8262.7329907048206</v>
      </c>
      <c r="C298">
        <v>9129.0099999999984</v>
      </c>
    </row>
    <row r="299" spans="1:3" x14ac:dyDescent="0.2">
      <c r="A299" s="78">
        <v>45095</v>
      </c>
      <c r="B299">
        <v>8237.4546490582106</v>
      </c>
      <c r="C299">
        <v>9129.0099999999984</v>
      </c>
    </row>
    <row r="300" spans="1:3" x14ac:dyDescent="0.2">
      <c r="A300" s="78">
        <v>45094</v>
      </c>
      <c r="B300">
        <v>8266.501777715479</v>
      </c>
      <c r="C300">
        <v>9129.0099999999984</v>
      </c>
    </row>
    <row r="301" spans="1:3" x14ac:dyDescent="0.2">
      <c r="A301" s="78">
        <v>45093</v>
      </c>
      <c r="B301">
        <v>8195.8472207131163</v>
      </c>
      <c r="C301">
        <v>9129.0099999999984</v>
      </c>
    </row>
    <row r="302" spans="1:3" x14ac:dyDescent="0.2">
      <c r="A302" s="78">
        <v>45092</v>
      </c>
      <c r="B302">
        <v>8072.8933613182708</v>
      </c>
      <c r="C302">
        <v>9129.0099999999984</v>
      </c>
    </row>
    <row r="303" spans="1:3" x14ac:dyDescent="0.2">
      <c r="A303" s="78">
        <v>45091</v>
      </c>
      <c r="B303">
        <v>8110.4190819877704</v>
      </c>
      <c r="C303">
        <v>9129.0099999999984</v>
      </c>
    </row>
    <row r="304" spans="1:3" x14ac:dyDescent="0.2">
      <c r="A304" s="78">
        <v>45090</v>
      </c>
      <c r="B304">
        <v>8511.0459997619218</v>
      </c>
      <c r="C304">
        <v>9129.0099999999984</v>
      </c>
    </row>
    <row r="305" spans="1:3" x14ac:dyDescent="0.2">
      <c r="A305" s="78">
        <v>45089</v>
      </c>
      <c r="B305">
        <v>8483.5565586892426</v>
      </c>
      <c r="C305">
        <v>9129.0099999999984</v>
      </c>
    </row>
    <row r="306" spans="1:3" x14ac:dyDescent="0.2">
      <c r="A306" s="78">
        <v>45088</v>
      </c>
      <c r="B306">
        <v>8442.9642357248958</v>
      </c>
      <c r="C306">
        <v>9129.0099999999984</v>
      </c>
    </row>
    <row r="307" spans="1:3" x14ac:dyDescent="0.2">
      <c r="A307" s="78">
        <v>45087</v>
      </c>
      <c r="B307">
        <v>8435.4862281391179</v>
      </c>
      <c r="C307">
        <v>9122.6999999999971</v>
      </c>
    </row>
    <row r="308" spans="1:3" x14ac:dyDescent="0.2">
      <c r="A308" s="78">
        <v>45086</v>
      </c>
      <c r="B308">
        <v>8965.6249509001918</v>
      </c>
      <c r="C308">
        <v>9122.6999999999971</v>
      </c>
    </row>
    <row r="309" spans="1:3" x14ac:dyDescent="0.2">
      <c r="A309" s="78">
        <v>45085</v>
      </c>
      <c r="B309">
        <v>9015.8419717770303</v>
      </c>
      <c r="C309">
        <v>9122.6999999999971</v>
      </c>
    </row>
    <row r="310" spans="1:3" x14ac:dyDescent="0.2">
      <c r="A310" s="78">
        <v>45084</v>
      </c>
      <c r="B310">
        <v>8955.0842326782622</v>
      </c>
      <c r="C310">
        <v>9122.6999999999971</v>
      </c>
    </row>
    <row r="311" spans="1:3" x14ac:dyDescent="0.2">
      <c r="A311" s="78">
        <v>45083</v>
      </c>
      <c r="B311">
        <v>9269.5046414077242</v>
      </c>
      <c r="C311">
        <v>9122.6999999999971</v>
      </c>
    </row>
    <row r="312" spans="1:3" x14ac:dyDescent="0.2">
      <c r="A312" s="78">
        <v>45082</v>
      </c>
      <c r="B312">
        <v>8996.9876399163186</v>
      </c>
      <c r="C312">
        <v>9122.6999999999971</v>
      </c>
    </row>
    <row r="313" spans="1:3" x14ac:dyDescent="0.2">
      <c r="A313" s="78">
        <v>45081</v>
      </c>
      <c r="B313">
        <v>9455.1490956731541</v>
      </c>
      <c r="C313">
        <v>9122.6999999999971</v>
      </c>
    </row>
    <row r="314" spans="1:3" x14ac:dyDescent="0.2">
      <c r="A314" s="78">
        <v>45080</v>
      </c>
      <c r="B314">
        <v>8386.2200408920235</v>
      </c>
      <c r="C314">
        <v>8123.7299999999977</v>
      </c>
    </row>
    <row r="315" spans="1:3" x14ac:dyDescent="0.2">
      <c r="A315" s="78">
        <v>45079</v>
      </c>
      <c r="B315">
        <v>8463.7175236778494</v>
      </c>
      <c r="C315">
        <v>8123.7299999999977</v>
      </c>
    </row>
    <row r="316" spans="1:3" x14ac:dyDescent="0.2">
      <c r="A316" s="78">
        <v>45078</v>
      </c>
      <c r="B316">
        <v>8258.5944661930262</v>
      </c>
      <c r="C316">
        <v>8123.7299999999977</v>
      </c>
    </row>
    <row r="317" spans="1:3" x14ac:dyDescent="0.2">
      <c r="A317" s="78">
        <v>45077</v>
      </c>
      <c r="B317">
        <v>8404.5745684799585</v>
      </c>
      <c r="C317">
        <v>8123.7299999999977</v>
      </c>
    </row>
    <row r="318" spans="1:3" x14ac:dyDescent="0.2">
      <c r="A318" s="78">
        <v>45076</v>
      </c>
      <c r="B318">
        <v>8526.9167850566446</v>
      </c>
      <c r="C318">
        <v>8123.7299999999977</v>
      </c>
    </row>
    <row r="319" spans="1:3" x14ac:dyDescent="0.2">
      <c r="A319" s="78">
        <v>45075</v>
      </c>
      <c r="B319">
        <v>8394.0659239965662</v>
      </c>
      <c r="C319">
        <v>8123.7299999999977</v>
      </c>
    </row>
    <row r="320" spans="1:3" x14ac:dyDescent="0.2">
      <c r="A320" s="78">
        <v>45074</v>
      </c>
      <c r="B320">
        <v>8411.227677703635</v>
      </c>
      <c r="C320">
        <v>8123.7299999999977</v>
      </c>
    </row>
    <row r="321" spans="1:3" x14ac:dyDescent="0.2">
      <c r="A321" s="78">
        <v>45073</v>
      </c>
      <c r="B321">
        <v>8134.2170470231704</v>
      </c>
      <c r="C321">
        <v>8123.7299999999977</v>
      </c>
    </row>
    <row r="322" spans="1:3" x14ac:dyDescent="0.2">
      <c r="A322" s="78">
        <v>45072</v>
      </c>
      <c r="B322">
        <v>8105.4435968347734</v>
      </c>
      <c r="C322">
        <v>8123.7299999999977</v>
      </c>
    </row>
    <row r="323" spans="1:3" x14ac:dyDescent="0.2">
      <c r="A323" s="78">
        <v>45071</v>
      </c>
      <c r="B323">
        <v>7928.2450697248951</v>
      </c>
      <c r="C323">
        <v>8123.7299999999977</v>
      </c>
    </row>
    <row r="324" spans="1:3" x14ac:dyDescent="0.2">
      <c r="A324" s="78">
        <v>45070</v>
      </c>
      <c r="B324">
        <v>7950.2262865611046</v>
      </c>
      <c r="C324">
        <v>8123.7299999999977</v>
      </c>
    </row>
    <row r="325" spans="1:3" x14ac:dyDescent="0.2">
      <c r="A325" s="78">
        <v>45069</v>
      </c>
      <c r="B325">
        <v>8163.8024561315542</v>
      </c>
      <c r="C325">
        <v>8123.7299999999977</v>
      </c>
    </row>
    <row r="326" spans="1:3" x14ac:dyDescent="0.2">
      <c r="A326" s="78">
        <v>45068</v>
      </c>
      <c r="B326">
        <v>8088.3859374488547</v>
      </c>
      <c r="C326">
        <v>8123.7299999999977</v>
      </c>
    </row>
    <row r="327" spans="1:3" x14ac:dyDescent="0.2">
      <c r="A327" s="78">
        <v>45067</v>
      </c>
      <c r="B327">
        <v>8035.5546325191972</v>
      </c>
      <c r="C327">
        <v>8120.6299999999983</v>
      </c>
    </row>
    <row r="328" spans="1:3" x14ac:dyDescent="0.2">
      <c r="A328" s="78">
        <v>45066</v>
      </c>
      <c r="B328">
        <v>8151.0380482185901</v>
      </c>
      <c r="C328">
        <v>8120.6299999999983</v>
      </c>
    </row>
    <row r="329" spans="1:3" x14ac:dyDescent="0.2">
      <c r="A329" s="78">
        <v>45065</v>
      </c>
      <c r="B329">
        <v>8132.5574644560911</v>
      </c>
      <c r="C329">
        <v>8120.6299999999983</v>
      </c>
    </row>
    <row r="330" spans="1:3" x14ac:dyDescent="0.2">
      <c r="A330" s="78">
        <v>45064</v>
      </c>
      <c r="B330">
        <v>8076.4119969432377</v>
      </c>
      <c r="C330">
        <v>8120.6299999999983</v>
      </c>
    </row>
    <row r="331" spans="1:3" x14ac:dyDescent="0.2">
      <c r="A331" s="78">
        <v>45063</v>
      </c>
      <c r="B331">
        <v>8108.6212301790547</v>
      </c>
      <c r="C331">
        <v>8120.6299999999983</v>
      </c>
    </row>
    <row r="332" spans="1:3" x14ac:dyDescent="0.2">
      <c r="A332" s="78">
        <v>45062</v>
      </c>
      <c r="B332">
        <v>8018.310479003454</v>
      </c>
      <c r="C332">
        <v>8120.6299999999983</v>
      </c>
    </row>
    <row r="333" spans="1:3" x14ac:dyDescent="0.2">
      <c r="A333" s="78">
        <v>45061</v>
      </c>
      <c r="B333">
        <v>7961.3662887755472</v>
      </c>
      <c r="C333">
        <v>8120.6299999999983</v>
      </c>
    </row>
    <row r="334" spans="1:3" x14ac:dyDescent="0.2">
      <c r="A334" s="78">
        <v>45060</v>
      </c>
      <c r="B334">
        <v>7895.001104964238</v>
      </c>
      <c r="C334">
        <v>8120.6299999999983</v>
      </c>
    </row>
    <row r="335" spans="1:3" x14ac:dyDescent="0.2">
      <c r="A335" s="78">
        <v>45059</v>
      </c>
      <c r="B335">
        <v>7856.2770349846851</v>
      </c>
      <c r="C335">
        <v>8120.6299999999983</v>
      </c>
    </row>
    <row r="336" spans="1:3" x14ac:dyDescent="0.2">
      <c r="A336" s="78">
        <v>45058</v>
      </c>
      <c r="B336">
        <v>7921.514515879494</v>
      </c>
      <c r="C336">
        <v>8086.0399999999981</v>
      </c>
    </row>
    <row r="337" spans="1:3" x14ac:dyDescent="0.2">
      <c r="A337" s="78">
        <v>45057</v>
      </c>
      <c r="B337">
        <v>7784.8358440995671</v>
      </c>
      <c r="C337">
        <v>8086.0399999999981</v>
      </c>
    </row>
    <row r="338" spans="1:3" x14ac:dyDescent="0.2">
      <c r="A338" s="78">
        <v>45056</v>
      </c>
      <c r="B338">
        <v>8046.7708859730374</v>
      </c>
      <c r="C338">
        <v>8086.0399999999981</v>
      </c>
    </row>
    <row r="339" spans="1:3" x14ac:dyDescent="0.2">
      <c r="A339" s="78">
        <v>45055</v>
      </c>
      <c r="B339">
        <v>8008.1845671538531</v>
      </c>
      <c r="C339">
        <v>8086.0399999999981</v>
      </c>
    </row>
    <row r="340" spans="1:3" x14ac:dyDescent="0.2">
      <c r="A340" s="78">
        <v>45054</v>
      </c>
      <c r="B340">
        <v>7990.438341863678</v>
      </c>
      <c r="C340">
        <v>8035.0199999999986</v>
      </c>
    </row>
    <row r="341" spans="1:3" x14ac:dyDescent="0.2">
      <c r="A341" s="78">
        <v>45053</v>
      </c>
      <c r="B341">
        <v>8303.5187448385132</v>
      </c>
      <c r="C341">
        <v>8035.0199999999986</v>
      </c>
    </row>
    <row r="342" spans="1:3" x14ac:dyDescent="0.2">
      <c r="A342" s="78">
        <v>45052</v>
      </c>
      <c r="B342">
        <v>8354.9891707469415</v>
      </c>
      <c r="C342">
        <v>8035.0199999999986</v>
      </c>
    </row>
    <row r="343" spans="1:3" x14ac:dyDescent="0.2">
      <c r="A343" s="78">
        <v>45051</v>
      </c>
      <c r="B343">
        <v>8628.1410246420492</v>
      </c>
      <c r="C343">
        <v>8035.0199999999986</v>
      </c>
    </row>
    <row r="344" spans="1:3" x14ac:dyDescent="0.2">
      <c r="A344" s="78">
        <v>45050</v>
      </c>
      <c r="B344">
        <v>8370.2120614000123</v>
      </c>
      <c r="C344">
        <v>8035.0199999999986</v>
      </c>
    </row>
    <row r="345" spans="1:3" x14ac:dyDescent="0.2">
      <c r="A345" s="78">
        <v>45049</v>
      </c>
      <c r="B345">
        <v>8472.110547626944</v>
      </c>
      <c r="C345">
        <v>8035.0199999999986</v>
      </c>
    </row>
    <row r="346" spans="1:3" x14ac:dyDescent="0.2">
      <c r="A346" s="78">
        <v>45048</v>
      </c>
      <c r="B346">
        <v>8423.1400169121043</v>
      </c>
      <c r="C346">
        <v>8035.0199999999986</v>
      </c>
    </row>
    <row r="347" spans="1:3" x14ac:dyDescent="0.2">
      <c r="A347" s="78">
        <v>45047</v>
      </c>
      <c r="B347">
        <v>8370.3421099703992</v>
      </c>
      <c r="C347">
        <v>8035.0199999999986</v>
      </c>
    </row>
    <row r="348" spans="1:3" x14ac:dyDescent="0.2">
      <c r="A348" s="78">
        <v>45046</v>
      </c>
      <c r="B348">
        <v>8680.6037904772711</v>
      </c>
      <c r="C348">
        <v>8035.0199999999986</v>
      </c>
    </row>
    <row r="349" spans="1:3" x14ac:dyDescent="0.2">
      <c r="A349" s="78">
        <v>45045</v>
      </c>
      <c r="B349">
        <v>8641.9999969055825</v>
      </c>
      <c r="C349">
        <v>8035.0199999999986</v>
      </c>
    </row>
    <row r="350" spans="1:3" x14ac:dyDescent="0.2">
      <c r="A350" s="78">
        <v>45044</v>
      </c>
      <c r="B350">
        <v>8629.9272840153826</v>
      </c>
      <c r="C350">
        <v>8035.0199999999986</v>
      </c>
    </row>
    <row r="351" spans="1:3" x14ac:dyDescent="0.2">
      <c r="A351" s="78">
        <v>45043</v>
      </c>
      <c r="B351">
        <v>8639.4844177479063</v>
      </c>
      <c r="C351">
        <v>8035.0199999999986</v>
      </c>
    </row>
    <row r="352" spans="1:3" x14ac:dyDescent="0.2">
      <c r="A352" s="78">
        <v>45042</v>
      </c>
      <c r="B352">
        <v>8479.0641642490991</v>
      </c>
      <c r="C352">
        <v>8035.0199999999986</v>
      </c>
    </row>
    <row r="353" spans="1:3" x14ac:dyDescent="0.2">
      <c r="A353" s="78">
        <v>45041</v>
      </c>
      <c r="B353">
        <v>8559.08992168849</v>
      </c>
      <c r="C353">
        <v>8035.0199999999986</v>
      </c>
    </row>
    <row r="354" spans="1:3" x14ac:dyDescent="0.2">
      <c r="A354" s="78">
        <v>45040</v>
      </c>
      <c r="B354">
        <v>8396.5931318790554</v>
      </c>
      <c r="C354">
        <v>8035.0199999999986</v>
      </c>
    </row>
    <row r="355" spans="1:3" x14ac:dyDescent="0.2">
      <c r="A355" s="78">
        <v>45039</v>
      </c>
      <c r="B355">
        <v>8474.79752214986</v>
      </c>
      <c r="C355">
        <v>8035.0199999999986</v>
      </c>
    </row>
    <row r="356" spans="1:3" x14ac:dyDescent="0.2">
      <c r="A356" s="78">
        <v>45038</v>
      </c>
      <c r="B356">
        <v>8593.0289612325341</v>
      </c>
      <c r="C356">
        <v>8035.0199999999986</v>
      </c>
    </row>
    <row r="357" spans="1:3" x14ac:dyDescent="0.2">
      <c r="A357" s="78">
        <v>45037</v>
      </c>
      <c r="B357">
        <v>8350.6197233377661</v>
      </c>
      <c r="C357">
        <v>8035.0199999999986</v>
      </c>
    </row>
    <row r="358" spans="1:3" x14ac:dyDescent="0.2">
      <c r="A358" s="78">
        <v>45036</v>
      </c>
      <c r="B358">
        <v>8755.4458449541416</v>
      </c>
      <c r="C358">
        <v>8035.0199999999986</v>
      </c>
    </row>
    <row r="359" spans="1:3" x14ac:dyDescent="0.2">
      <c r="A359" s="78">
        <v>45035</v>
      </c>
      <c r="B359">
        <v>8888.3417994876418</v>
      </c>
      <c r="C359">
        <v>8035.0199999999986</v>
      </c>
    </row>
    <row r="360" spans="1:3" x14ac:dyDescent="0.2">
      <c r="A360" s="78">
        <v>45034</v>
      </c>
      <c r="B360">
        <v>8749.915484044297</v>
      </c>
      <c r="C360">
        <v>7095.3399999999983</v>
      </c>
    </row>
    <row r="361" spans="1:3" x14ac:dyDescent="0.2">
      <c r="A361" s="78">
        <v>45033</v>
      </c>
      <c r="B361">
        <v>8558.9181637269176</v>
      </c>
      <c r="C361">
        <v>7095.3399999999983</v>
      </c>
    </row>
    <row r="362" spans="1:3" x14ac:dyDescent="0.2">
      <c r="A362" s="78">
        <v>45032</v>
      </c>
      <c r="B362">
        <v>8787.8075316299273</v>
      </c>
      <c r="C362">
        <v>7095.3399999999983</v>
      </c>
    </row>
    <row r="363" spans="1:3" x14ac:dyDescent="0.2">
      <c r="A363" s="78">
        <v>45031</v>
      </c>
      <c r="B363">
        <v>8725.8987985117801</v>
      </c>
      <c r="C363">
        <v>7095.3399999999983</v>
      </c>
    </row>
    <row r="364" spans="1:3" x14ac:dyDescent="0.2">
      <c r="A364" s="78">
        <v>45030</v>
      </c>
      <c r="B364">
        <v>8686.4290394986965</v>
      </c>
      <c r="C364">
        <v>7095.3399999999983</v>
      </c>
    </row>
    <row r="365" spans="1:3" x14ac:dyDescent="0.2">
      <c r="A365" s="78">
        <v>45029</v>
      </c>
      <c r="B365">
        <v>8460.6025626997161</v>
      </c>
      <c r="C365">
        <v>7095.3399999999983</v>
      </c>
    </row>
    <row r="366" spans="1:3" x14ac:dyDescent="0.2">
      <c r="A366" s="78">
        <v>45028</v>
      </c>
      <c r="B366">
        <v>8151.5374522034581</v>
      </c>
      <c r="C366">
        <v>7095.3399999999983</v>
      </c>
    </row>
    <row r="367" spans="1:3" x14ac:dyDescent="0.2">
      <c r="A367" s="78">
        <v>45027</v>
      </c>
      <c r="B367">
        <v>8197.7278953353343</v>
      </c>
      <c r="C367">
        <v>7095.3399999999983</v>
      </c>
    </row>
    <row r="368" spans="1:3" x14ac:dyDescent="0.2">
      <c r="A368" s="78">
        <v>45026</v>
      </c>
      <c r="B368">
        <v>8244.1738556771852</v>
      </c>
      <c r="C368">
        <v>7095.3399999999983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Portfolio</vt:lpstr>
      <vt:lpstr>Transactions</vt:lpstr>
      <vt:lpstr>Currency Transactions</vt:lpstr>
      <vt:lpstr>Currency Data</vt:lpstr>
      <vt:lpstr>8949</vt:lpstr>
      <vt:lpstr>Tax Calc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Theriault, James E</cp:lastModifiedBy>
  <dcterms:created xsi:type="dcterms:W3CDTF">2024-02-19T03:26:05Z</dcterms:created>
  <dcterms:modified xsi:type="dcterms:W3CDTF">2024-04-12T16:54:03Z</dcterms:modified>
</cp:coreProperties>
</file>