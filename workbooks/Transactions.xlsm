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1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jimmytheriault/Library/CloudStorage/OneDrive-Personal/GitHub/crypto-excel/workbooks/"/>
    </mc:Choice>
  </mc:AlternateContent>
  <xr:revisionPtr revIDLastSave="0" documentId="13_ncr:1_{59FDAE4E-E795-F742-86DC-A0A0B2326C51}" xr6:coauthVersionLast="47" xr6:coauthVersionMax="47" xr10:uidLastSave="{00000000-0000-0000-0000-000000000000}"/>
  <bookViews>
    <workbookView xWindow="0" yWindow="500" windowWidth="16800" windowHeight="20500" activeTab="1" xr2:uid="{00000000-000D-0000-FFFF-FFFF00000000}"/>
  </bookViews>
  <sheets>
    <sheet name="Portfolio" sheetId="1" r:id="rId1"/>
    <sheet name="Transactions" sheetId="2" r:id="rId2"/>
    <sheet name="Transactions (After Sales)" sheetId="12" r:id="rId3"/>
    <sheet name="Currency Transactions" sheetId="3" r:id="rId4"/>
    <sheet name="Currency Data" sheetId="4" r:id="rId5"/>
    <sheet name="Tax Calc" sheetId="10" r:id="rId6"/>
    <sheet name="8949 Data" sheetId="11" r:id="rId7"/>
    <sheet name="After Sales" sheetId="15" state="hidden" r:id="rId8"/>
    <sheet name="Current Prices" sheetId="8" state="hidden" r:id="rId9"/>
    <sheet name="Portfolios" sheetId="7" state="hidden" r:id="rId10"/>
    <sheet name="Value &amp; Cost Basis" sheetId="6" state="hidden" r:id="rId11"/>
  </sheets>
  <functionGroups builtInGroupCount="19"/>
  <definedNames>
    <definedName name="_xlnm._FilterDatabase" localSheetId="6" hidden="1">'8949 Data'!$A$1:$H$449</definedName>
    <definedName name="_xlnm._FilterDatabase" localSheetId="3" hidden="1">'Currency Transactions'!$A$6:$M$30</definedName>
    <definedName name="_xlnm._FilterDatabase" localSheetId="1" hidden="1">Transactions!$A$1:$N$355</definedName>
    <definedName name="_xlpm.blanks" hidden="1" xlm="1">#NAME?</definedName>
    <definedName name="_xlpm.data" hidden="1" xlm="1">#NAME?</definedName>
    <definedName name="_xlpm.dates" hidden="1" xlm="1">#NAME?</definedName>
    <definedName name="_xlpm.result" hidden="1" xlm="1">#NAME?</definedName>
    <definedName name="_xlpm.rows" hidden="1" xlm="1">#NAME?</definedName>
    <definedName name="_xlpm.sequence" hidden="1" xlm="1">#NAME?</definedName>
    <definedName name="AFTER_SALES_COST_BASIS">OFFSET('Transactions (After Sales)'!$E$2, 0, 0, COUNTA('Transactions (After Sales)'!$B:$B) - 1, 1)</definedName>
    <definedName name="AFTER_SALES_CURRENCY">OFFSET('Transactions (After Sales)'!$C$2, 0, 0, COUNTA('Transactions (After Sales)'!$B:$B) - 1, 1)</definedName>
    <definedName name="AFTER_SALES_CURRENT_VALUE">OFFSET('Transactions (After Sales)'!$G$2, 0, 0, COUNTA('Transactions (After Sales)'!$B:$B) - 1, 1)</definedName>
    <definedName name="AFTER_SALES_DATES">OFFSET('Transactions (After Sales)'!$B$2, 0, 0, COUNTA('Transactions (After Sales)'!$B:$B) - 1, 1)</definedName>
    <definedName name="AFTER_SALES_QUANTITY">OFFSET('Transactions (After Sales)'!$D$2, 0, 0, COUNTA('Transactions (After Sales)'!$B:$B) - 1, 1)</definedName>
    <definedName name="AFTER_SALES_UNIQUE_CURRENCY">_xlfn._xlws.FILTER(OFFSET('Transactions (After Sales)'!$J$17, 0, 0, COUNTA('Transactions (After Sales)'!$J:$J) - 1, 1), (OFFSET('Transactions (After Sales)'!$J$17, 0, 0, COUNTA('Transactions (After Sales)'!$J:$J) - 1, 1)&lt;&gt;0)*(OFFSET('Transactions (After Sales)'!$J$17, 0, 0, COUNTA('Transactions (After Sales)'!$J:$J) - 1, 1)&lt;&gt;"Currency")*(OFFSET('Transactions (After Sales)'!$J$17, 0, 0, COUNTA('Transactions (After Sales)'!$J:$J) - 1, 1)&lt;&gt;"USDC"))</definedName>
    <definedName name="ASSETS">OFFSET(Portfolio!$A$39, 0, 0, COUNTA(Portfolio!$F:$F) - 1, 1)</definedName>
    <definedName name="ASSETS_VALUE">OFFSET(Portfolio!$F$39, 0, 0, COUNTA(Portfolio!$F:$F) - 1, 1)</definedName>
    <definedName name="CHART_RANGE">Portfolio!$M$9</definedName>
    <definedName name="COST_BASIS_8949">OFFSET('8949 Data'!$F$2, 0, 0, COUNTA('8949 Data'!$A:$A) - 1, 1)</definedName>
    <definedName name="COST_BASIS_BOUGHT">OFFSET('Currency Data'!$F$2, 0, 0, COUNTA('Currency Data'!$A:$A) - 1, 1)</definedName>
    <definedName name="COST_BASIS_SOLD">OFFSET('Currency Data'!$G$2, 0, 0, COUNTA('Currency Data'!$A:$A) - 1, 1)</definedName>
    <definedName name="CURRENCY">OFFSET('Currency Data'!$A$2, 0, 0, COUNTA('Currency Data'!$A:$A) - 1, 1)</definedName>
    <definedName name="CURRENCY_8949">OFFSET('8949 Data'!$A$2, 0, 0, COUNTA('8949 Data'!$A:$A) - 1, 1)</definedName>
    <definedName name="CURRENCY_VALUE">OFFSET('Currency Data'!$I$2, 0, 0, COUNTA('Currency Data'!$A:$A) - 1, 1)</definedName>
    <definedName name="CURRENT_COST_BASIS">OFFSET('Currency Data'!$H$2, 0, 0, COUNTA('Currency Data'!$A:$A) - 1, 1)</definedName>
    <definedName name="CURRENT_QUANTITY">OFFSET('Currency Data'!$E$2, 0, 0, COUNTA('Currency Data'!$A:$A) - 1, 1)</definedName>
    <definedName name="DATE">OFFSET(Transactions!$A$2, 0, 0, COUNTA(Transactions!$A:$A) - 1, 1)</definedName>
    <definedName name="DATE_ACQUIRED_8949">OFFSET('8949 Data'!$C$2, 0, 0, COUNTA('8949 Data'!$A:$A) - 1, 1)</definedName>
    <definedName name="DATE_SOLD_8949">OFFSET('8949 Data'!$D$2, 0, 0, COUNTA('8949 Data'!$A:$A) - 1, 1)</definedName>
    <definedName name="ExternalData_1" localSheetId="7" hidden="1">'After Sales'!$A$1:$D$44</definedName>
    <definedName name="ExternalData_1" localSheetId="10" hidden="1">'Value &amp; Cost Basis'!$A$1:$D$377</definedName>
    <definedName name="ExternalData_2" localSheetId="9" hidden="1">Portfolios!$A$1:$D$1102</definedName>
    <definedName name="ExternalData_3" localSheetId="8" hidden="1">'Current Prices'!$A$1:$B$43</definedName>
    <definedName name="FEE_COST_BASIS">OFFSET(Transactions!$L$2, 0, 0, COUNTA(Transactions!$A:$A) - 1, 1)</definedName>
    <definedName name="FEE_CURRENCY">OFFSET(Transactions!$K$2, 0, 0, COUNTA(Transactions!$A:$A) - 1, 1)</definedName>
    <definedName name="FEE_QUANTITY">OFFSET(Transactions!$J$2, 0, 0, COUNTA(Transactions!$A:$A) - 1, 1)</definedName>
    <definedName name="FEE_REALIZED_RETURN">OFFSET(Transactions!$N$2, 0, 0, COUNTA(Transactions!$A:$A) - 1, 1)</definedName>
    <definedName name="LONG_TERM_COST_BASIS">OFFSET('Transactions (After Sales)'!$L$17, 0, 0, COUNTA('Transactions (After Sales)'!$J:$J) - 1, 1)</definedName>
    <definedName name="LONG_TERM_CURRENT_VALUE">OFFSET('Transactions (After Sales)'!$M$17, 0, 0, COUNTA('Transactions (After Sales)'!$J:$J) - 1, 1)</definedName>
    <definedName name="LONG_TERM_QUANTITY">OFFSET('Transactions (After Sales)'!$K$17, 0, 0, COUNTA('Transactions (After Sales)'!$J:$J) - 1, 1)</definedName>
    <definedName name="PORTFOLIO_VALUE">OFFSET('Value &amp; Cost Basis'!$B$2, 0, 0, COUNTA('Value &amp; Cost Basis'!$A:$A) - 1, 1)</definedName>
    <definedName name="PRICES">OFFSET('Current Prices'!$B$3, 0, 0, COUNTA('Current Prices'!$B:$B) - 2, 1)</definedName>
    <definedName name="PRICES_SYMBOL">OFFSET('Current Prices'!$A$3, 0, 0, COUNTA('Current Prices'!$B:$B) - 2, 1)</definedName>
    <definedName name="PROCEEDS_8949">OFFSET('8949 Data'!$E$2, 0, 0, COUNTA('8949 Data'!$A:$A) - 1, 1)</definedName>
    <definedName name="QUANTITY_8949">OFFSET('8949 Data'!$B$2, 0, 0, COUNTA('8949 Data'!$A:$A) - 1, 1)</definedName>
    <definedName name="QUANTITY_BOUGHT">OFFSET('Currency Data'!$C$2, 0, 0, COUNTA('Currency Data'!$A:$A) - 1, 1)</definedName>
    <definedName name="QUANTITY_SOLD">OFFSET('Currency Data'!$D$2, 0, 0, COUNTA('Currency Data'!$A:$A) - 1, 1)</definedName>
    <definedName name="REALIZED_RETURN">OFFSET(Transactions!$M$2, 0, 0, COUNTA(Transactions!$A:$A) - 1, 1)</definedName>
    <definedName name="RECEIVED_COST_BASIS">OFFSET(Transactions!$F$2, 0, 0, COUNTA(Transactions!$A:$A) - 1, 1)</definedName>
    <definedName name="RECEIVED_CURRENCY">OFFSET(Transactions!$D$2, 0, 0, COUNTA(Transactions!$A:$A) - 1, 1)</definedName>
    <definedName name="RECEIVED_PRICE">OFFSET(Transactions!$E$2, 0, 0, COUNTA(Transactions!$A:$A) - 1, 1)</definedName>
    <definedName name="RECEIVED_QUANTITY">OFFSET(Transactions!$C$2, 0, 0, COUNTA(Transactions!$A:$A) - 1, 1)</definedName>
    <definedName name="RETURN">OFFSET('Currency Data'!$J$2, 0, 0, COUNTA('Currency Data'!$A:$A) - 1, 1)</definedName>
    <definedName name="RETURN_8949">OFFSET('8949 Data'!$G$2, 0, 0, COUNTA('8949 Data'!$A:$A) - 1, 1)</definedName>
    <definedName name="SENT_COST_BASIS">OFFSET(Transactions!$I$2, 0, 0, COUNTA(Transactions!$A:$A) - 1, 1)</definedName>
    <definedName name="SENT_CURRENCY">OFFSET(Transactions!$H$2, 0, 0, COUNTA(Transactions!$A:$A) - 1, 1)</definedName>
    <definedName name="SENT_QUANTITY">OFFSET(Transactions!$G$2, 0, 0, COUNTA(Transactions!$A:$A) - 1, 1)</definedName>
    <definedName name="SHORT_TERM_COST_BASIS">OFFSET('Transactions (After Sales)'!$O$17, 0, 0, COUNTA('Transactions (After Sales)'!$J:$J) - 1, 1)</definedName>
    <definedName name="SHORT_TERM_CURRENT_VALUE">OFFSET('Transactions (After Sales)'!$P$17, 0, 0, COUNTA('Transactions (After Sales)'!$J:$J) - 1, 1)</definedName>
    <definedName name="SHORT_TERM_QUANTITY">OFFSET('Transactions (After Sales)'!$N$17, 0, 0, COUNTA('Transactions (After Sales)'!$J:$J) - 1, 1)</definedName>
    <definedName name="TERM_8949">OFFSET('8949 Data'!$H$2, 0, 0, COUNTA('8949 Data'!$A:$A) - 1, 1)</definedName>
    <definedName name="TOTAL_DATA_COST_BASIS">OFFSET('Value &amp; Cost Basis'!$C$2, 0, 0, COUNTA('Value &amp; Cost Basis'!$A:$A) - 1, 1)</definedName>
    <definedName name="TOTAL_DATA_DATES">OFFSET('Value &amp; Cost Basis'!$A$2, 0, 0, COUNTA('Value &amp; Cost Basis'!$A:$A) - 1, 1)</definedName>
    <definedName name="TRANSACTIONS">OFFSET(Transactions!$A$2, 0, 0, COUNTA(Transactions!$A:$A) - 1, 13)</definedName>
    <definedName name="TYPE">OFFSET(Transactions!$B$2, 0, 0, COUNTA(Transactions!$A:$A) - 1, 1)</definedName>
    <definedName name="UNREALIZED_RETURN">OFFSET('Currency Data'!$J$2, 0, 0, COUNTA('Currency Data'!$A:$A) - 1, 1)</definedName>
  </definedNames>
  <calcPr calcId="191029" iterate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47" i="12" l="1" a="1"/>
  <c r="E47" i="12" s="1"/>
  <c r="E2" i="2" a="1"/>
  <c r="E2" i="2" s="1"/>
  <c r="B2" i="12" a="1"/>
  <c r="B2" i="12" s="1"/>
  <c r="G2" i="12" l="1" a="1"/>
  <c r="G2" i="12" s="1"/>
  <c r="H2" i="12" s="1" a="1"/>
  <c r="H2" i="12" s="1"/>
  <c r="F298" i="2"/>
  <c r="C298" i="2"/>
  <c r="F278" i="2"/>
  <c r="C278" i="2"/>
  <c r="C81" i="2"/>
  <c r="F81" i="2"/>
  <c r="H176" i="11"/>
  <c r="H177" i="11"/>
  <c r="H178" i="11"/>
  <c r="H16" i="11"/>
  <c r="H17" i="11"/>
  <c r="H18" i="11"/>
  <c r="H19" i="11"/>
  <c r="H20" i="11"/>
  <c r="H21" i="11"/>
  <c r="H22" i="11"/>
  <c r="H23" i="11"/>
  <c r="H24" i="11"/>
  <c r="H25" i="11"/>
  <c r="H26" i="11"/>
  <c r="H27" i="11"/>
  <c r="H28" i="11"/>
  <c r="H29" i="11"/>
  <c r="H30" i="11"/>
  <c r="H31" i="11"/>
  <c r="H32" i="11"/>
  <c r="H33" i="11"/>
  <c r="H34" i="11"/>
  <c r="H35" i="11"/>
  <c r="H36" i="11"/>
  <c r="H37" i="11"/>
  <c r="H38" i="11"/>
  <c r="H39" i="11"/>
  <c r="H40" i="11"/>
  <c r="H41" i="11"/>
  <c r="H42" i="11"/>
  <c r="H43" i="11"/>
  <c r="H44" i="11"/>
  <c r="H45" i="11"/>
  <c r="H46" i="11"/>
  <c r="H47" i="11"/>
  <c r="H48" i="11"/>
  <c r="H49" i="11"/>
  <c r="H50" i="11"/>
  <c r="H51" i="11"/>
  <c r="H52" i="11"/>
  <c r="H53" i="11"/>
  <c r="H54" i="11"/>
  <c r="H55" i="11"/>
  <c r="H56" i="11"/>
  <c r="H57" i="11"/>
  <c r="H58" i="11"/>
  <c r="H59" i="11"/>
  <c r="H60" i="11"/>
  <c r="H61" i="11"/>
  <c r="H62" i="11"/>
  <c r="H63" i="11"/>
  <c r="H64" i="11"/>
  <c r="H65" i="11"/>
  <c r="H66" i="11"/>
  <c r="H67" i="11"/>
  <c r="H68" i="11"/>
  <c r="H69" i="11"/>
  <c r="H70" i="11"/>
  <c r="H71" i="11"/>
  <c r="H72" i="11"/>
  <c r="H73" i="11"/>
  <c r="H74" i="11"/>
  <c r="H75" i="11"/>
  <c r="H76" i="11"/>
  <c r="H77" i="11"/>
  <c r="H78" i="11"/>
  <c r="H79" i="11"/>
  <c r="H80" i="11"/>
  <c r="H81" i="11"/>
  <c r="H82" i="11"/>
  <c r="H83" i="11"/>
  <c r="H84" i="11"/>
  <c r="H85" i="11"/>
  <c r="H86" i="11"/>
  <c r="H87" i="11"/>
  <c r="H88" i="11"/>
  <c r="H89" i="11"/>
  <c r="H90" i="11"/>
  <c r="H91" i="11"/>
  <c r="H92" i="11"/>
  <c r="H93" i="11"/>
  <c r="H94" i="11"/>
  <c r="H95" i="11"/>
  <c r="H96" i="11"/>
  <c r="H97" i="11"/>
  <c r="H98" i="11"/>
  <c r="H99" i="11"/>
  <c r="H100" i="11"/>
  <c r="H101" i="11"/>
  <c r="H102" i="11"/>
  <c r="H103" i="11"/>
  <c r="H104" i="11"/>
  <c r="H105" i="11"/>
  <c r="H106" i="11"/>
  <c r="H107" i="11"/>
  <c r="H108" i="11"/>
  <c r="H109" i="11"/>
  <c r="H110" i="11"/>
  <c r="H111" i="11"/>
  <c r="H112" i="11"/>
  <c r="H113" i="11"/>
  <c r="H114" i="11"/>
  <c r="H115" i="11"/>
  <c r="H116" i="11"/>
  <c r="H117" i="11"/>
  <c r="H118" i="11"/>
  <c r="H119" i="11"/>
  <c r="H120" i="11"/>
  <c r="H121" i="11"/>
  <c r="H122" i="11"/>
  <c r="H123" i="11"/>
  <c r="H124" i="11"/>
  <c r="H125" i="11"/>
  <c r="H126" i="11"/>
  <c r="H127" i="11"/>
  <c r="H128" i="11"/>
  <c r="H129" i="11"/>
  <c r="H130" i="11"/>
  <c r="H131" i="11"/>
  <c r="H132" i="11"/>
  <c r="H133" i="11"/>
  <c r="H134" i="11"/>
  <c r="H135" i="11"/>
  <c r="H136" i="11"/>
  <c r="H137" i="11"/>
  <c r="H138" i="11"/>
  <c r="H139" i="11"/>
  <c r="H140" i="11"/>
  <c r="H141" i="11"/>
  <c r="H142" i="11"/>
  <c r="H143" i="11"/>
  <c r="H144" i="11"/>
  <c r="H145" i="11"/>
  <c r="H146" i="11"/>
  <c r="H147" i="11"/>
  <c r="H148" i="11"/>
  <c r="H149" i="11"/>
  <c r="H150" i="11"/>
  <c r="H151" i="11"/>
  <c r="H152" i="11"/>
  <c r="H153" i="11"/>
  <c r="H154" i="11"/>
  <c r="H155" i="11"/>
  <c r="H156" i="11"/>
  <c r="H157" i="11"/>
  <c r="H158" i="11"/>
  <c r="H159" i="11"/>
  <c r="H160" i="11"/>
  <c r="H161" i="11"/>
  <c r="H162" i="11"/>
  <c r="H163" i="11"/>
  <c r="H164" i="11"/>
  <c r="H165" i="11"/>
  <c r="H166" i="11"/>
  <c r="H167" i="11"/>
  <c r="H168" i="11"/>
  <c r="H169" i="11"/>
  <c r="H170" i="11"/>
  <c r="H171" i="11"/>
  <c r="H172" i="11"/>
  <c r="H173" i="11"/>
  <c r="H174" i="11"/>
  <c r="H175" i="11"/>
  <c r="H179" i="11"/>
  <c r="H180" i="11"/>
  <c r="H181" i="11"/>
  <c r="H182" i="11"/>
  <c r="H183" i="11"/>
  <c r="H184" i="11"/>
  <c r="H185" i="11"/>
  <c r="H186" i="11"/>
  <c r="H187" i="11"/>
  <c r="H188" i="11"/>
  <c r="H189" i="11"/>
  <c r="H190" i="11"/>
  <c r="H191" i="11"/>
  <c r="H192" i="11"/>
  <c r="H193" i="11"/>
  <c r="H194" i="11"/>
  <c r="H195" i="11"/>
  <c r="H196" i="11"/>
  <c r="H197" i="11"/>
  <c r="H198" i="11"/>
  <c r="H199" i="11"/>
  <c r="H200" i="11"/>
  <c r="H201" i="11"/>
  <c r="H202" i="11"/>
  <c r="H203" i="11"/>
  <c r="H204" i="11"/>
  <c r="H205" i="11"/>
  <c r="H206" i="11"/>
  <c r="H207" i="11"/>
  <c r="H208" i="11"/>
  <c r="H209" i="11"/>
  <c r="H210" i="11"/>
  <c r="H211" i="11"/>
  <c r="H212" i="11"/>
  <c r="H213" i="11"/>
  <c r="H214" i="11"/>
  <c r="H215" i="11"/>
  <c r="H216" i="11"/>
  <c r="H217" i="11"/>
  <c r="H218" i="11"/>
  <c r="H219" i="11"/>
  <c r="H220" i="11"/>
  <c r="H221" i="11"/>
  <c r="H222" i="11"/>
  <c r="H223" i="11"/>
  <c r="H224" i="11"/>
  <c r="H225" i="11"/>
  <c r="H226" i="11"/>
  <c r="H227" i="11"/>
  <c r="H228" i="11"/>
  <c r="H229" i="11"/>
  <c r="H230" i="11"/>
  <c r="H231" i="11"/>
  <c r="H232" i="11"/>
  <c r="H233" i="11"/>
  <c r="H234" i="11"/>
  <c r="H235" i="11"/>
  <c r="H236" i="11"/>
  <c r="H237" i="11"/>
  <c r="H238" i="11"/>
  <c r="H239" i="11"/>
  <c r="H240" i="11"/>
  <c r="H241" i="11"/>
  <c r="H242" i="11"/>
  <c r="H243" i="11"/>
  <c r="H244" i="11"/>
  <c r="H245" i="11"/>
  <c r="H246" i="11"/>
  <c r="H247" i="11"/>
  <c r="H248" i="11"/>
  <c r="H249" i="11"/>
  <c r="H250" i="11"/>
  <c r="H251" i="11"/>
  <c r="H252" i="11"/>
  <c r="H253" i="11"/>
  <c r="H254" i="11"/>
  <c r="H255" i="11"/>
  <c r="H256" i="11"/>
  <c r="H257" i="11"/>
  <c r="H258" i="11"/>
  <c r="H259" i="11"/>
  <c r="H260" i="11"/>
  <c r="H261" i="11"/>
  <c r="H262" i="11"/>
  <c r="H263" i="11"/>
  <c r="H264" i="11"/>
  <c r="H265" i="11"/>
  <c r="H266" i="11"/>
  <c r="H267" i="11"/>
  <c r="H268" i="11"/>
  <c r="H269" i="11"/>
  <c r="H270" i="11"/>
  <c r="H271" i="11"/>
  <c r="H272" i="11"/>
  <c r="H273" i="11"/>
  <c r="H274" i="11"/>
  <c r="H275" i="11"/>
  <c r="H276" i="11"/>
  <c r="H277" i="11"/>
  <c r="H278" i="11"/>
  <c r="H279" i="11"/>
  <c r="H280" i="11"/>
  <c r="H281" i="11"/>
  <c r="H282" i="11"/>
  <c r="H283" i="11"/>
  <c r="H284" i="11"/>
  <c r="H285" i="11"/>
  <c r="H286" i="11"/>
  <c r="H287" i="11"/>
  <c r="H288" i="11"/>
  <c r="H289" i="11"/>
  <c r="H290" i="11"/>
  <c r="H291" i="11"/>
  <c r="H292" i="11"/>
  <c r="H293" i="11"/>
  <c r="H294" i="11"/>
  <c r="H295" i="11"/>
  <c r="H296" i="11"/>
  <c r="H297" i="11"/>
  <c r="H298" i="11"/>
  <c r="H299" i="11"/>
  <c r="H300" i="11"/>
  <c r="H301" i="11"/>
  <c r="H302" i="11"/>
  <c r="H303" i="11"/>
  <c r="H304" i="11"/>
  <c r="H305" i="11"/>
  <c r="H306" i="11"/>
  <c r="H307" i="11"/>
  <c r="H308" i="11"/>
  <c r="H309" i="11"/>
  <c r="H310" i="11"/>
  <c r="H311" i="11"/>
  <c r="H312" i="11"/>
  <c r="H313" i="11"/>
  <c r="H314" i="11"/>
  <c r="H315" i="11"/>
  <c r="H316" i="11"/>
  <c r="H317" i="11"/>
  <c r="H318" i="11"/>
  <c r="H319" i="11"/>
  <c r="H320" i="11"/>
  <c r="H321" i="11"/>
  <c r="H322" i="11"/>
  <c r="H323" i="11"/>
  <c r="H324" i="11"/>
  <c r="H325" i="11"/>
  <c r="H326" i="11"/>
  <c r="H327" i="11"/>
  <c r="H328" i="11"/>
  <c r="H329" i="11"/>
  <c r="H330" i="11"/>
  <c r="H331" i="11"/>
  <c r="H332" i="11"/>
  <c r="H333" i="11"/>
  <c r="H334" i="11"/>
  <c r="H335" i="11"/>
  <c r="H336" i="11"/>
  <c r="H337" i="11"/>
  <c r="H338" i="11"/>
  <c r="H339" i="11"/>
  <c r="H340" i="11"/>
  <c r="H341" i="11"/>
  <c r="H342" i="11"/>
  <c r="H343" i="11"/>
  <c r="H344" i="11"/>
  <c r="H345" i="11"/>
  <c r="H346" i="11"/>
  <c r="H347" i="11"/>
  <c r="H348" i="11"/>
  <c r="H349" i="11"/>
  <c r="H350" i="11"/>
  <c r="H351" i="11"/>
  <c r="H352" i="11"/>
  <c r="H353" i="11"/>
  <c r="H354" i="11"/>
  <c r="H355" i="11"/>
  <c r="H356" i="11"/>
  <c r="H357" i="11"/>
  <c r="H358" i="11"/>
  <c r="H359" i="11"/>
  <c r="H360" i="11"/>
  <c r="H361" i="11"/>
  <c r="H362" i="11"/>
  <c r="H363" i="11"/>
  <c r="H364" i="11"/>
  <c r="H365" i="11"/>
  <c r="H366" i="11"/>
  <c r="H367" i="11"/>
  <c r="H368" i="11"/>
  <c r="H369" i="11"/>
  <c r="H370" i="11"/>
  <c r="H371" i="11"/>
  <c r="H372" i="11"/>
  <c r="H373" i="11"/>
  <c r="H374" i="11"/>
  <c r="H375" i="11"/>
  <c r="H376" i="11"/>
  <c r="H377" i="11"/>
  <c r="H378" i="11"/>
  <c r="H379" i="11"/>
  <c r="H380" i="11"/>
  <c r="H381" i="11"/>
  <c r="H382" i="11"/>
  <c r="H383" i="11"/>
  <c r="H384" i="11"/>
  <c r="H385" i="11"/>
  <c r="H386" i="11"/>
  <c r="H387" i="11"/>
  <c r="H388" i="11"/>
  <c r="H389" i="11"/>
  <c r="H390" i="11"/>
  <c r="H391" i="11"/>
  <c r="H392" i="11"/>
  <c r="H393" i="11"/>
  <c r="H394" i="11"/>
  <c r="H395" i="11"/>
  <c r="H396" i="11"/>
  <c r="H397" i="11"/>
  <c r="H398" i="11"/>
  <c r="H399" i="11"/>
  <c r="H400" i="11"/>
  <c r="H401" i="11"/>
  <c r="H402" i="11"/>
  <c r="H403" i="11"/>
  <c r="H404" i="11"/>
  <c r="H405" i="11"/>
  <c r="H406" i="11"/>
  <c r="H407" i="11"/>
  <c r="H408" i="11"/>
  <c r="H409" i="11"/>
  <c r="H410" i="11"/>
  <c r="H411" i="11"/>
  <c r="H412" i="11"/>
  <c r="H413" i="11"/>
  <c r="H414" i="11"/>
  <c r="H415" i="11"/>
  <c r="H416" i="11"/>
  <c r="H417" i="11"/>
  <c r="H418" i="11"/>
  <c r="H419" i="11"/>
  <c r="H420" i="11"/>
  <c r="H421" i="11"/>
  <c r="H422" i="11"/>
  <c r="H423" i="11"/>
  <c r="H424" i="11"/>
  <c r="H425" i="11"/>
  <c r="H426" i="11"/>
  <c r="H427" i="11"/>
  <c r="H428" i="11"/>
  <c r="H429" i="11"/>
  <c r="H430" i="11"/>
  <c r="H431" i="11"/>
  <c r="H432" i="11"/>
  <c r="H433" i="11"/>
  <c r="H434" i="11"/>
  <c r="H435" i="11"/>
  <c r="H436" i="11"/>
  <c r="H437" i="11"/>
  <c r="H438" i="11"/>
  <c r="H439" i="11"/>
  <c r="H440" i="11"/>
  <c r="H441" i="11"/>
  <c r="H442" i="11"/>
  <c r="H443" i="11"/>
  <c r="H444" i="11"/>
  <c r="H445" i="11"/>
  <c r="H446" i="11"/>
  <c r="H447" i="11"/>
  <c r="H448" i="11"/>
  <c r="H449" i="11"/>
  <c r="H3" i="11"/>
  <c r="H4" i="11"/>
  <c r="H5" i="11"/>
  <c r="H6" i="11"/>
  <c r="H7" i="11"/>
  <c r="H8" i="11"/>
  <c r="H9" i="11"/>
  <c r="H10" i="11"/>
  <c r="H11" i="11"/>
  <c r="H12" i="11"/>
  <c r="H13" i="11"/>
  <c r="H14" i="11"/>
  <c r="H15" i="11"/>
  <c r="H2" i="11"/>
  <c r="H11" i="10"/>
  <c r="J11" i="10" s="1"/>
  <c r="L11" i="10"/>
  <c r="I16" i="10"/>
  <c r="K16" i="10"/>
  <c r="M16" i="10"/>
  <c r="P16" i="10"/>
  <c r="T16" i="10" s="1"/>
  <c r="R16" i="10"/>
  <c r="I24" i="10"/>
  <c r="M24" i="10" s="1"/>
  <c r="K24" i="10"/>
  <c r="O27" i="10" a="1"/>
  <c r="H35" i="10" a="1"/>
  <c r="H36" i="10" a="1"/>
  <c r="F2" i="12" l="1" a="1"/>
  <c r="F2" i="12" s="1"/>
  <c r="R17" i="10"/>
  <c r="T17" i="10"/>
  <c r="O27" i="10"/>
  <c r="P17" i="10" s="1"/>
  <c r="J17" i="12" a="1"/>
  <c r="J17" i="12" s="1"/>
  <c r="H36" i="10"/>
  <c r="I17" i="10" s="1"/>
  <c r="H35" i="10"/>
  <c r="K25" i="10" l="1"/>
  <c r="T19" i="10"/>
  <c r="M25" i="10"/>
  <c r="M27" i="10" s="1"/>
  <c r="K17" i="10"/>
  <c r="M17" i="10"/>
  <c r="M19" i="10" s="1"/>
  <c r="M20" i="10" s="1"/>
  <c r="L31" i="10" l="1"/>
  <c r="L32" i="10" s="1"/>
  <c r="M28" i="10"/>
  <c r="I25" i="10"/>
  <c r="T20" i="10"/>
  <c r="I5" i="1" l="1"/>
  <c r="C5" i="1"/>
  <c r="J5" i="1" l="1"/>
  <c r="A2" i="4" l="1" a="1"/>
  <c r="A2" i="4" s="1"/>
  <c r="A7" i="3" a="1"/>
  <c r="A7" i="3" s="1"/>
  <c r="I7" i="1"/>
  <c r="I1" i="1" s="1"/>
  <c r="K17" i="12" a="1"/>
  <c r="K17" i="12" s="1"/>
  <c r="L17" i="12" a="1"/>
  <c r="L17" i="12" s="1"/>
  <c r="N17" i="12" a="1"/>
  <c r="N17" i="12" s="1"/>
  <c r="P17" i="12" s="1" a="1"/>
  <c r="P17" i="12" s="1"/>
  <c r="N7" i="12" s="1"/>
  <c r="O17" i="12" a="1"/>
  <c r="O17" i="12" s="1"/>
  <c r="N3" i="12" s="1"/>
  <c r="K3" i="12" l="1"/>
  <c r="M17" i="12" a="1"/>
  <c r="M17" i="12" s="1"/>
  <c r="N11" i="12" s="1"/>
  <c r="T4" i="10" s="1"/>
  <c r="D2" i="4" a="1"/>
  <c r="D2" i="4" s="1"/>
  <c r="F2" i="4" a="1"/>
  <c r="F2" i="4" s="1"/>
  <c r="C2" i="4" a="1"/>
  <c r="C2" i="4" s="1"/>
  <c r="B2" i="4" a="1"/>
  <c r="B2" i="4" s="1"/>
  <c r="G2" i="4" a="1"/>
  <c r="G2" i="4" s="1"/>
  <c r="K2" i="4" a="1"/>
  <c r="K2" i="4" s="1"/>
  <c r="O25" i="10" a="1"/>
  <c r="O25" i="10" l="1"/>
  <c r="P8" i="10"/>
  <c r="K7" i="12"/>
  <c r="K11" i="12" s="1"/>
  <c r="P4" i="10" s="1"/>
  <c r="E2" i="4" a="1"/>
  <c r="E2" i="4" s="1"/>
  <c r="I2" i="4" s="1" a="1"/>
  <c r="I2" i="4" s="1"/>
  <c r="H2" i="4" a="1"/>
  <c r="H2" i="4" s="1"/>
  <c r="O26" i="10" a="1"/>
  <c r="O26" i="10" l="1"/>
  <c r="P9" i="10" s="1"/>
  <c r="P3" i="10"/>
  <c r="T9" i="10"/>
  <c r="T8" i="10"/>
  <c r="A39" i="1" a="1"/>
  <c r="A39" i="1" s="1"/>
  <c r="C7" i="1" a="1"/>
  <c r="C7" i="1" s="1"/>
  <c r="D39" i="1" a="1"/>
  <c r="D39" i="1" s="1"/>
  <c r="H39" i="1" a="1"/>
  <c r="H39" i="1" s="1"/>
  <c r="J2" i="4" a="1"/>
  <c r="J2" i="4" s="1"/>
  <c r="K39" i="1" s="1" a="1"/>
  <c r="K39" i="1" s="1"/>
  <c r="F39" i="1" a="1"/>
  <c r="F39" i="1" s="1"/>
  <c r="B39" i="1" a="1"/>
  <c r="B39" i="1" s="1"/>
  <c r="R8" i="10" l="1"/>
  <c r="T11" i="10"/>
  <c r="R9" i="10"/>
  <c r="J39" i="1" a="1"/>
  <c r="J39" i="1" s="1"/>
  <c r="T22" i="10" l="1"/>
  <c r="T23" i="10" s="1"/>
  <c r="T12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CEC92B-A567-2448-B488-15186CBD5578}" keepAlive="1" name="Query - After Sales" description="Connection to the 'After Sales' query in the workbook." type="5" refreshedVersion="8" background="1" saveData="1">
    <dbPr connection="Provider=Microsoft.Mashup.OleDb.1;Data Source=$Workbook$;Location=&quot;After Sales&quot;;Extended Properties=&quot;&quot;" command="SELECT * FROM [After Sales]"/>
  </connection>
  <connection id="2" xr16:uid="{BDA40900-22F8-2749-89A2-5AED9C96518D}" keepAlive="1" name="Query - After Sales (2)" description="Connection to the 'After Sales (2)' query in the workbook." type="5" refreshedVersion="8" background="1" saveData="1">
    <dbPr connection="Provider=Microsoft.Mashup.OleDb.1;Data Source=$Workbook$;Location=&quot;After Sales (2)&quot;;Extended Properties=&quot;&quot;" command="SELECT * FROM [After Sales (2)]"/>
  </connection>
  <connection id="3" xr16:uid="{D471DD73-A71E-884F-9A19-0280558FF017}" keepAlive="1" name="Query - Current Prices" description="Connection to the 'Current Prices' query in the workbook." type="5" refreshedVersion="8" background="1" saveData="1">
    <dbPr connection="Provider=Microsoft.Mashup.OleDb.1;Data Source=$Workbook$;Location=&quot;Current Prices&quot;;Extended Properties=&quot;&quot;" command="SELECT * FROM [Current Prices]"/>
  </connection>
  <connection id="4" xr16:uid="{9B2EB668-FBAB-C24F-80B9-4A67C3C0C19C}" keepAlive="1" name="Query - Portfolio" description="Connection to the 'Portfolio' query in the workbook." type="5" refreshedVersion="8" background="1" saveData="1">
    <dbPr connection="Provider=Microsoft.Mashup.OleDb.1;Data Source=$Workbook$;Location=Portfolio;Extended Properties=&quot;&quot;" command="SELECT * FROM [Portfolio]"/>
  </connection>
  <connection id="5" xr16:uid="{84C0B9C4-334B-8B4F-A6E3-38B70BF46C27}" keepAlive="1" name="Query - Value &amp; Cost Basis" description="Connection to the 'Value &amp; Cost Basis' query in the workbook." type="5" refreshedVersion="8" background="1" saveData="1">
    <dbPr connection="Provider=Microsoft.Mashup.OleDb.1;Data Source=$Workbook$;Location=&quot;Value &amp; Cost Basis&quot;;Extended Properties=&quot;&quot;" command="SELECT * FROM [Value &amp; Cost Basi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<sst xmlns="http://schemas.openxmlformats.org/spreadsheetml/2006/main" count="3811" uniqueCount="328">
  <si>
    <t>Portfolio</t>
  </si>
  <si>
    <t>Cost Basis:</t>
  </si>
  <si>
    <t>Portfolio Value:</t>
  </si>
  <si>
    <t>1D</t>
  </si>
  <si>
    <t>fix data validation for chart</t>
  </si>
  <si>
    <t>1W</t>
  </si>
  <si>
    <t>1M</t>
  </si>
  <si>
    <t>3M</t>
  </si>
  <si>
    <t>6M</t>
  </si>
  <si>
    <t>1Y</t>
  </si>
  <si>
    <t>ALL</t>
  </si>
  <si>
    <t>Assets:</t>
  </si>
  <si>
    <t>Quantity:</t>
  </si>
  <si>
    <t>Value:</t>
  </si>
  <si>
    <t>Unrealized Return:</t>
  </si>
  <si>
    <t>XRP</t>
  </si>
  <si>
    <t>HBAR</t>
  </si>
  <si>
    <t>Date</t>
  </si>
  <si>
    <t>Type</t>
  </si>
  <si>
    <t>Received Quantity</t>
  </si>
  <si>
    <t>Received Currency</t>
  </si>
  <si>
    <t>Received Cost Basis (USD)</t>
  </si>
  <si>
    <t>Sent Quantity</t>
  </si>
  <si>
    <t>Sent Currency</t>
  </si>
  <si>
    <t>Sent Cost Basis (USD)</t>
  </si>
  <si>
    <t>Fee Amount</t>
  </si>
  <si>
    <t>Fee Currency</t>
  </si>
  <si>
    <t>Fee Cost Basis (USD)</t>
  </si>
  <si>
    <t>Realized Return (USD)</t>
  </si>
  <si>
    <t>Fee Realized Return (USD)</t>
  </si>
  <si>
    <t>TRANSFER</t>
  </si>
  <si>
    <t>BUY</t>
  </si>
  <si>
    <t>USD</t>
  </si>
  <si>
    <t>ATOM</t>
  </si>
  <si>
    <t>SOL</t>
  </si>
  <si>
    <t>ADA</t>
  </si>
  <si>
    <t>TRADE</t>
  </si>
  <si>
    <t>USDC</t>
  </si>
  <si>
    <t>DOGE</t>
  </si>
  <si>
    <t>SELL</t>
  </si>
  <si>
    <t>ETH</t>
  </si>
  <si>
    <t>BTC</t>
  </si>
  <si>
    <t>LINK</t>
  </si>
  <si>
    <t>CSPR</t>
  </si>
  <si>
    <t>ALGO</t>
  </si>
  <si>
    <t>XLM</t>
  </si>
  <si>
    <t>ARB</t>
  </si>
  <si>
    <t>OP</t>
  </si>
  <si>
    <t>FIL</t>
  </si>
  <si>
    <t>QNT</t>
  </si>
  <si>
    <t>AVAX</t>
  </si>
  <si>
    <t>MATIC</t>
  </si>
  <si>
    <t>RNDR</t>
  </si>
  <si>
    <t>GALA</t>
  </si>
  <si>
    <t>NKN</t>
  </si>
  <si>
    <t>FIDA</t>
  </si>
  <si>
    <t>GRT</t>
  </si>
  <si>
    <t>TRAC</t>
  </si>
  <si>
    <t>SHPING</t>
  </si>
  <si>
    <t>SUKU</t>
  </si>
  <si>
    <t>FARM</t>
  </si>
  <si>
    <t>GODS</t>
  </si>
  <si>
    <t>POWR</t>
  </si>
  <si>
    <t>ASM</t>
  </si>
  <si>
    <t>AMP</t>
  </si>
  <si>
    <t>ACH</t>
  </si>
  <si>
    <t>MDT</t>
  </si>
  <si>
    <t>COVAL</t>
  </si>
  <si>
    <t>SPELL</t>
  </si>
  <si>
    <t>IDEX</t>
  </si>
  <si>
    <t>IOTX</t>
  </si>
  <si>
    <t>FET</t>
  </si>
  <si>
    <t>ANKR</t>
  </si>
  <si>
    <t>CLV</t>
  </si>
  <si>
    <t>Currency</t>
  </si>
  <si>
    <t>Quantity Bought</t>
  </si>
  <si>
    <t>Quantity Sold</t>
  </si>
  <si>
    <t>Current Quantity</t>
  </si>
  <si>
    <t>Cost Basis Bought</t>
  </si>
  <si>
    <t>Cost Basis Sold</t>
  </si>
  <si>
    <t>Current Cost Basis</t>
  </si>
  <si>
    <t>Value</t>
  </si>
  <si>
    <t>Cost Basis</t>
  </si>
  <si>
    <t>Portfolio Value</t>
  </si>
  <si>
    <t>Quantity</t>
  </si>
  <si>
    <t>Unrealized Return</t>
  </si>
  <si>
    <t>Symbol</t>
  </si>
  <si>
    <t>Column1</t>
  </si>
  <si>
    <t>Column2</t>
  </si>
  <si>
    <t>Price</t>
  </si>
  <si>
    <t xml:space="preserve">Realized Return </t>
  </si>
  <si>
    <t>Price:</t>
  </si>
  <si>
    <t>Keep</t>
  </si>
  <si>
    <t>Taxes</t>
  </si>
  <si>
    <t>Total Kept</t>
  </si>
  <si>
    <t>Total Taxes</t>
  </si>
  <si>
    <t>Short-Term</t>
  </si>
  <si>
    <t xml:space="preserve">Federal </t>
  </si>
  <si>
    <t>Long-Term</t>
  </si>
  <si>
    <t>State</t>
  </si>
  <si>
    <t>State Tax (MA)</t>
  </si>
  <si>
    <t>Kept</t>
  </si>
  <si>
    <t>Tax Amount</t>
  </si>
  <si>
    <t>Effective Tax Rate</t>
  </si>
  <si>
    <t>Marginal Tax Rate</t>
  </si>
  <si>
    <t>Tax Type</t>
  </si>
  <si>
    <t>Your Regular Wage Taxes</t>
  </si>
  <si>
    <t>Standard Deduction (2024)</t>
  </si>
  <si>
    <t>$609,350+</t>
  </si>
  <si>
    <t>$243,725 - $609,350</t>
  </si>
  <si>
    <t>$191,950 - $243,725</t>
  </si>
  <si>
    <t>$100,525 - $191,950</t>
  </si>
  <si>
    <t>$47,150 - $100,525</t>
  </si>
  <si>
    <t>Your Capital Gains Taxes</t>
  </si>
  <si>
    <t>$11,600 - $47,150</t>
  </si>
  <si>
    <t>$0 - $11,600</t>
  </si>
  <si>
    <t>Rate</t>
  </si>
  <si>
    <t>Taxable Income</t>
  </si>
  <si>
    <t>Short-Term Capital Gains Taxes (2024)</t>
  </si>
  <si>
    <t>Capital Gains</t>
  </si>
  <si>
    <t>Gross Income</t>
  </si>
  <si>
    <t>Single</t>
  </si>
  <si>
    <t>Stoneham, MA</t>
  </si>
  <si>
    <t>Filing Status</t>
  </si>
  <si>
    <t>Annual Income</t>
  </si>
  <si>
    <t>Location</t>
  </si>
  <si>
    <t>$518,900+</t>
  </si>
  <si>
    <t>$47,025 - $518,900</t>
  </si>
  <si>
    <t>Less than a year</t>
  </si>
  <si>
    <t>$0 - $47,025</t>
  </si>
  <si>
    <t>More than a year</t>
  </si>
  <si>
    <t>Short-term:</t>
  </si>
  <si>
    <t>Long-term:</t>
  </si>
  <si>
    <t>Length of Ownership</t>
  </si>
  <si>
    <t>Sale Value</t>
  </si>
  <si>
    <t>Initial Value</t>
  </si>
  <si>
    <t>Income:</t>
  </si>
  <si>
    <t>Total Gains:</t>
  </si>
  <si>
    <t>Income Tax Calculator (2024)</t>
  </si>
  <si>
    <t>Long-Term Capital Gains Taxes (2024)</t>
  </si>
  <si>
    <t>Date Acquired</t>
  </si>
  <si>
    <t>Date Sold</t>
  </si>
  <si>
    <t>Return</t>
  </si>
  <si>
    <t>Term</t>
  </si>
  <si>
    <t>Proceeds</t>
  </si>
  <si>
    <t>08/02/2023</t>
  </si>
  <si>
    <t>08/03/2023</t>
  </si>
  <si>
    <t>03/21/2023</t>
  </si>
  <si>
    <t>11/21/2022</t>
  </si>
  <si>
    <t>03/02/2023</t>
  </si>
  <si>
    <t>11/28/2022</t>
  </si>
  <si>
    <t>12/05/2022</t>
  </si>
  <si>
    <t>02/01/2023</t>
  </si>
  <si>
    <t>02/09/2023</t>
  </si>
  <si>
    <t>02/10/2023</t>
  </si>
  <si>
    <t>02/11/2023</t>
  </si>
  <si>
    <t>02/17/2023</t>
  </si>
  <si>
    <t>02/24/2023</t>
  </si>
  <si>
    <t>03/03/2023</t>
  </si>
  <si>
    <t>04/18/2023</t>
  </si>
  <si>
    <t>07/17/2023</t>
  </si>
  <si>
    <t>10/09/2022</t>
  </si>
  <si>
    <t>01/11/2023</t>
  </si>
  <si>
    <t>01/20/2023</t>
  </si>
  <si>
    <t>09/09/2022</t>
  </si>
  <si>
    <t>09/17/2022</t>
  </si>
  <si>
    <t>09/24/2022</t>
  </si>
  <si>
    <t>10/20/2022</t>
  </si>
  <si>
    <t>10/30/2022</t>
  </si>
  <si>
    <t>11/03/2022</t>
  </si>
  <si>
    <t>11/12/2022</t>
  </si>
  <si>
    <t>11/17/2022</t>
  </si>
  <si>
    <t>11/22/2022</t>
  </si>
  <si>
    <t>11/23/2022</t>
  </si>
  <si>
    <t>12/03/2022</t>
  </si>
  <si>
    <t>12/09/2022</t>
  </si>
  <si>
    <t>12/13/2022</t>
  </si>
  <si>
    <t>12/21/2022</t>
  </si>
  <si>
    <t>12/24/2022</t>
  </si>
  <si>
    <t>12/29/2022</t>
  </si>
  <si>
    <t>01/04/2023</t>
  </si>
  <si>
    <t>01/07/2023</t>
  </si>
  <si>
    <t>01/23/2023</t>
  </si>
  <si>
    <t>01/26/2023</t>
  </si>
  <si>
    <t>01/30/2023</t>
  </si>
  <si>
    <t>02/02/2023</t>
  </si>
  <si>
    <t>02/08/2023</t>
  </si>
  <si>
    <t>02/12/2023</t>
  </si>
  <si>
    <t>02/26/2023</t>
  </si>
  <si>
    <t>02/15/2023</t>
  </si>
  <si>
    <t>02/16/2023</t>
  </si>
  <si>
    <t>02/21/2023</t>
  </si>
  <si>
    <t>03/27/2023</t>
  </si>
  <si>
    <t>01/09/2023</t>
  </si>
  <si>
    <t>01/12/2023</t>
  </si>
  <si>
    <t>02/18/2023</t>
  </si>
  <si>
    <t>02/06/2023</t>
  </si>
  <si>
    <t>03/25/2023</t>
  </si>
  <si>
    <t>03/18/2023</t>
  </si>
  <si>
    <t>08/08/2023</t>
  </si>
  <si>
    <t>11/29/2022</t>
  </si>
  <si>
    <t>12/07/2022</t>
  </si>
  <si>
    <t>12/19/2022</t>
  </si>
  <si>
    <t>12/22/2022</t>
  </si>
  <si>
    <t>12/26/2022</t>
  </si>
  <si>
    <t>12/27/2022</t>
  </si>
  <si>
    <t>12/31/2022</t>
  </si>
  <si>
    <t>01/02/2023</t>
  </si>
  <si>
    <t>01/16/2023</t>
  </si>
  <si>
    <t>02/19/2023</t>
  </si>
  <si>
    <t>02/25/2023</t>
  </si>
  <si>
    <t>03/04/2023</t>
  </si>
  <si>
    <t>03/11/2023</t>
  </si>
  <si>
    <t>03/28/2023</t>
  </si>
  <si>
    <t>03/29/2023</t>
  </si>
  <si>
    <t>12/12/2022</t>
  </si>
  <si>
    <t>11/05/2022</t>
  </si>
  <si>
    <t>10/21/2022</t>
  </si>
  <si>
    <t>11/18/2022</t>
  </si>
  <si>
    <t>11/25/2022</t>
  </si>
  <si>
    <t>12/14/2022</t>
  </si>
  <si>
    <t>12/16/2022</t>
  </si>
  <si>
    <t>12/23/2022</t>
  </si>
  <si>
    <t>12/30/2022</t>
  </si>
  <si>
    <t>02/28/2023</t>
  </si>
  <si>
    <t>03/01/2023</t>
  </si>
  <si>
    <t>06/03/2023</t>
  </si>
  <si>
    <t>06/19/2023</t>
  </si>
  <si>
    <t>07/09/2023</t>
  </si>
  <si>
    <t>07/13/2023</t>
  </si>
  <si>
    <t>11/08/2022</t>
  </si>
  <si>
    <t>12/01/2022</t>
  </si>
  <si>
    <t>01/13/2023</t>
  </si>
  <si>
    <t>04/05/2023</t>
  </si>
  <si>
    <t>04/14/2023</t>
  </si>
  <si>
    <t>02/13/2023</t>
  </si>
  <si>
    <t>02/20/2023</t>
  </si>
  <si>
    <t>05/16/2023</t>
  </si>
  <si>
    <t>10/31/2023</t>
  </si>
  <si>
    <t>11/14/2022</t>
  </si>
  <si>
    <t>11/19/2022</t>
  </si>
  <si>
    <t>11/26/2022</t>
  </si>
  <si>
    <t>11/30/2022</t>
  </si>
  <si>
    <t>12/02/2022</t>
  </si>
  <si>
    <t>12/04/2022</t>
  </si>
  <si>
    <t>05/12/2023</t>
  </si>
  <si>
    <t>06/20/2023</t>
  </si>
  <si>
    <t>12/04/2021</t>
  </si>
  <si>
    <t>01/09/2022</t>
  </si>
  <si>
    <t>12/09/2021</t>
  </si>
  <si>
    <t>12/28/2021</t>
  </si>
  <si>
    <t>01/05/2022</t>
  </si>
  <si>
    <t>01/10/2022</t>
  </si>
  <si>
    <t>01/16/2022</t>
  </si>
  <si>
    <t>01/21/2022</t>
  </si>
  <si>
    <t>01/24/2022</t>
  </si>
  <si>
    <t>02/17/2022</t>
  </si>
  <si>
    <t>03/16/2022</t>
  </si>
  <si>
    <t>01/30/2022</t>
  </si>
  <si>
    <t>02/10/2022</t>
  </si>
  <si>
    <t>12/11/2021</t>
  </si>
  <si>
    <t>12/23/2021</t>
  </si>
  <si>
    <t>08/04/2022</t>
  </si>
  <si>
    <t>09/07/2022</t>
  </si>
  <si>
    <t>08/27/2022</t>
  </si>
  <si>
    <t>09/01/2022</t>
  </si>
  <si>
    <t>09/11/2022</t>
  </si>
  <si>
    <t>11/02/2022</t>
  </si>
  <si>
    <t>12/10/2021</t>
  </si>
  <si>
    <t>02/05/2022</t>
  </si>
  <si>
    <t>03/15/2022</t>
  </si>
  <si>
    <t>03/25/2022</t>
  </si>
  <si>
    <t>07/25/2022</t>
  </si>
  <si>
    <t>08/01/2022</t>
  </si>
  <si>
    <t>06/25/2022</t>
  </si>
  <si>
    <t>07/18/2022</t>
  </si>
  <si>
    <t>08/26/2022</t>
  </si>
  <si>
    <t>08/08/2022</t>
  </si>
  <si>
    <t>08/15/2022</t>
  </si>
  <si>
    <t>08/22/2022</t>
  </si>
  <si>
    <t>09/12/2022</t>
  </si>
  <si>
    <t>07/04/2022</t>
  </si>
  <si>
    <t>07/11/2022</t>
  </si>
  <si>
    <t>08/29/2022</t>
  </si>
  <si>
    <t>09/05/2022</t>
  </si>
  <si>
    <t>09/19/2022</t>
  </si>
  <si>
    <t>09/26/2022</t>
  </si>
  <si>
    <t>10/03/2022</t>
  </si>
  <si>
    <t>11/06/2022</t>
  </si>
  <si>
    <t>10/16/2022</t>
  </si>
  <si>
    <t>10/23/2022</t>
  </si>
  <si>
    <t>11/13/2022</t>
  </si>
  <si>
    <t>11/20/2022</t>
  </si>
  <si>
    <t>12/06/2022</t>
  </si>
  <si>
    <t>01/22/2022</t>
  </si>
  <si>
    <t>10/28/2022</t>
  </si>
  <si>
    <t>12/30/2021</t>
  </si>
  <si>
    <t>02/16/2022</t>
  </si>
  <si>
    <t>08/10/2022</t>
  </si>
  <si>
    <t>08/13/2022</t>
  </si>
  <si>
    <t>08/16/2022</t>
  </si>
  <si>
    <t>08/19/2022</t>
  </si>
  <si>
    <t>08/25/2022</t>
  </si>
  <si>
    <t>08/28/2022</t>
  </si>
  <si>
    <t>09/03/2022</t>
  </si>
  <si>
    <t>10/14/2022</t>
  </si>
  <si>
    <t>10/17/2022</t>
  </si>
  <si>
    <t>10/22/2022</t>
  </si>
  <si>
    <t>10/24/2022</t>
  </si>
  <si>
    <t>10/26/2022</t>
  </si>
  <si>
    <t>10/29/2022</t>
  </si>
  <si>
    <t>10/31/2022</t>
  </si>
  <si>
    <t>11/10/2022</t>
  </si>
  <si>
    <t>11/11/2022</t>
  </si>
  <si>
    <t>12/26/2021</t>
  </si>
  <si>
    <t>01/12/2022</t>
  </si>
  <si>
    <t>11/30/2021</t>
  </si>
  <si>
    <t>12/05/2021</t>
  </si>
  <si>
    <t>12/08/2021</t>
  </si>
  <si>
    <t>Realized Return:</t>
  </si>
  <si>
    <t>Total Return:</t>
  </si>
  <si>
    <t>LONG TERM</t>
  </si>
  <si>
    <t>SHORT TERM</t>
  </si>
  <si>
    <t xml:space="preserve">Currency </t>
  </si>
  <si>
    <t xml:space="preserve">Quantity </t>
  </si>
  <si>
    <t>Current Value</t>
  </si>
  <si>
    <r>
      <t>Price</t>
    </r>
    <r>
      <rPr>
        <b/>
        <sz val="10"/>
        <color theme="1"/>
        <rFont val="Century Gothic (Body)"/>
      </rPr>
      <t xml:space="preserve"> </t>
    </r>
    <r>
      <rPr>
        <b/>
        <sz val="8"/>
        <color theme="1"/>
        <rFont val="Century Gothic (Body)"/>
      </rPr>
      <t>(estimated)</t>
    </r>
  </si>
  <si>
    <r>
      <t>Price</t>
    </r>
    <r>
      <rPr>
        <b/>
        <sz val="8"/>
        <color theme="1"/>
        <rFont val="Century Gothic (Body)"/>
      </rPr>
      <t xml:space="preserve"> (estimated)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</si>
</sst>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44" formatCode="_(&quot;$&quot;* #,##0.00_);_(&quot;$&quot;* \(#,##0.00\);_(&quot;$&quot;* &quot;-&quot;??_);_(@_)"/>
    <numFmt numFmtId="164" formatCode="&quot;$&quot;#,##0.00"/>
    <numFmt numFmtId="165" formatCode="0.000000"/>
    <numFmt numFmtId="166" formatCode=";;;"/>
    <numFmt numFmtId="167" formatCode="&quot;$&quot;#,##0.0000"/>
    <numFmt numFmtId="168" formatCode="mm/dd/yy;@"/>
    <numFmt numFmtId="169" formatCode="mm/dd/yyyy;@"/>
    <numFmt numFmtId="170" formatCode="&quot;$&quot;#,##0.00000000"/>
    <numFmt numFmtId="171" formatCode="_(* #,##0.00000_);_(* \(#,##0.00000\);_(* &quot;-&quot;??_);_(@_)"/>
    <numFmt numFmtId="185" formatCode="m/d/yy\ h:mm:ss"/>
  </numFmts>
  <fonts count="30" x14ac:knownFonts="1">
    <font>
      <sz val="12"/>
      <color theme="1"/>
      <name val="Century Gothic"/>
      <family val="2"/>
      <scheme val="minor"/>
    </font>
    <font>
      <b/>
      <sz val="15"/>
      <color theme="1"/>
      <name val="Century Gothic"/>
      <family val="1"/>
      <scheme val="minor"/>
    </font>
    <font>
      <sz val="40"/>
      <color theme="1"/>
      <name val="Century Gothic"/>
      <family val="2"/>
      <scheme val="minor"/>
    </font>
    <font>
      <sz val="12"/>
      <color theme="1"/>
      <name val="Century Gothic"/>
      <family val="1"/>
      <scheme val="minor"/>
    </font>
    <font>
      <b/>
      <sz val="12"/>
      <color theme="1"/>
      <name val="Century Gothic"/>
      <family val="1"/>
      <scheme val="minor"/>
    </font>
    <font>
      <sz val="20"/>
      <color theme="1"/>
      <name val="Century Gothic"/>
      <family val="2"/>
      <scheme val="minor"/>
    </font>
    <font>
      <sz val="12"/>
      <color rgb="FF000000"/>
      <name val="Century Gothic"/>
      <family val="2"/>
      <scheme val="minor"/>
    </font>
    <font>
      <sz val="16"/>
      <color theme="1"/>
      <name val="Century Gothic"/>
      <family val="2"/>
      <scheme val="minor"/>
    </font>
    <font>
      <b/>
      <sz val="14"/>
      <color theme="1"/>
      <name val="Century Gothic"/>
      <family val="1"/>
      <scheme val="minor"/>
    </font>
    <font>
      <b/>
      <sz val="50"/>
      <color theme="1"/>
      <name val="Century Gothic"/>
      <family val="1"/>
      <scheme val="minor"/>
    </font>
    <font>
      <sz val="25"/>
      <color theme="1"/>
      <name val="Century Gothic"/>
      <family val="2"/>
      <scheme val="minor"/>
    </font>
    <font>
      <sz val="8"/>
      <name val="Century Gothic"/>
      <family val="2"/>
      <scheme val="minor"/>
    </font>
    <font>
      <sz val="12"/>
      <color theme="1"/>
      <name val="Century Gothic"/>
      <family val="2"/>
      <scheme val="minor"/>
    </font>
    <font>
      <b/>
      <sz val="20"/>
      <color theme="1"/>
      <name val="Century Gothic"/>
      <family val="1"/>
      <scheme val="minor"/>
    </font>
    <font>
      <sz val="15"/>
      <color theme="1"/>
      <name val="Century Gothic"/>
      <family val="2"/>
      <scheme val="minor"/>
    </font>
    <font>
      <b/>
      <sz val="20"/>
      <color theme="1"/>
      <name val="Century Gothic (Body)"/>
    </font>
    <font>
      <sz val="18"/>
      <color theme="1"/>
      <name val="Century Gothic"/>
      <family val="2"/>
      <scheme val="minor"/>
    </font>
    <font>
      <b/>
      <sz val="20"/>
      <color theme="1"/>
      <name val="Century Gothic"/>
      <family val="2"/>
      <scheme val="minor"/>
    </font>
    <font>
      <b/>
      <sz val="16"/>
      <color theme="1"/>
      <name val="Century Gothic"/>
      <family val="2"/>
      <scheme val="minor"/>
    </font>
    <font>
      <b/>
      <sz val="18"/>
      <color theme="1"/>
      <name val="Century Gothic"/>
      <family val="2"/>
      <scheme val="minor"/>
    </font>
    <font>
      <sz val="15"/>
      <color rgb="FF333333"/>
      <name val="Arial"/>
      <family val="2"/>
    </font>
    <font>
      <b/>
      <sz val="25"/>
      <color theme="1"/>
      <name val="Century Gothic"/>
      <family val="2"/>
      <scheme val="minor"/>
    </font>
    <font>
      <b/>
      <sz val="12"/>
      <color theme="1"/>
      <name val="Century Gothic"/>
      <family val="2"/>
      <scheme val="minor"/>
    </font>
    <font>
      <b/>
      <sz val="11"/>
      <name val="Calibri"/>
      <family val="2"/>
    </font>
    <font>
      <b/>
      <sz val="16"/>
      <color theme="1"/>
      <name val="Century Gothic"/>
      <family val="1"/>
      <scheme val="minor"/>
    </font>
    <font>
      <b/>
      <sz val="34"/>
      <color theme="1"/>
      <name val="Century Gothic"/>
      <family val="1"/>
      <scheme val="minor"/>
    </font>
    <font>
      <b/>
      <sz val="17"/>
      <color theme="1"/>
      <name val="Century Gothic"/>
      <family val="1"/>
      <scheme val="minor"/>
    </font>
    <font>
      <sz val="14"/>
      <color theme="1"/>
      <name val="Century Gothic"/>
      <family val="2"/>
      <scheme val="minor"/>
    </font>
    <font>
      <b/>
      <sz val="10"/>
      <color theme="1"/>
      <name val="Century Gothic (Body)"/>
    </font>
    <font>
      <b/>
      <sz val="8"/>
      <color theme="1"/>
      <name val="Century Gothic (Body)"/>
    </font>
  </fonts>
  <fills count="15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39997558519241921"/>
        <bgColor indexed="64"/>
      </patternFill>
    </fill>
  </fills>
  <borders count="38">
    <border>
      <left/>
      <right/>
      <top/>
      <bottom/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/>
      <right/>
      <top/>
      <bottom style="thick">
        <color auto="1"/>
      </bottom>
      <diagonal/>
    </border>
    <border>
      <left style="thin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thin">
        <color auto="1"/>
      </right>
      <top/>
      <bottom style="hair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/>
      <bottom style="thick">
        <color auto="1"/>
      </bottom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 style="thick">
        <color auto="1"/>
      </right>
      <top/>
      <bottom/>
      <diagonal/>
    </border>
    <border>
      <left style="thick">
        <color auto="1"/>
      </left>
      <right/>
      <top/>
      <bottom/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44" fontId="12" fillId="0" borderId="0" applyFont="0" applyFill="0" applyBorder="0" applyAlignment="0" applyProtection="0"/>
    <xf numFmtId="9" fontId="12" fillId="0" borderId="0" applyFont="0" applyFill="0" applyBorder="0" applyAlignment="0" applyProtection="0"/>
  </cellStyleXfs>
  <cellXfs count="352">
    <xf numFmtId="0" fontId="0" fillId="0" borderId="0" xfId="0"/>
    <xf numFmtId="0" fontId="0" fillId="2" borderId="0" xfId="0" applyFill="1" applyAlignment="1">
      <alignment horizontal="center"/>
    </xf>
    <xf numFmtId="164" fontId="0" fillId="4" borderId="0" xfId="0" applyNumberFormat="1" applyFill="1" applyAlignment="1">
      <alignment horizontal="center"/>
    </xf>
    <xf numFmtId="0" fontId="0" fillId="5" borderId="0" xfId="0" applyFill="1" applyAlignment="1">
      <alignment horizontal="center"/>
    </xf>
    <xf numFmtId="164" fontId="0" fillId="5" borderId="0" xfId="0" applyNumberFormat="1" applyFill="1" applyAlignment="1">
      <alignment horizontal="center"/>
    </xf>
    <xf numFmtId="0" fontId="0" fillId="6" borderId="0" xfId="0" applyFill="1" applyAlignment="1">
      <alignment horizontal="center"/>
    </xf>
    <xf numFmtId="0" fontId="0" fillId="7" borderId="0" xfId="0" applyFill="1" applyAlignment="1">
      <alignment horizontal="center"/>
    </xf>
    <xf numFmtId="164" fontId="0" fillId="7" borderId="0" xfId="0" applyNumberFormat="1" applyFill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6" borderId="5" xfId="0" applyFill="1" applyBorder="1" applyAlignment="1">
      <alignment horizontal="center"/>
    </xf>
    <xf numFmtId="0" fontId="0" fillId="5" borderId="5" xfId="0" applyFill="1" applyBorder="1" applyAlignment="1">
      <alignment horizontal="center"/>
    </xf>
    <xf numFmtId="164" fontId="0" fillId="5" borderId="5" xfId="0" applyNumberFormat="1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164" fontId="0" fillId="7" borderId="5" xfId="0" applyNumberFormat="1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164" fontId="0" fillId="2" borderId="5" xfId="0" applyNumberFormat="1" applyFill="1" applyBorder="1" applyAlignment="1">
      <alignment horizontal="center"/>
    </xf>
    <xf numFmtId="164" fontId="0" fillId="4" borderId="5" xfId="0" applyNumberFormat="1" applyFill="1" applyBorder="1" applyAlignment="1">
      <alignment horizontal="center"/>
    </xf>
    <xf numFmtId="164" fontId="0" fillId="4" borderId="6" xfId="0" applyNumberFormat="1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164" fontId="0" fillId="5" borderId="8" xfId="0" applyNumberFormat="1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164" fontId="0" fillId="7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164" fontId="0" fillId="2" borderId="8" xfId="0" applyNumberFormat="1" applyFill="1" applyBorder="1" applyAlignment="1">
      <alignment horizontal="center"/>
    </xf>
    <xf numFmtId="164" fontId="0" fillId="4" borderId="8" xfId="0" applyNumberFormat="1" applyFill="1" applyBorder="1" applyAlignment="1">
      <alignment horizontal="center"/>
    </xf>
    <xf numFmtId="164" fontId="0" fillId="4" borderId="9" xfId="0" applyNumberForma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164" fontId="1" fillId="5" borderId="2" xfId="0" applyNumberFormat="1" applyFont="1" applyFill="1" applyBorder="1" applyAlignment="1">
      <alignment horizontal="center"/>
    </xf>
    <xf numFmtId="0" fontId="1" fillId="7" borderId="2" xfId="0" applyFont="1" applyFill="1" applyBorder="1" applyAlignment="1">
      <alignment horizontal="center"/>
    </xf>
    <xf numFmtId="164" fontId="1" fillId="7" borderId="2" xfId="0" applyNumberFormat="1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164" fontId="1" fillId="2" borderId="2" xfId="0" applyNumberFormat="1" applyFont="1" applyFill="1" applyBorder="1" applyAlignment="1">
      <alignment horizontal="center"/>
    </xf>
    <xf numFmtId="164" fontId="1" fillId="4" borderId="2" xfId="0" applyNumberFormat="1" applyFont="1" applyFill="1" applyBorder="1" applyAlignment="1">
      <alignment horizontal="center"/>
    </xf>
    <xf numFmtId="164" fontId="1" fillId="4" borderId="3" xfId="0" applyNumberFormat="1" applyFont="1" applyFill="1" applyBorder="1" applyAlignment="1">
      <alignment horizontal="center"/>
    </xf>
    <xf numFmtId="0" fontId="0" fillId="3" borderId="0" xfId="0" applyFill="1"/>
    <xf numFmtId="0" fontId="3" fillId="0" borderId="0" xfId="0" applyFont="1"/>
    <xf numFmtId="0" fontId="3" fillId="6" borderId="12" xfId="0" applyFont="1" applyFill="1" applyBorder="1" applyAlignment="1">
      <alignment horizontal="center"/>
    </xf>
    <xf numFmtId="0" fontId="3" fillId="5" borderId="12" xfId="0" applyFont="1" applyFill="1" applyBorder="1" applyAlignment="1">
      <alignment horizontal="center"/>
    </xf>
    <xf numFmtId="164" fontId="3" fillId="5" borderId="12" xfId="0" applyNumberFormat="1" applyFont="1" applyFill="1" applyBorder="1" applyAlignment="1">
      <alignment horizontal="center"/>
    </xf>
    <xf numFmtId="0" fontId="3" fillId="7" borderId="12" xfId="0" applyFont="1" applyFill="1" applyBorder="1" applyAlignment="1">
      <alignment horizontal="center"/>
    </xf>
    <xf numFmtId="164" fontId="3" fillId="7" borderId="12" xfId="0" applyNumberFormat="1" applyFont="1" applyFill="1" applyBorder="1" applyAlignment="1">
      <alignment horizontal="center"/>
    </xf>
    <xf numFmtId="0" fontId="3" fillId="2" borderId="12" xfId="0" applyFont="1" applyFill="1" applyBorder="1" applyAlignment="1">
      <alignment horizontal="center"/>
    </xf>
    <xf numFmtId="164" fontId="3" fillId="2" borderId="12" xfId="0" applyNumberFormat="1" applyFont="1" applyFill="1" applyBorder="1" applyAlignment="1">
      <alignment horizontal="center"/>
    </xf>
    <xf numFmtId="164" fontId="3" fillId="4" borderId="12" xfId="0" applyNumberFormat="1" applyFont="1" applyFill="1" applyBorder="1" applyAlignment="1">
      <alignment horizontal="center"/>
    </xf>
    <xf numFmtId="164" fontId="3" fillId="4" borderId="13" xfId="0" applyNumberFormat="1" applyFont="1" applyFill="1" applyBorder="1" applyAlignment="1">
      <alignment horizontal="center"/>
    </xf>
    <xf numFmtId="0" fontId="0" fillId="3" borderId="0" xfId="0" applyFill="1" applyAlignment="1">
      <alignment horizontal="left"/>
    </xf>
    <xf numFmtId="0" fontId="6" fillId="8" borderId="0" xfId="0" applyFont="1" applyFill="1" applyAlignment="1">
      <alignment horizontal="left"/>
    </xf>
    <xf numFmtId="0" fontId="4" fillId="3" borderId="0" xfId="0" applyFont="1" applyFill="1" applyAlignment="1">
      <alignment horizontal="left"/>
    </xf>
    <xf numFmtId="0" fontId="7" fillId="3" borderId="0" xfId="0" applyFont="1" applyFill="1"/>
    <xf numFmtId="164" fontId="0" fillId="3" borderId="0" xfId="0" applyNumberFormat="1" applyFill="1"/>
    <xf numFmtId="164" fontId="0" fillId="3" borderId="0" xfId="0" applyNumberFormat="1" applyFill="1" applyAlignment="1">
      <alignment horizontal="left"/>
    </xf>
    <xf numFmtId="165" fontId="6" fillId="8" borderId="0" xfId="0" applyNumberFormat="1" applyFont="1" applyFill="1" applyAlignment="1">
      <alignment horizontal="right"/>
    </xf>
    <xf numFmtId="0" fontId="6" fillId="8" borderId="0" xfId="0" applyFont="1" applyFill="1" applyAlignment="1">
      <alignment horizontal="right"/>
    </xf>
    <xf numFmtId="0" fontId="0" fillId="3" borderId="0" xfId="0" applyFill="1" applyAlignment="1">
      <alignment horizontal="right"/>
    </xf>
    <xf numFmtId="164" fontId="0" fillId="3" borderId="0" xfId="0" applyNumberFormat="1" applyFill="1" applyAlignment="1">
      <alignment horizontal="right"/>
    </xf>
    <xf numFmtId="0" fontId="8" fillId="3" borderId="0" xfId="0" applyFont="1" applyFill="1" applyAlignment="1">
      <alignment horizontal="right"/>
    </xf>
    <xf numFmtId="164" fontId="8" fillId="3" borderId="0" xfId="0" applyNumberFormat="1" applyFont="1" applyFill="1" applyAlignment="1">
      <alignment horizontal="right"/>
    </xf>
    <xf numFmtId="14" fontId="0" fillId="3" borderId="0" xfId="0" applyNumberFormat="1" applyFill="1"/>
    <xf numFmtId="14" fontId="1" fillId="3" borderId="1" xfId="0" applyNumberFormat="1" applyFont="1" applyFill="1" applyBorder="1" applyAlignment="1">
      <alignment horizontal="right"/>
    </xf>
    <xf numFmtId="0" fontId="1" fillId="6" borderId="2" xfId="0" applyFont="1" applyFill="1" applyBorder="1" applyAlignment="1">
      <alignment horizontal="right"/>
    </xf>
    <xf numFmtId="0" fontId="1" fillId="5" borderId="2" xfId="0" applyFont="1" applyFill="1" applyBorder="1" applyAlignment="1">
      <alignment horizontal="right"/>
    </xf>
    <xf numFmtId="164" fontId="1" fillId="5" borderId="2" xfId="0" applyNumberFormat="1" applyFont="1" applyFill="1" applyBorder="1" applyAlignment="1">
      <alignment horizontal="right"/>
    </xf>
    <xf numFmtId="0" fontId="1" fillId="7" borderId="2" xfId="0" applyFont="1" applyFill="1" applyBorder="1" applyAlignment="1">
      <alignment horizontal="right"/>
    </xf>
    <xf numFmtId="164" fontId="1" fillId="7" borderId="2" xfId="0" applyNumberFormat="1" applyFont="1" applyFill="1" applyBorder="1" applyAlignment="1">
      <alignment horizontal="right"/>
    </xf>
    <xf numFmtId="0" fontId="1" fillId="2" borderId="2" xfId="0" applyFont="1" applyFill="1" applyBorder="1" applyAlignment="1">
      <alignment horizontal="right"/>
    </xf>
    <xf numFmtId="164" fontId="1" fillId="2" borderId="2" xfId="0" applyNumberFormat="1" applyFont="1" applyFill="1" applyBorder="1" applyAlignment="1">
      <alignment horizontal="right"/>
    </xf>
    <xf numFmtId="164" fontId="1" fillId="4" borderId="2" xfId="0" applyNumberFormat="1" applyFont="1" applyFill="1" applyBorder="1" applyAlignment="1">
      <alignment horizontal="right"/>
    </xf>
    <xf numFmtId="164" fontId="1" fillId="4" borderId="3" xfId="0" applyNumberFormat="1" applyFont="1" applyFill="1" applyBorder="1" applyAlignment="1">
      <alignment horizontal="right"/>
    </xf>
    <xf numFmtId="14" fontId="0" fillId="3" borderId="0" xfId="0" applyNumberFormat="1" applyFill="1" applyAlignment="1">
      <alignment horizontal="right"/>
    </xf>
    <xf numFmtId="166" fontId="7" fillId="3" borderId="0" xfId="0" applyNumberFormat="1" applyFont="1" applyFill="1"/>
    <xf numFmtId="166" fontId="0" fillId="3" borderId="0" xfId="0" applyNumberFormat="1" applyFill="1"/>
    <xf numFmtId="164" fontId="7" fillId="3" borderId="0" xfId="0" applyNumberFormat="1" applyFont="1" applyFill="1"/>
    <xf numFmtId="14" fontId="0" fillId="0" borderId="0" xfId="0" applyNumberFormat="1"/>
    <xf numFmtId="164" fontId="4" fillId="3" borderId="0" xfId="0" applyNumberFormat="1" applyFont="1" applyFill="1" applyAlignment="1">
      <alignment horizontal="right"/>
    </xf>
    <xf numFmtId="0" fontId="0" fillId="9" borderId="0" xfId="0" applyFill="1"/>
    <xf numFmtId="0" fontId="0" fillId="9" borderId="10" xfId="0" applyFill="1" applyBorder="1"/>
    <xf numFmtId="0" fontId="4" fillId="3" borderId="0" xfId="0" applyFont="1" applyFill="1" applyAlignment="1">
      <alignment vertical="center"/>
    </xf>
    <xf numFmtId="0" fontId="5" fillId="10" borderId="0" xfId="0" applyFont="1" applyFill="1"/>
    <xf numFmtId="164" fontId="5" fillId="10" borderId="0" xfId="0" applyNumberFormat="1" applyFont="1" applyFill="1"/>
    <xf numFmtId="0" fontId="5" fillId="10" borderId="0" xfId="0" applyFont="1" applyFill="1" applyAlignment="1">
      <alignment horizontal="left"/>
    </xf>
    <xf numFmtId="164" fontId="5" fillId="10" borderId="0" xfId="0" applyNumberFormat="1" applyFont="1" applyFill="1" applyAlignment="1">
      <alignment horizontal="left"/>
    </xf>
    <xf numFmtId="0" fontId="13" fillId="9" borderId="19" xfId="0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0" fillId="10" borderId="0" xfId="0" applyNumberFormat="1" applyFill="1"/>
    <xf numFmtId="9" fontId="14" fillId="10" borderId="0" xfId="2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left" vertical="center"/>
    </xf>
    <xf numFmtId="0" fontId="0" fillId="10" borderId="0" xfId="0" applyFill="1"/>
    <xf numFmtId="164" fontId="0" fillId="9" borderId="19" xfId="0" applyNumberFormat="1" applyFill="1" applyBorder="1"/>
    <xf numFmtId="2" fontId="5" fillId="10" borderId="0" xfId="0" applyNumberFormat="1" applyFont="1" applyFill="1" applyAlignment="1">
      <alignment horizontal="left"/>
    </xf>
    <xf numFmtId="0" fontId="15" fillId="9" borderId="19" xfId="0" applyFont="1" applyFill="1" applyBorder="1" applyAlignment="1">
      <alignment horizontal="right"/>
    </xf>
    <xf numFmtId="167" fontId="5" fillId="10" borderId="0" xfId="0" applyNumberFormat="1" applyFont="1" applyFill="1" applyAlignment="1">
      <alignment horizontal="right"/>
    </xf>
    <xf numFmtId="9" fontId="14" fillId="10" borderId="0" xfId="2" applyFont="1" applyFill="1" applyAlignment="1">
      <alignment vertical="center"/>
    </xf>
    <xf numFmtId="9" fontId="14" fillId="10" borderId="0" xfId="2" applyFont="1" applyFill="1" applyAlignment="1"/>
    <xf numFmtId="0" fontId="17" fillId="11" borderId="18" xfId="0" applyFont="1" applyFill="1" applyBorder="1" applyAlignment="1">
      <alignment horizontal="left"/>
    </xf>
    <xf numFmtId="0" fontId="17" fillId="11" borderId="21" xfId="0" applyFont="1" applyFill="1" applyBorder="1" applyAlignment="1">
      <alignment horizontal="left"/>
    </xf>
    <xf numFmtId="164" fontId="17" fillId="3" borderId="22" xfId="0" applyNumberFormat="1" applyFont="1" applyFill="1" applyBorder="1"/>
    <xf numFmtId="0" fontId="17" fillId="11" borderId="23" xfId="0" applyFont="1" applyFill="1" applyBorder="1" applyAlignment="1">
      <alignment horizontal="left"/>
    </xf>
    <xf numFmtId="0" fontId="17" fillId="11" borderId="24" xfId="0" applyFont="1" applyFill="1" applyBorder="1" applyAlignment="1">
      <alignment horizontal="left"/>
    </xf>
    <xf numFmtId="164" fontId="17" fillId="3" borderId="0" xfId="0" applyNumberFormat="1" applyFont="1" applyFill="1"/>
    <xf numFmtId="0" fontId="0" fillId="3" borderId="18" xfId="0" applyFill="1" applyBorder="1"/>
    <xf numFmtId="164" fontId="5" fillId="6" borderId="20" xfId="0" applyNumberFormat="1" applyFont="1" applyFill="1" applyBorder="1" applyAlignment="1">
      <alignment horizontal="center"/>
    </xf>
    <xf numFmtId="0" fontId="5" fillId="6" borderId="18" xfId="0" applyFont="1" applyFill="1" applyBorder="1"/>
    <xf numFmtId="164" fontId="5" fillId="6" borderId="25" xfId="0" applyNumberFormat="1" applyFont="1" applyFill="1" applyBorder="1" applyAlignment="1">
      <alignment horizontal="center"/>
    </xf>
    <xf numFmtId="0" fontId="5" fillId="6" borderId="23" xfId="0" applyFont="1" applyFill="1" applyBorder="1"/>
    <xf numFmtId="0" fontId="14" fillId="6" borderId="26" xfId="0" applyFont="1" applyFill="1" applyBorder="1"/>
    <xf numFmtId="0" fontId="14" fillId="6" borderId="0" xfId="0" applyFont="1" applyFill="1"/>
    <xf numFmtId="0" fontId="14" fillId="6" borderId="22" xfId="0" applyFont="1" applyFill="1" applyBorder="1"/>
    <xf numFmtId="10" fontId="14" fillId="12" borderId="0" xfId="0" applyNumberFormat="1" applyFont="1" applyFill="1"/>
    <xf numFmtId="0" fontId="14" fillId="12" borderId="0" xfId="0" applyFont="1" applyFill="1"/>
    <xf numFmtId="164" fontId="16" fillId="6" borderId="26" xfId="1" applyNumberFormat="1" applyFont="1" applyFill="1" applyBorder="1" applyAlignment="1">
      <alignment horizontal="center"/>
    </xf>
    <xf numFmtId="0" fontId="16" fillId="6" borderId="22" xfId="0" applyFont="1" applyFill="1" applyBorder="1"/>
    <xf numFmtId="10" fontId="14" fillId="6" borderId="0" xfId="0" applyNumberFormat="1" applyFont="1" applyFill="1"/>
    <xf numFmtId="164" fontId="16" fillId="6" borderId="26" xfId="0" applyNumberFormat="1" applyFont="1" applyFill="1" applyBorder="1" applyAlignment="1">
      <alignment horizontal="center"/>
    </xf>
    <xf numFmtId="0" fontId="19" fillId="6" borderId="26" xfId="0" applyFont="1" applyFill="1" applyBorder="1" applyAlignment="1">
      <alignment horizontal="center"/>
    </xf>
    <xf numFmtId="0" fontId="19" fillId="6" borderId="22" xfId="0" applyFont="1" applyFill="1" applyBorder="1" applyAlignment="1">
      <alignment horizontal="left"/>
    </xf>
    <xf numFmtId="0" fontId="0" fillId="6" borderId="27" xfId="0" applyFill="1" applyBorder="1"/>
    <xf numFmtId="0" fontId="0" fillId="6" borderId="28" xfId="0" applyFill="1" applyBorder="1"/>
    <xf numFmtId="164" fontId="5" fillId="4" borderId="20" xfId="0" applyNumberFormat="1" applyFont="1" applyFill="1" applyBorder="1" applyAlignment="1">
      <alignment horizontal="center"/>
    </xf>
    <xf numFmtId="0" fontId="5" fillId="4" borderId="18" xfId="0" applyFont="1" applyFill="1" applyBorder="1"/>
    <xf numFmtId="164" fontId="5" fillId="4" borderId="25" xfId="0" applyNumberFormat="1" applyFont="1" applyFill="1" applyBorder="1" applyAlignment="1">
      <alignment horizontal="center"/>
    </xf>
    <xf numFmtId="0" fontId="5" fillId="4" borderId="23" xfId="0" applyFont="1" applyFill="1" applyBorder="1"/>
    <xf numFmtId="0" fontId="0" fillId="6" borderId="20" xfId="0" applyFill="1" applyBorder="1"/>
    <xf numFmtId="0" fontId="14" fillId="6" borderId="18" xfId="0" applyFont="1" applyFill="1" applyBorder="1"/>
    <xf numFmtId="0" fontId="14" fillId="6" borderId="21" xfId="0" applyFont="1" applyFill="1" applyBorder="1"/>
    <xf numFmtId="0" fontId="14" fillId="4" borderId="26" xfId="0" applyFont="1" applyFill="1" applyBorder="1" applyAlignment="1">
      <alignment horizontal="center"/>
    </xf>
    <xf numFmtId="0" fontId="14" fillId="4" borderId="0" xfId="0" applyFont="1" applyFill="1" applyAlignment="1">
      <alignment horizontal="center"/>
    </xf>
    <xf numFmtId="0" fontId="14" fillId="4" borderId="22" xfId="0" applyFont="1" applyFill="1" applyBorder="1"/>
    <xf numFmtId="0" fontId="16" fillId="6" borderId="22" xfId="0" applyFont="1" applyFill="1" applyBorder="1" applyAlignment="1">
      <alignment horizontal="left"/>
    </xf>
    <xf numFmtId="164" fontId="16" fillId="4" borderId="26" xfId="0" applyNumberFormat="1" applyFont="1" applyFill="1" applyBorder="1" applyAlignment="1">
      <alignment horizontal="center"/>
    </xf>
    <xf numFmtId="0" fontId="16" fillId="4" borderId="22" xfId="0" applyFont="1" applyFill="1" applyBorder="1" applyAlignment="1">
      <alignment horizontal="left"/>
    </xf>
    <xf numFmtId="0" fontId="19" fillId="6" borderId="24" xfId="0" applyFont="1" applyFill="1" applyBorder="1" applyAlignment="1">
      <alignment horizontal="left"/>
    </xf>
    <xf numFmtId="0" fontId="19" fillId="4" borderId="26" xfId="0" applyFont="1" applyFill="1" applyBorder="1" applyAlignment="1">
      <alignment horizontal="center"/>
    </xf>
    <xf numFmtId="0" fontId="19" fillId="4" borderId="22" xfId="0" applyFont="1" applyFill="1" applyBorder="1" applyAlignment="1">
      <alignment horizontal="left"/>
    </xf>
    <xf numFmtId="0" fontId="17" fillId="6" borderId="28" xfId="0" applyFont="1" applyFill="1" applyBorder="1" applyAlignment="1">
      <alignment vertical="center"/>
    </xf>
    <xf numFmtId="0" fontId="17" fillId="6" borderId="29" xfId="0" applyFont="1" applyFill="1" applyBorder="1" applyAlignment="1">
      <alignment vertical="center"/>
    </xf>
    <xf numFmtId="0" fontId="0" fillId="4" borderId="27" xfId="0" applyFill="1" applyBorder="1"/>
    <xf numFmtId="0" fontId="0" fillId="4" borderId="28" xfId="0" applyFill="1" applyBorder="1"/>
    <xf numFmtId="164" fontId="14" fillId="3" borderId="0" xfId="0" applyNumberFormat="1" applyFont="1" applyFill="1" applyAlignment="1">
      <alignment horizontal="left"/>
    </xf>
    <xf numFmtId="0" fontId="14" fillId="3" borderId="0" xfId="0" applyFont="1" applyFill="1"/>
    <xf numFmtId="164" fontId="14" fillId="3" borderId="0" xfId="0" applyNumberFormat="1" applyFont="1" applyFill="1" applyAlignment="1">
      <alignment horizontal="left" vertical="center"/>
    </xf>
    <xf numFmtId="0" fontId="17" fillId="4" borderId="21" xfId="0" applyFont="1" applyFill="1" applyBorder="1"/>
    <xf numFmtId="0" fontId="0" fillId="4" borderId="20" xfId="0" applyFill="1" applyBorder="1"/>
    <xf numFmtId="0" fontId="14" fillId="4" borderId="18" xfId="0" applyFont="1" applyFill="1" applyBorder="1"/>
    <xf numFmtId="0" fontId="14" fillId="4" borderId="21" xfId="0" applyFont="1" applyFill="1" applyBorder="1"/>
    <xf numFmtId="0" fontId="19" fillId="4" borderId="24" xfId="0" applyFont="1" applyFill="1" applyBorder="1" applyAlignment="1">
      <alignment horizontal="left"/>
    </xf>
    <xf numFmtId="0" fontId="0" fillId="3" borderId="0" xfId="0" applyFill="1" applyAlignment="1">
      <alignment vertical="center"/>
    </xf>
    <xf numFmtId="0" fontId="21" fillId="3" borderId="29" xfId="0" applyFont="1" applyFill="1" applyBorder="1" applyAlignment="1">
      <alignment horizontal="left"/>
    </xf>
    <xf numFmtId="0" fontId="18" fillId="3" borderId="0" xfId="0" applyFont="1" applyFill="1"/>
    <xf numFmtId="0" fontId="21" fillId="3" borderId="29" xfId="0" applyFont="1" applyFill="1" applyBorder="1"/>
    <xf numFmtId="0" fontId="4" fillId="0" borderId="0" xfId="0" applyFont="1"/>
    <xf numFmtId="0" fontId="23" fillId="0" borderId="37" xfId="0" applyFont="1" applyBorder="1" applyAlignment="1">
      <alignment horizontal="center" vertical="top"/>
    </xf>
    <xf numFmtId="0" fontId="4" fillId="0" borderId="37" xfId="0" applyFont="1" applyBorder="1"/>
    <xf numFmtId="169" fontId="23" fillId="0" borderId="37" xfId="0" applyNumberFormat="1" applyFont="1" applyBorder="1" applyAlignment="1">
      <alignment horizontal="left" vertical="top"/>
    </xf>
    <xf numFmtId="16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4" fillId="3" borderId="0" xfId="0" applyFont="1" applyFill="1"/>
    <xf numFmtId="168" fontId="24" fillId="3" borderId="0" xfId="0" applyNumberFormat="1" applyFont="1" applyFill="1" applyAlignment="1">
      <alignment horizontal="left"/>
    </xf>
    <xf numFmtId="0" fontId="24" fillId="3" borderId="0" xfId="0" applyFont="1" applyFill="1" applyAlignment="1">
      <alignment horizontal="left"/>
    </xf>
    <xf numFmtId="168" fontId="0" fillId="3" borderId="0" xfId="0" applyNumberFormat="1" applyFill="1" applyAlignment="1">
      <alignment horizontal="left"/>
    </xf>
    <xf numFmtId="0" fontId="0" fillId="3" borderId="0" xfId="0" applyFill="1" applyAlignment="1">
      <alignment horizontal="center"/>
    </xf>
    <xf numFmtId="164" fontId="5" fillId="13" borderId="0" xfId="1" applyNumberFormat="1" applyFont="1" applyFill="1" applyBorder="1" applyAlignment="1">
      <alignment horizontal="right" vertical="center"/>
    </xf>
    <xf numFmtId="2" fontId="0" fillId="3" borderId="0" xfId="0" applyNumberFormat="1" applyFill="1" applyAlignment="1">
      <alignment horizontal="right"/>
    </xf>
    <xf numFmtId="164" fontId="0" fillId="13" borderId="0" xfId="0" applyNumberFormat="1" applyFill="1" applyAlignment="1">
      <alignment horizontal="right"/>
    </xf>
    <xf numFmtId="2" fontId="0" fillId="13" borderId="0" xfId="0" applyNumberFormat="1" applyFill="1" applyAlignment="1">
      <alignment horizontal="right"/>
    </xf>
    <xf numFmtId="164" fontId="0" fillId="14" borderId="0" xfId="0" applyNumberFormat="1" applyFill="1" applyAlignment="1">
      <alignment horizontal="right"/>
    </xf>
    <xf numFmtId="2" fontId="0" fillId="14" borderId="0" xfId="0" applyNumberFormat="1" applyFill="1" applyAlignment="1">
      <alignment horizontal="right"/>
    </xf>
    <xf numFmtId="2" fontId="14" fillId="13" borderId="0" xfId="0" applyNumberFormat="1" applyFont="1" applyFill="1" applyAlignment="1">
      <alignment horizontal="right"/>
    </xf>
    <xf numFmtId="164" fontId="14" fillId="13" borderId="0" xfId="0" applyNumberFormat="1" applyFont="1" applyFill="1" applyAlignment="1">
      <alignment horizontal="right"/>
    </xf>
    <xf numFmtId="2" fontId="25" fillId="13" borderId="0" xfId="0" applyNumberFormat="1" applyFont="1" applyFill="1" applyAlignment="1">
      <alignment horizontal="right"/>
    </xf>
    <xf numFmtId="164" fontId="25" fillId="13" borderId="0" xfId="0" applyNumberFormat="1" applyFont="1" applyFill="1" applyAlignment="1">
      <alignment horizontal="right"/>
    </xf>
    <xf numFmtId="2" fontId="25" fillId="14" borderId="0" xfId="0" applyNumberFormat="1" applyFont="1" applyFill="1" applyAlignment="1">
      <alignment horizontal="right"/>
    </xf>
    <xf numFmtId="164" fontId="25" fillId="14" borderId="0" xfId="0" applyNumberFormat="1" applyFont="1" applyFill="1" applyAlignment="1">
      <alignment horizontal="right"/>
    </xf>
    <xf numFmtId="164" fontId="4" fillId="14" borderId="0" xfId="0" applyNumberFormat="1" applyFont="1" applyFill="1" applyAlignment="1">
      <alignment horizontal="right"/>
    </xf>
    <xf numFmtId="2" fontId="14" fillId="14" borderId="0" xfId="0" applyNumberFormat="1" applyFont="1" applyFill="1" applyAlignment="1">
      <alignment horizontal="right"/>
    </xf>
    <xf numFmtId="164" fontId="14" fillId="14" borderId="0" xfId="0" applyNumberFormat="1" applyFont="1" applyFill="1" applyAlignment="1">
      <alignment horizontal="right"/>
    </xf>
    <xf numFmtId="0" fontId="8" fillId="3" borderId="37" xfId="0" applyFont="1" applyFill="1" applyBorder="1" applyAlignment="1">
      <alignment horizontal="center"/>
    </xf>
    <xf numFmtId="2" fontId="8" fillId="3" borderId="18" xfId="0" applyNumberFormat="1" applyFont="1" applyFill="1" applyBorder="1" applyAlignment="1">
      <alignment horizontal="right"/>
    </xf>
    <xf numFmtId="164" fontId="8" fillId="3" borderId="18" xfId="0" applyNumberFormat="1" applyFont="1" applyFill="1" applyBorder="1" applyAlignment="1">
      <alignment horizontal="right"/>
    </xf>
    <xf numFmtId="164" fontId="8" fillId="3" borderId="27" xfId="0" applyNumberFormat="1" applyFont="1" applyFill="1" applyBorder="1" applyAlignment="1">
      <alignment horizontal="right"/>
    </xf>
    <xf numFmtId="164" fontId="8" fillId="3" borderId="20" xfId="0" applyNumberFormat="1" applyFont="1" applyFill="1" applyBorder="1" applyAlignment="1">
      <alignment horizontal="right"/>
    </xf>
    <xf numFmtId="0" fontId="27" fillId="3" borderId="0" xfId="0" applyFont="1" applyFill="1" applyAlignment="1">
      <alignment horizontal="center"/>
    </xf>
    <xf numFmtId="164" fontId="24" fillId="3" borderId="0" xfId="1" applyNumberFormat="1" applyFont="1" applyFill="1" applyAlignment="1">
      <alignment horizontal="right"/>
    </xf>
    <xf numFmtId="164" fontId="0" fillId="3" borderId="0" xfId="1" applyNumberFormat="1" applyFont="1" applyFill="1" applyAlignment="1">
      <alignment horizontal="right"/>
    </xf>
    <xf numFmtId="0" fontId="4" fillId="3" borderId="22" xfId="0" applyFont="1" applyFill="1" applyBorder="1" applyAlignment="1">
      <alignment horizontal="center"/>
    </xf>
    <xf numFmtId="0" fontId="0" fillId="3" borderId="22" xfId="0" applyFill="1" applyBorder="1" applyAlignment="1">
      <alignment horizontal="center"/>
    </xf>
    <xf numFmtId="0" fontId="0" fillId="3" borderId="21" xfId="0" applyFill="1" applyBorder="1" applyAlignment="1">
      <alignment horizontal="center"/>
    </xf>
    <xf numFmtId="164" fontId="0" fillId="3" borderId="0" xfId="1" applyNumberFormat="1" applyFont="1" applyFill="1" applyBorder="1" applyAlignment="1">
      <alignment horizontal="right"/>
    </xf>
    <xf numFmtId="170" fontId="0" fillId="3" borderId="0" xfId="1" applyNumberFormat="1" applyFont="1" applyFill="1" applyBorder="1" applyAlignment="1">
      <alignment horizontal="right"/>
    </xf>
    <xf numFmtId="170" fontId="0" fillId="3" borderId="0" xfId="1" applyNumberFormat="1" applyFont="1" applyFill="1" applyAlignment="1">
      <alignment horizontal="right"/>
    </xf>
    <xf numFmtId="171" fontId="0" fillId="3" borderId="0" xfId="0" applyNumberFormat="1" applyFill="1" applyAlignment="1">
      <alignment horizontal="right"/>
    </xf>
    <xf numFmtId="171" fontId="24" fillId="3" borderId="0" xfId="0" applyNumberFormat="1" applyFont="1" applyFill="1" applyAlignment="1">
      <alignment horizontal="right"/>
    </xf>
    <xf numFmtId="170" fontId="24" fillId="3" borderId="0" xfId="1" applyNumberFormat="1" applyFont="1" applyFill="1" applyAlignment="1">
      <alignment horizontal="right" vertical="center"/>
    </xf>
    <xf numFmtId="0" fontId="10" fillId="9" borderId="17" xfId="0" applyFont="1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6" xfId="0" applyFill="1" applyBorder="1"/>
    <xf numFmtId="164" fontId="13" fillId="10" borderId="0" xfId="0" applyNumberFormat="1" applyFont="1" applyFill="1" applyAlignment="1">
      <alignment horizontal="left" vertical="center"/>
    </xf>
    <xf numFmtId="164" fontId="5" fillId="10" borderId="0" xfId="0" applyNumberFormat="1" applyFont="1" applyFill="1" applyAlignment="1">
      <alignment horizontal="center" vertical="center"/>
    </xf>
    <xf numFmtId="164" fontId="15" fillId="9" borderId="0" xfId="0" applyNumberFormat="1" applyFont="1" applyFill="1" applyAlignment="1">
      <alignment horizontal="left" vertical="center"/>
    </xf>
    <xf numFmtId="164" fontId="22" fillId="9" borderId="0" xfId="0" applyNumberFormat="1" applyFont="1" applyFill="1" applyAlignment="1">
      <alignment horizontal="left" vertical="center"/>
    </xf>
    <xf numFmtId="164" fontId="22" fillId="9" borderId="10" xfId="0" applyNumberFormat="1" applyFont="1" applyFill="1" applyBorder="1" applyAlignment="1">
      <alignment horizontal="left" vertical="center"/>
    </xf>
    <xf numFmtId="164" fontId="5" fillId="9" borderId="0" xfId="0" applyNumberFormat="1" applyFont="1" applyFill="1" applyAlignment="1">
      <alignment horizontal="left" vertical="center"/>
    </xf>
    <xf numFmtId="164" fontId="5" fillId="9" borderId="10" xfId="0" applyNumberFormat="1" applyFont="1" applyFill="1" applyBorder="1" applyAlignment="1">
      <alignment horizontal="left" vertical="center"/>
    </xf>
    <xf numFmtId="164" fontId="13" fillId="9" borderId="19" xfId="0" applyNumberFormat="1" applyFont="1" applyFill="1" applyBorder="1" applyAlignment="1">
      <alignment horizontal="left" vertical="center"/>
    </xf>
    <xf numFmtId="164" fontId="13" fillId="10" borderId="0" xfId="0" applyNumberFormat="1" applyFont="1" applyFill="1" applyAlignment="1">
      <alignment horizontal="right"/>
    </xf>
    <xf numFmtId="164" fontId="5" fillId="10" borderId="0" xfId="0" applyNumberFormat="1" applyFont="1" applyFill="1" applyAlignment="1">
      <alignment horizontal="center"/>
    </xf>
    <xf numFmtId="9" fontId="14" fillId="10" borderId="0" xfId="2" applyFont="1" applyFill="1" applyAlignment="1">
      <alignment horizontal="left"/>
    </xf>
    <xf numFmtId="0" fontId="2" fillId="9" borderId="0" xfId="0" applyFont="1" applyFill="1" applyAlignment="1">
      <alignment horizontal="left"/>
    </xf>
    <xf numFmtId="0" fontId="2" fillId="9" borderId="10" xfId="0" applyFont="1" applyFill="1" applyBorder="1" applyAlignment="1">
      <alignment horizontal="left"/>
    </xf>
    <xf numFmtId="0" fontId="13" fillId="10" borderId="0" xfId="0" applyFont="1" applyFill="1" applyAlignment="1">
      <alignment horizontal="right"/>
    </xf>
    <xf numFmtId="0" fontId="13" fillId="10" borderId="0" xfId="0" applyFont="1" applyFill="1" applyAlignment="1">
      <alignment horizontal="right" vertical="center"/>
    </xf>
    <xf numFmtId="164" fontId="5" fillId="10" borderId="0" xfId="0" applyNumberFormat="1" applyFont="1" applyFill="1" applyAlignment="1">
      <alignment horizontal="left"/>
    </xf>
    <xf numFmtId="164" fontId="5" fillId="10" borderId="0" xfId="0" applyNumberFormat="1" applyFont="1" applyFill="1" applyAlignment="1">
      <alignment horizontal="left" vertical="center"/>
    </xf>
    <xf numFmtId="2" fontId="26" fillId="14" borderId="0" xfId="1" applyNumberFormat="1" applyFont="1" applyFill="1" applyBorder="1" applyAlignment="1">
      <alignment horizontal="center" vertical="center"/>
    </xf>
    <xf numFmtId="164" fontId="14" fillId="14" borderId="0" xfId="1" applyNumberFormat="1" applyFont="1" applyFill="1" applyBorder="1" applyAlignment="1">
      <alignment horizontal="center" vertical="center"/>
    </xf>
    <xf numFmtId="2" fontId="26" fillId="14" borderId="0" xfId="0" applyNumberFormat="1" applyFont="1" applyFill="1" applyAlignment="1">
      <alignment horizontal="center"/>
    </xf>
    <xf numFmtId="164" fontId="14" fillId="14" borderId="0" xfId="0" applyNumberFormat="1" applyFont="1" applyFill="1" applyAlignment="1">
      <alignment horizontal="center" vertical="center"/>
    </xf>
    <xf numFmtId="2" fontId="26" fillId="14" borderId="0" xfId="0" applyNumberFormat="1" applyFont="1" applyFill="1" applyAlignment="1">
      <alignment horizontal="center" vertical="center"/>
    </xf>
    <xf numFmtId="164" fontId="14" fillId="13" borderId="0" xfId="1" applyNumberFormat="1" applyFont="1" applyFill="1" applyBorder="1" applyAlignment="1">
      <alignment horizontal="center" vertical="center"/>
    </xf>
    <xf numFmtId="2" fontId="26" fillId="13" borderId="0" xfId="0" applyNumberFormat="1" applyFont="1" applyFill="1" applyAlignment="1">
      <alignment horizontal="center"/>
    </xf>
    <xf numFmtId="164" fontId="14" fillId="13" borderId="0" xfId="0" applyNumberFormat="1" applyFont="1" applyFill="1" applyAlignment="1">
      <alignment horizontal="center" vertical="center"/>
    </xf>
    <xf numFmtId="2" fontId="26" fillId="13" borderId="0" xfId="0" applyNumberFormat="1" applyFont="1" applyFill="1" applyAlignment="1">
      <alignment horizontal="center" vertical="center"/>
    </xf>
    <xf numFmtId="2" fontId="26" fillId="13" borderId="0" xfId="1" applyNumberFormat="1" applyFont="1" applyFill="1" applyBorder="1" applyAlignment="1">
      <alignment horizontal="center" vertical="center"/>
    </xf>
    <xf numFmtId="0" fontId="13" fillId="14" borderId="23" xfId="0" applyFont="1" applyFill="1" applyBorder="1" applyAlignment="1">
      <alignment horizontal="center" vertical="center"/>
    </xf>
    <xf numFmtId="0" fontId="13" fillId="14" borderId="0" xfId="0" applyFont="1" applyFill="1" applyAlignment="1">
      <alignment horizontal="center" vertical="center"/>
    </xf>
    <xf numFmtId="0" fontId="13" fillId="14" borderId="18" xfId="0" applyFont="1" applyFill="1" applyBorder="1" applyAlignment="1">
      <alignment horizontal="center" vertical="center"/>
    </xf>
    <xf numFmtId="0" fontId="13" fillId="13" borderId="23" xfId="0" applyFont="1" applyFill="1" applyBorder="1" applyAlignment="1">
      <alignment horizontal="center" vertical="center"/>
    </xf>
    <xf numFmtId="0" fontId="13" fillId="13" borderId="0" xfId="0" applyFont="1" applyFill="1" applyAlignment="1">
      <alignment horizontal="center" vertical="center"/>
    </xf>
    <xf numFmtId="0" fontId="13" fillId="13" borderId="18" xfId="0" applyFont="1" applyFill="1" applyBorder="1" applyAlignment="1">
      <alignment horizontal="center" vertical="center"/>
    </xf>
    <xf numFmtId="0" fontId="9" fillId="3" borderId="0" xfId="0" applyFont="1" applyFill="1" applyAlignment="1">
      <alignment horizontal="center"/>
    </xf>
    <xf numFmtId="0" fontId="0" fillId="3" borderId="0" xfId="0" applyFill="1"/>
    <xf numFmtId="14" fontId="0" fillId="3" borderId="0" xfId="0" applyNumberFormat="1" applyFill="1"/>
    <xf numFmtId="0" fontId="21" fillId="3" borderId="29" xfId="0" applyFont="1" applyFill="1" applyBorder="1" applyAlignment="1">
      <alignment horizontal="center"/>
    </xf>
    <xf numFmtId="0" fontId="21" fillId="3" borderId="28" xfId="0" applyFont="1" applyFill="1" applyBorder="1" applyAlignment="1">
      <alignment horizontal="center"/>
    </xf>
    <xf numFmtId="0" fontId="21" fillId="3" borderId="27" xfId="0" applyFont="1" applyFill="1" applyBorder="1" applyAlignment="1">
      <alignment horizontal="center"/>
    </xf>
    <xf numFmtId="164" fontId="5" fillId="3" borderId="22" xfId="0" applyNumberFormat="1" applyFont="1" applyFill="1" applyBorder="1" applyAlignment="1">
      <alignment horizontal="center" vertical="center"/>
    </xf>
    <xf numFmtId="164" fontId="5" fillId="3" borderId="26" xfId="0" applyNumberFormat="1" applyFont="1" applyFill="1" applyBorder="1" applyAlignment="1">
      <alignment horizontal="center" vertical="center"/>
    </xf>
    <xf numFmtId="164" fontId="5" fillId="3" borderId="21" xfId="0" applyNumberFormat="1" applyFont="1" applyFill="1" applyBorder="1" applyAlignment="1">
      <alignment horizontal="center" vertical="center"/>
    </xf>
    <xf numFmtId="164" fontId="5" fillId="3" borderId="20" xfId="0" applyNumberFormat="1" applyFont="1" applyFill="1" applyBorder="1" applyAlignment="1">
      <alignment horizontal="center" vertical="center"/>
    </xf>
    <xf numFmtId="0" fontId="21" fillId="3" borderId="28" xfId="0" applyFont="1" applyFill="1" applyBorder="1" applyAlignment="1">
      <alignment horizontal="left"/>
    </xf>
    <xf numFmtId="164" fontId="10" fillId="3" borderId="28" xfId="0" applyNumberFormat="1" applyFont="1" applyFill="1" applyBorder="1" applyAlignment="1">
      <alignment horizontal="left"/>
    </xf>
    <xf numFmtId="164" fontId="10" fillId="3" borderId="27" xfId="0" applyNumberFormat="1" applyFont="1" applyFill="1" applyBorder="1" applyAlignment="1">
      <alignment horizontal="left"/>
    </xf>
    <xf numFmtId="10" fontId="16" fillId="4" borderId="0" xfId="0" applyNumberFormat="1" applyFont="1" applyFill="1" applyAlignment="1">
      <alignment horizontal="center"/>
    </xf>
    <xf numFmtId="0" fontId="19" fillId="4" borderId="23" xfId="0" applyFont="1" applyFill="1" applyBorder="1" applyAlignment="1">
      <alignment horizontal="center"/>
    </xf>
    <xf numFmtId="0" fontId="19" fillId="4" borderId="25" xfId="0" applyFont="1" applyFill="1" applyBorder="1" applyAlignment="1">
      <alignment horizontal="center"/>
    </xf>
    <xf numFmtId="164" fontId="17" fillId="11" borderId="18" xfId="0" applyNumberFormat="1" applyFont="1" applyFill="1" applyBorder="1" applyAlignment="1">
      <alignment horizontal="center"/>
    </xf>
    <xf numFmtId="164" fontId="17" fillId="11" borderId="20" xfId="0" applyNumberFormat="1" applyFont="1" applyFill="1" applyBorder="1" applyAlignment="1">
      <alignment horizontal="center"/>
    </xf>
    <xf numFmtId="164" fontId="17" fillId="11" borderId="23" xfId="0" applyNumberFormat="1" applyFont="1" applyFill="1" applyBorder="1" applyAlignment="1">
      <alignment horizontal="center"/>
    </xf>
    <xf numFmtId="164" fontId="17" fillId="11" borderId="25" xfId="0" applyNumberFormat="1" applyFont="1" applyFill="1" applyBorder="1" applyAlignment="1">
      <alignment horizontal="center"/>
    </xf>
    <xf numFmtId="164" fontId="16" fillId="4" borderId="0" xfId="0" applyNumberFormat="1" applyFont="1" applyFill="1" applyAlignment="1">
      <alignment horizontal="center"/>
    </xf>
    <xf numFmtId="164" fontId="16" fillId="4" borderId="26" xfId="0" applyNumberFormat="1" applyFont="1" applyFill="1" applyBorder="1" applyAlignment="1">
      <alignment horizontal="center"/>
    </xf>
    <xf numFmtId="10" fontId="16" fillId="4" borderId="0" xfId="2" applyNumberFormat="1" applyFont="1" applyFill="1" applyBorder="1" applyAlignment="1">
      <alignment horizontal="center"/>
    </xf>
    <xf numFmtId="0" fontId="17" fillId="4" borderId="24" xfId="0" applyFont="1" applyFill="1" applyBorder="1" applyAlignment="1">
      <alignment horizontal="left"/>
    </xf>
    <xf numFmtId="0" fontId="17" fillId="4" borderId="23" xfId="0" applyFont="1" applyFill="1" applyBorder="1" applyAlignment="1">
      <alignment horizontal="left"/>
    </xf>
    <xf numFmtId="0" fontId="17" fillId="3" borderId="24" xfId="0" applyFont="1" applyFill="1" applyBorder="1" applyAlignment="1">
      <alignment horizontal="center"/>
    </xf>
    <xf numFmtId="0" fontId="17" fillId="3" borderId="25" xfId="0" applyFont="1" applyFill="1" applyBorder="1" applyAlignment="1">
      <alignment horizontal="center"/>
    </xf>
    <xf numFmtId="164" fontId="5" fillId="3" borderId="22" xfId="1" applyNumberFormat="1" applyFont="1" applyFill="1" applyBorder="1" applyAlignment="1">
      <alignment horizontal="center" vertical="center"/>
    </xf>
    <xf numFmtId="164" fontId="5" fillId="3" borderId="26" xfId="1" applyNumberFormat="1" applyFont="1" applyFill="1" applyBorder="1" applyAlignment="1">
      <alignment horizontal="center" vertical="center"/>
    </xf>
    <xf numFmtId="164" fontId="5" fillId="3" borderId="21" xfId="1" applyNumberFormat="1" applyFont="1" applyFill="1" applyBorder="1" applyAlignment="1">
      <alignment horizontal="center" vertical="center"/>
    </xf>
    <xf numFmtId="164" fontId="5" fillId="3" borderId="20" xfId="1" applyNumberFormat="1" applyFont="1" applyFill="1" applyBorder="1" applyAlignment="1">
      <alignment horizontal="center" vertical="center"/>
    </xf>
    <xf numFmtId="0" fontId="10" fillId="3" borderId="28" xfId="0" applyFont="1" applyFill="1" applyBorder="1" applyAlignment="1">
      <alignment horizontal="left"/>
    </xf>
    <xf numFmtId="0" fontId="17" fillId="6" borderId="21" xfId="0" applyFont="1" applyFill="1" applyBorder="1" applyAlignment="1">
      <alignment horizontal="left"/>
    </xf>
    <xf numFmtId="0" fontId="17" fillId="6" borderId="18" xfId="0" applyFont="1" applyFill="1" applyBorder="1" applyAlignment="1">
      <alignment horizontal="left"/>
    </xf>
    <xf numFmtId="0" fontId="19" fillId="6" borderId="23" xfId="0" applyFont="1" applyFill="1" applyBorder="1" applyAlignment="1">
      <alignment horizontal="center"/>
    </xf>
    <xf numFmtId="0" fontId="19" fillId="6" borderId="25" xfId="0" applyFont="1" applyFill="1" applyBorder="1" applyAlignment="1">
      <alignment horizontal="center"/>
    </xf>
    <xf numFmtId="164" fontId="16" fillId="6" borderId="0" xfId="0" applyNumberFormat="1" applyFont="1" applyFill="1" applyAlignment="1">
      <alignment horizontal="center"/>
    </xf>
    <xf numFmtId="164" fontId="16" fillId="6" borderId="26" xfId="0" applyNumberFormat="1" applyFont="1" applyFill="1" applyBorder="1" applyAlignment="1">
      <alignment horizontal="center"/>
    </xf>
    <xf numFmtId="164" fontId="16" fillId="6" borderId="0" xfId="1" applyNumberFormat="1" applyFont="1" applyFill="1" applyBorder="1" applyAlignment="1">
      <alignment horizontal="center"/>
    </xf>
    <xf numFmtId="164" fontId="16" fillId="6" borderId="26" xfId="1" applyNumberFormat="1" applyFont="1" applyFill="1" applyBorder="1" applyAlignment="1">
      <alignment horizontal="center"/>
    </xf>
    <xf numFmtId="10" fontId="16" fillId="6" borderId="0" xfId="2" applyNumberFormat="1" applyFont="1" applyFill="1" applyBorder="1" applyAlignment="1">
      <alignment horizontal="center"/>
    </xf>
    <xf numFmtId="10" fontId="16" fillId="6" borderId="0" xfId="0" applyNumberFormat="1" applyFont="1" applyFill="1" applyAlignment="1">
      <alignment horizontal="center"/>
    </xf>
    <xf numFmtId="0" fontId="16" fillId="6" borderId="0" xfId="0" applyFont="1" applyFill="1" applyAlignment="1">
      <alignment horizontal="center"/>
    </xf>
    <xf numFmtId="0" fontId="17" fillId="6" borderId="24" xfId="0" applyFont="1" applyFill="1" applyBorder="1" applyAlignment="1">
      <alignment horizontal="left"/>
    </xf>
    <xf numFmtId="0" fontId="17" fillId="6" borderId="23" xfId="0" applyFont="1" applyFill="1" applyBorder="1" applyAlignment="1">
      <alignment horizontal="left"/>
    </xf>
    <xf numFmtId="164" fontId="5" fillId="4" borderId="23" xfId="0" applyNumberFormat="1" applyFont="1" applyFill="1" applyBorder="1" applyAlignment="1">
      <alignment horizontal="center"/>
    </xf>
    <xf numFmtId="164" fontId="5" fillId="4" borderId="25" xfId="0" applyNumberFormat="1" applyFont="1" applyFill="1" applyBorder="1" applyAlignment="1">
      <alignment horizontal="center"/>
    </xf>
    <xf numFmtId="164" fontId="5" fillId="4" borderId="18" xfId="0" applyNumberFormat="1" applyFont="1" applyFill="1" applyBorder="1" applyAlignment="1">
      <alignment horizontal="center"/>
    </xf>
    <xf numFmtId="164" fontId="5" fillId="4" borderId="20" xfId="0" applyNumberFormat="1" applyFont="1" applyFill="1" applyBorder="1" applyAlignment="1">
      <alignment horizontal="center"/>
    </xf>
    <xf numFmtId="164" fontId="5" fillId="6" borderId="23" xfId="0" applyNumberFormat="1" applyFont="1" applyFill="1" applyBorder="1" applyAlignment="1">
      <alignment horizontal="center"/>
    </xf>
    <xf numFmtId="164" fontId="5" fillId="6" borderId="25" xfId="0" applyNumberFormat="1" applyFont="1" applyFill="1" applyBorder="1" applyAlignment="1">
      <alignment horizontal="center"/>
    </xf>
    <xf numFmtId="164" fontId="5" fillId="6" borderId="18" xfId="0" applyNumberFormat="1" applyFont="1" applyFill="1" applyBorder="1" applyAlignment="1">
      <alignment horizontal="center"/>
    </xf>
    <xf numFmtId="164" fontId="5" fillId="6" borderId="20" xfId="0" applyNumberFormat="1" applyFont="1" applyFill="1" applyBorder="1" applyAlignment="1">
      <alignment horizontal="center"/>
    </xf>
    <xf numFmtId="0" fontId="10" fillId="3" borderId="27" xfId="0" applyFont="1" applyFill="1" applyBorder="1" applyAlignment="1">
      <alignment horizontal="left"/>
    </xf>
    <xf numFmtId="0" fontId="5" fillId="3" borderId="22" xfId="0" applyFont="1" applyFill="1" applyBorder="1" applyAlignment="1">
      <alignment horizontal="center" vertical="center"/>
    </xf>
    <xf numFmtId="0" fontId="5" fillId="3" borderId="26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0" xfId="0" applyFont="1" applyFill="1" applyBorder="1" applyAlignment="1">
      <alignment horizontal="center" vertical="center"/>
    </xf>
    <xf numFmtId="0" fontId="0" fillId="3" borderId="23" xfId="0" applyFill="1" applyBorder="1" applyAlignment="1">
      <alignment horizontal="left"/>
    </xf>
    <xf numFmtId="0" fontId="17" fillId="4" borderId="29" xfId="0" applyFont="1" applyFill="1" applyBorder="1" applyAlignment="1">
      <alignment horizontal="left" vertical="center"/>
    </xf>
    <xf numFmtId="0" fontId="17" fillId="4" borderId="28" xfId="0" applyFont="1" applyFill="1" applyBorder="1" applyAlignment="1">
      <alignment horizontal="left" vertical="center"/>
    </xf>
    <xf numFmtId="0" fontId="17" fillId="4" borderId="21" xfId="0" applyFont="1" applyFill="1" applyBorder="1" applyAlignment="1">
      <alignment horizontal="left"/>
    </xf>
    <xf numFmtId="0" fontId="17" fillId="4" borderId="18" xfId="0" applyFont="1" applyFill="1" applyBorder="1" applyAlignment="1">
      <alignment horizontal="left"/>
    </xf>
    <xf numFmtId="0" fontId="19" fillId="4" borderId="0" xfId="0" applyFont="1" applyFill="1" applyAlignment="1">
      <alignment horizontal="center"/>
    </xf>
    <xf numFmtId="0" fontId="14" fillId="6" borderId="33" xfId="0" applyFont="1" applyFill="1" applyBorder="1" applyAlignment="1">
      <alignment horizontal="left" vertical="center"/>
    </xf>
    <xf numFmtId="0" fontId="14" fillId="6" borderId="0" xfId="0" applyFont="1" applyFill="1" applyAlignment="1">
      <alignment horizontal="left" vertical="center"/>
    </xf>
    <xf numFmtId="9" fontId="14" fillId="3" borderId="0" xfId="2" applyFont="1" applyFill="1" applyBorder="1" applyAlignment="1">
      <alignment horizontal="center"/>
    </xf>
    <xf numFmtId="9" fontId="14" fillId="3" borderId="32" xfId="2" applyFont="1" applyFill="1" applyBorder="1" applyAlignment="1">
      <alignment horizontal="center"/>
    </xf>
    <xf numFmtId="9" fontId="14" fillId="12" borderId="0" xfId="2" applyFont="1" applyFill="1" applyBorder="1" applyAlignment="1">
      <alignment horizontal="center"/>
    </xf>
    <xf numFmtId="9" fontId="14" fillId="12" borderId="32" xfId="2" applyFont="1" applyFill="1" applyBorder="1" applyAlignment="1">
      <alignment horizontal="center"/>
    </xf>
    <xf numFmtId="0" fontId="14" fillId="3" borderId="31" xfId="0" applyFont="1" applyFill="1" applyBorder="1" applyAlignment="1">
      <alignment horizontal="left"/>
    </xf>
    <xf numFmtId="0" fontId="14" fillId="3" borderId="10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center"/>
    </xf>
    <xf numFmtId="0" fontId="18" fillId="12" borderId="34" xfId="0" applyFont="1" applyFill="1" applyBorder="1" applyAlignment="1">
      <alignment horizontal="center"/>
    </xf>
    <xf numFmtId="0" fontId="17" fillId="3" borderId="0" xfId="0" applyFont="1" applyFill="1" applyAlignment="1">
      <alignment horizontal="center"/>
    </xf>
    <xf numFmtId="0" fontId="18" fillId="6" borderId="36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left"/>
    </xf>
    <xf numFmtId="0" fontId="18" fillId="6" borderId="35" xfId="0" applyFont="1" applyFill="1" applyBorder="1" applyAlignment="1">
      <alignment horizontal="center"/>
    </xf>
    <xf numFmtId="0" fontId="18" fillId="6" borderId="34" xfId="0" applyFont="1" applyFill="1" applyBorder="1" applyAlignment="1">
      <alignment horizontal="center"/>
    </xf>
    <xf numFmtId="0" fontId="14" fillId="3" borderId="33" xfId="0" applyFont="1" applyFill="1" applyBorder="1" applyAlignment="1">
      <alignment horizontal="left"/>
    </xf>
    <xf numFmtId="0" fontId="14" fillId="3" borderId="0" xfId="0" applyFont="1" applyFill="1" applyAlignment="1">
      <alignment horizontal="left"/>
    </xf>
    <xf numFmtId="9" fontId="14" fillId="3" borderId="0" xfId="0" applyNumberFormat="1" applyFont="1" applyFill="1" applyAlignment="1">
      <alignment horizontal="center"/>
    </xf>
    <xf numFmtId="0" fontId="14" fillId="3" borderId="32" xfId="0" applyFont="1" applyFill="1" applyBorder="1" applyAlignment="1">
      <alignment horizontal="center"/>
    </xf>
    <xf numFmtId="9" fontId="14" fillId="6" borderId="0" xfId="0" applyNumberFormat="1" applyFont="1" applyFill="1" applyAlignment="1">
      <alignment horizontal="center" vertical="center"/>
    </xf>
    <xf numFmtId="9" fontId="14" fillId="6" borderId="32" xfId="0" applyNumberFormat="1" applyFont="1" applyFill="1" applyBorder="1" applyAlignment="1">
      <alignment horizontal="center" vertical="center"/>
    </xf>
    <xf numFmtId="9" fontId="14" fillId="3" borderId="10" xfId="0" applyNumberFormat="1" applyFont="1" applyFill="1" applyBorder="1" applyAlignment="1">
      <alignment horizontal="center"/>
    </xf>
    <xf numFmtId="0" fontId="14" fillId="3" borderId="30" xfId="0" applyFont="1" applyFill="1" applyBorder="1" applyAlignment="1">
      <alignment horizontal="center"/>
    </xf>
    <xf numFmtId="0" fontId="14" fillId="12" borderId="33" xfId="0" applyFont="1" applyFill="1" applyBorder="1" applyAlignment="1">
      <alignment horizontal="left"/>
    </xf>
    <xf numFmtId="0" fontId="14" fillId="12" borderId="0" xfId="0" applyFont="1" applyFill="1" applyAlignment="1">
      <alignment horizontal="left"/>
    </xf>
    <xf numFmtId="0" fontId="20" fillId="3" borderId="33" xfId="0" applyFont="1" applyFill="1" applyBorder="1" applyAlignment="1">
      <alignment horizontal="left"/>
    </xf>
    <xf numFmtId="0" fontId="20" fillId="3" borderId="0" xfId="0" applyFont="1" applyFill="1" applyAlignment="1">
      <alignment horizontal="left"/>
    </xf>
    <xf numFmtId="0" fontId="20" fillId="12" borderId="33" xfId="0" applyFont="1" applyFill="1" applyBorder="1" applyAlignment="1">
      <alignment horizontal="left"/>
    </xf>
    <xf numFmtId="0" fontId="20" fillId="12" borderId="0" xfId="0" applyFont="1" applyFill="1" applyAlignment="1">
      <alignment horizontal="left"/>
    </xf>
    <xf numFmtId="0" fontId="17" fillId="4" borderId="29" xfId="0" applyFont="1" applyFill="1" applyBorder="1" applyAlignment="1">
      <alignment horizontal="left"/>
    </xf>
    <xf numFmtId="0" fontId="17" fillId="4" borderId="28" xfId="0" applyFont="1" applyFill="1" applyBorder="1" applyAlignment="1">
      <alignment horizontal="left"/>
    </xf>
    <xf numFmtId="0" fontId="17" fillId="3" borderId="0" xfId="0" applyFont="1" applyFill="1" applyAlignment="1">
      <alignment horizontal="left"/>
    </xf>
    <xf numFmtId="164" fontId="7" fillId="3" borderId="0" xfId="0" applyNumberFormat="1" applyFont="1" applyFill="1" applyAlignment="1">
      <alignment horizontal="left"/>
    </xf>
    <xf numFmtId="0" fontId="18" fillId="3" borderId="0" xfId="0" applyFont="1" applyFill="1" applyAlignment="1">
      <alignment horizontal="left"/>
    </xf>
    <xf numFmtId="0" fontId="17" fillId="6" borderId="29" xfId="0" applyFont="1" applyFill="1" applyBorder="1" applyAlignment="1">
      <alignment horizontal="left"/>
    </xf>
    <xf numFmtId="0" fontId="17" fillId="6" borderId="28" xfId="0" applyFont="1" applyFill="1" applyBorder="1" applyAlignment="1">
      <alignment horizontal="left"/>
    </xf>
    <xf numFmtId="0" fontId="19" fillId="6" borderId="0" xfId="0" applyFont="1" applyFill="1" applyAlignment="1">
      <alignment horizontal="center"/>
    </xf>
    <xf numFmtId="0" fontId="18" fillId="12" borderId="36" xfId="0" applyFont="1" applyFill="1" applyBorder="1" applyAlignment="1">
      <alignment horizontal="left"/>
    </xf>
    <xf numFmtId="0" fontId="18" fillId="12" borderId="35" xfId="0" applyFont="1" applyFill="1" applyBorder="1" applyAlignment="1">
      <alignment horizontal="left"/>
    </xf>
    <xf numFmtId="9" fontId="14" fillId="3" borderId="10" xfId="2" applyFont="1" applyFill="1" applyBorder="1" applyAlignment="1">
      <alignment horizontal="center"/>
    </xf>
    <xf numFmtId="9" fontId="14" fillId="3" borderId="30" xfId="2" applyFont="1" applyFill="1" applyBorder="1" applyAlignment="1">
      <alignment horizontal="center"/>
    </xf>
    <xf numFmtId="0" fontId="20" fillId="3" borderId="31" xfId="0" applyFont="1" applyFill="1" applyBorder="1" applyAlignment="1">
      <alignment horizontal="left"/>
    </xf>
    <xf numFmtId="0" fontId="20" fillId="3" borderId="10" xfId="0" applyFont="1" applyFill="1" applyBorder="1" applyAlignment="1">
      <alignment horizontal="left"/>
    </xf>
    <xf numFmtId="0" fontId="0" fillId="0" borderId="0" xfId="0" applyNumberFormat="1"/>
    <xf numFmtId="22" fontId="0" fillId="0" borderId="0" xfId="0" applyNumberFormat="1"/>
    <xf numFmtId="168" fontId="0" fillId="3" borderId="0" xfId="0" applyNumberFormat="1" applyFill="1" applyBorder="1" applyAlignment="1">
      <alignment horizontal="left"/>
    </xf>
    <xf numFmtId="0" fontId="0" fillId="3" borderId="0" xfId="0" applyFill="1" applyBorder="1" applyAlignment="1">
      <alignment horizontal="left"/>
    </xf>
    <xf numFmtId="171" fontId="0" fillId="3" borderId="0" xfId="0" applyNumberFormat="1" applyFill="1" applyBorder="1" applyAlignment="1">
      <alignment horizontal="right"/>
    </xf>
    <xf numFmtId="167" fontId="1" fillId="5" borderId="2" xfId="0" applyNumberFormat="1" applyFont="1" applyFill="1" applyBorder="1" applyAlignment="1">
      <alignment horizontal="center"/>
    </xf>
    <xf numFmtId="167" fontId="3" fillId="5" borderId="12" xfId="0" applyNumberFormat="1" applyFont="1" applyFill="1" applyBorder="1" applyAlignment="1">
      <alignment horizontal="center"/>
    </xf>
    <xf numFmtId="167" fontId="0" fillId="5" borderId="5" xfId="0" applyNumberFormat="1" applyFill="1" applyBorder="1" applyAlignment="1">
      <alignment horizontal="center"/>
    </xf>
    <xf numFmtId="167" fontId="0" fillId="5" borderId="8" xfId="0" applyNumberFormat="1" applyFill="1" applyBorder="1" applyAlignment="1">
      <alignment horizontal="center"/>
    </xf>
    <xf numFmtId="167" fontId="0" fillId="5" borderId="0" xfId="0" applyNumberFormat="1" applyFill="1" applyAlignment="1">
      <alignment horizontal="center"/>
    </xf>
    <xf numFmtId="185" fontId="1" fillId="3" borderId="1" xfId="0" applyNumberFormat="1" applyFont="1" applyFill="1" applyBorder="1" applyAlignment="1">
      <alignment horizontal="center"/>
    </xf>
    <xf numFmtId="185" fontId="3" fillId="3" borderId="11" xfId="0" applyNumberFormat="1" applyFont="1" applyFill="1" applyBorder="1" applyAlignment="1">
      <alignment horizontal="center"/>
    </xf>
    <xf numFmtId="185" fontId="0" fillId="3" borderId="4" xfId="0" applyNumberFormat="1" applyFill="1" applyBorder="1" applyAlignment="1">
      <alignment horizontal="center"/>
    </xf>
    <xf numFmtId="185" fontId="0" fillId="3" borderId="7" xfId="0" applyNumberFormat="1" applyFill="1" applyBorder="1" applyAlignment="1">
      <alignment horizontal="center"/>
    </xf>
    <xf numFmtId="185" fontId="0" fillId="3" borderId="0" xfId="0" applyNumberFormat="1" applyFill="1" applyAlignment="1">
      <alignment horizontal="center"/>
    </xf>
  </cellXfs>
  <cellStyles count="3">
    <cellStyle name="Currency" xfId="1" builtinId="4"/>
    <cellStyle name="Normal" xfId="0" builtinId="0"/>
    <cellStyle name="Percent" xfId="2" builtinId="5"/>
  </cellStyles>
  <dxfs count="19"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8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4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0"/>
        </patternFill>
      </fill>
    </dxf>
    <dxf>
      <numFmt numFmtId="19" formatCode="m/d/yy"/>
    </dxf>
    <dxf>
      <numFmt numFmtId="0" formatCode="General"/>
    </dxf>
    <dxf>
      <numFmt numFmtId="19" formatCode="m/d/yy"/>
    </dxf>
    <dxf>
      <numFmt numFmtId="0" formatCode="General"/>
    </dxf>
    <dxf>
      <numFmt numFmtId="27" formatCode="m/d/yy\ h:mm"/>
    </dxf>
    <dxf>
      <numFmt numFmtId="0" formatCode="General"/>
    </dxf>
  </dxfs>
  <tableStyles count="0" defaultTableStyle="TableStyleMedium2" defaultPivotStyle="PivotStyleLight16"/>
  <colors>
    <mruColors>
      <color rgb="FFFF84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onnections" Target="connections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0315102543772E-2"/>
          <c:y val="6.0806324820201471E-2"/>
          <c:w val="0.91493397730494241"/>
          <c:h val="0.73370539683653335"/>
        </c:manualLayout>
      </c:layout>
      <c:lineChart>
        <c:grouping val="standard"/>
        <c:varyColors val="0"/>
        <c:ser>
          <c:idx val="0"/>
          <c:order val="0"/>
          <c:tx>
            <c:strRef>
              <c:f>'Value &amp; Cost Basis'!$B$1</c:f>
              <c:strCache>
                <c:ptCount val="1"/>
                <c:pt idx="0">
                  <c:v>Portfolio Value</c:v>
                </c:pt>
              </c:strCache>
            </c:strRef>
          </c:tx>
          <c:spPr>
            <a:ln w="412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-0.36678510185024427"/>
                  <c:y val="-0.18013245599159103"/>
                </c:manualLayout>
              </c:layout>
              <c:numFmt formatCode="&quot;$&quot;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6000" b="0" i="0" u="none" strike="noStrike" kern="1200" baseline="0">
                      <a:solidFill>
                        <a:schemeClr val="accent6">
                          <a:lumMod val="50000"/>
                          <a:alpha val="35282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1854382253087155"/>
                      <c:h val="0.2147084311173869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2942-F14F-8684-71450BA4619A}"/>
                </c:ext>
              </c:extLst>
            </c:dLbl>
            <c:numFmt formatCode="&quot;$&quot;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accent6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'Value &amp; Cost Basis'!$A$2:$A$377</c:f>
              <c:numCache>
                <c:formatCode>m/d/yy</c:formatCode>
                <c:ptCount val="376"/>
                <c:pt idx="0">
                  <c:v>45401</c:v>
                </c:pt>
                <c:pt idx="1">
                  <c:v>45400</c:v>
                </c:pt>
                <c:pt idx="2">
                  <c:v>45399</c:v>
                </c:pt>
                <c:pt idx="3">
                  <c:v>45398</c:v>
                </c:pt>
                <c:pt idx="4">
                  <c:v>45397</c:v>
                </c:pt>
                <c:pt idx="5">
                  <c:v>45396</c:v>
                </c:pt>
                <c:pt idx="6">
                  <c:v>45395</c:v>
                </c:pt>
                <c:pt idx="7">
                  <c:v>45394</c:v>
                </c:pt>
                <c:pt idx="8">
                  <c:v>45393</c:v>
                </c:pt>
                <c:pt idx="9">
                  <c:v>45392</c:v>
                </c:pt>
                <c:pt idx="10">
                  <c:v>45391</c:v>
                </c:pt>
                <c:pt idx="11">
                  <c:v>45390</c:v>
                </c:pt>
                <c:pt idx="12">
                  <c:v>45389</c:v>
                </c:pt>
                <c:pt idx="13">
                  <c:v>45388</c:v>
                </c:pt>
                <c:pt idx="14">
                  <c:v>45387</c:v>
                </c:pt>
                <c:pt idx="15">
                  <c:v>45386</c:v>
                </c:pt>
                <c:pt idx="16">
                  <c:v>45385</c:v>
                </c:pt>
                <c:pt idx="17">
                  <c:v>45384</c:v>
                </c:pt>
                <c:pt idx="18">
                  <c:v>45383</c:v>
                </c:pt>
                <c:pt idx="19">
                  <c:v>45382</c:v>
                </c:pt>
                <c:pt idx="20">
                  <c:v>45381</c:v>
                </c:pt>
                <c:pt idx="21">
                  <c:v>45380</c:v>
                </c:pt>
                <c:pt idx="22">
                  <c:v>45379</c:v>
                </c:pt>
                <c:pt idx="23">
                  <c:v>45378</c:v>
                </c:pt>
                <c:pt idx="24">
                  <c:v>45377</c:v>
                </c:pt>
                <c:pt idx="25">
                  <c:v>45376</c:v>
                </c:pt>
                <c:pt idx="26">
                  <c:v>45375</c:v>
                </c:pt>
                <c:pt idx="27">
                  <c:v>45374</c:v>
                </c:pt>
                <c:pt idx="28">
                  <c:v>45373</c:v>
                </c:pt>
                <c:pt idx="29">
                  <c:v>45372</c:v>
                </c:pt>
                <c:pt idx="30">
                  <c:v>45371</c:v>
                </c:pt>
                <c:pt idx="31">
                  <c:v>45370</c:v>
                </c:pt>
                <c:pt idx="32">
                  <c:v>45369</c:v>
                </c:pt>
                <c:pt idx="33">
                  <c:v>45368</c:v>
                </c:pt>
                <c:pt idx="34">
                  <c:v>45367</c:v>
                </c:pt>
                <c:pt idx="35">
                  <c:v>45366</c:v>
                </c:pt>
                <c:pt idx="36">
                  <c:v>45365</c:v>
                </c:pt>
                <c:pt idx="37">
                  <c:v>45364</c:v>
                </c:pt>
                <c:pt idx="38">
                  <c:v>45363</c:v>
                </c:pt>
                <c:pt idx="39">
                  <c:v>45362</c:v>
                </c:pt>
                <c:pt idx="40">
                  <c:v>45361</c:v>
                </c:pt>
                <c:pt idx="41">
                  <c:v>45360</c:v>
                </c:pt>
                <c:pt idx="42">
                  <c:v>45359</c:v>
                </c:pt>
                <c:pt idx="43">
                  <c:v>45358</c:v>
                </c:pt>
                <c:pt idx="44">
                  <c:v>45357</c:v>
                </c:pt>
                <c:pt idx="45">
                  <c:v>45356</c:v>
                </c:pt>
                <c:pt idx="46">
                  <c:v>45355</c:v>
                </c:pt>
                <c:pt idx="47">
                  <c:v>45354</c:v>
                </c:pt>
                <c:pt idx="48">
                  <c:v>45353</c:v>
                </c:pt>
                <c:pt idx="49">
                  <c:v>45352</c:v>
                </c:pt>
                <c:pt idx="50">
                  <c:v>45351</c:v>
                </c:pt>
                <c:pt idx="51">
                  <c:v>45350</c:v>
                </c:pt>
                <c:pt idx="52">
                  <c:v>45349</c:v>
                </c:pt>
                <c:pt idx="53">
                  <c:v>45348</c:v>
                </c:pt>
                <c:pt idx="54">
                  <c:v>45347</c:v>
                </c:pt>
                <c:pt idx="55">
                  <c:v>45346</c:v>
                </c:pt>
                <c:pt idx="56">
                  <c:v>45345</c:v>
                </c:pt>
                <c:pt idx="57">
                  <c:v>45344</c:v>
                </c:pt>
                <c:pt idx="58">
                  <c:v>45343</c:v>
                </c:pt>
                <c:pt idx="59">
                  <c:v>45342</c:v>
                </c:pt>
                <c:pt idx="60">
                  <c:v>45341</c:v>
                </c:pt>
                <c:pt idx="61">
                  <c:v>45340</c:v>
                </c:pt>
                <c:pt idx="62">
                  <c:v>45339</c:v>
                </c:pt>
                <c:pt idx="63">
                  <c:v>45338</c:v>
                </c:pt>
                <c:pt idx="64">
                  <c:v>45337</c:v>
                </c:pt>
                <c:pt idx="65">
                  <c:v>45336</c:v>
                </c:pt>
                <c:pt idx="66">
                  <c:v>45335</c:v>
                </c:pt>
                <c:pt idx="67">
                  <c:v>45334</c:v>
                </c:pt>
                <c:pt idx="68">
                  <c:v>45333</c:v>
                </c:pt>
                <c:pt idx="69">
                  <c:v>45332</c:v>
                </c:pt>
                <c:pt idx="70">
                  <c:v>45331</c:v>
                </c:pt>
                <c:pt idx="71">
                  <c:v>45330</c:v>
                </c:pt>
                <c:pt idx="72">
                  <c:v>45329</c:v>
                </c:pt>
                <c:pt idx="73">
                  <c:v>45328</c:v>
                </c:pt>
                <c:pt idx="74">
                  <c:v>45327</c:v>
                </c:pt>
                <c:pt idx="75">
                  <c:v>45326</c:v>
                </c:pt>
                <c:pt idx="76">
                  <c:v>45325</c:v>
                </c:pt>
                <c:pt idx="77">
                  <c:v>45324</c:v>
                </c:pt>
                <c:pt idx="78">
                  <c:v>45323</c:v>
                </c:pt>
                <c:pt idx="79">
                  <c:v>45322</c:v>
                </c:pt>
                <c:pt idx="80">
                  <c:v>45321</c:v>
                </c:pt>
                <c:pt idx="81">
                  <c:v>45320</c:v>
                </c:pt>
                <c:pt idx="82">
                  <c:v>45319</c:v>
                </c:pt>
                <c:pt idx="83">
                  <c:v>45318</c:v>
                </c:pt>
                <c:pt idx="84">
                  <c:v>45317</c:v>
                </c:pt>
                <c:pt idx="85">
                  <c:v>45316</c:v>
                </c:pt>
                <c:pt idx="86">
                  <c:v>45315</c:v>
                </c:pt>
                <c:pt idx="87">
                  <c:v>45314</c:v>
                </c:pt>
                <c:pt idx="88">
                  <c:v>45313</c:v>
                </c:pt>
                <c:pt idx="89">
                  <c:v>45312</c:v>
                </c:pt>
                <c:pt idx="90">
                  <c:v>45311</c:v>
                </c:pt>
                <c:pt idx="91">
                  <c:v>45310</c:v>
                </c:pt>
                <c:pt idx="92">
                  <c:v>45309</c:v>
                </c:pt>
                <c:pt idx="93">
                  <c:v>45308</c:v>
                </c:pt>
                <c:pt idx="94">
                  <c:v>45307</c:v>
                </c:pt>
                <c:pt idx="95">
                  <c:v>45306</c:v>
                </c:pt>
                <c:pt idx="96">
                  <c:v>45305</c:v>
                </c:pt>
                <c:pt idx="97">
                  <c:v>45304</c:v>
                </c:pt>
                <c:pt idx="98">
                  <c:v>45303</c:v>
                </c:pt>
                <c:pt idx="99">
                  <c:v>45302</c:v>
                </c:pt>
                <c:pt idx="100">
                  <c:v>45301</c:v>
                </c:pt>
                <c:pt idx="101">
                  <c:v>45300</c:v>
                </c:pt>
                <c:pt idx="102">
                  <c:v>45299</c:v>
                </c:pt>
                <c:pt idx="103">
                  <c:v>45298</c:v>
                </c:pt>
                <c:pt idx="104">
                  <c:v>45297</c:v>
                </c:pt>
                <c:pt idx="105">
                  <c:v>45296</c:v>
                </c:pt>
                <c:pt idx="106">
                  <c:v>45295</c:v>
                </c:pt>
                <c:pt idx="107">
                  <c:v>45294</c:v>
                </c:pt>
                <c:pt idx="108">
                  <c:v>45293</c:v>
                </c:pt>
                <c:pt idx="109">
                  <c:v>45292</c:v>
                </c:pt>
                <c:pt idx="110">
                  <c:v>45291</c:v>
                </c:pt>
                <c:pt idx="111">
                  <c:v>45290</c:v>
                </c:pt>
                <c:pt idx="112">
                  <c:v>45289</c:v>
                </c:pt>
                <c:pt idx="113">
                  <c:v>45288</c:v>
                </c:pt>
                <c:pt idx="114">
                  <c:v>45287</c:v>
                </c:pt>
                <c:pt idx="115">
                  <c:v>45286</c:v>
                </c:pt>
                <c:pt idx="116">
                  <c:v>45285</c:v>
                </c:pt>
                <c:pt idx="117">
                  <c:v>45284</c:v>
                </c:pt>
                <c:pt idx="118">
                  <c:v>45283</c:v>
                </c:pt>
                <c:pt idx="119">
                  <c:v>45282</c:v>
                </c:pt>
                <c:pt idx="120">
                  <c:v>45281</c:v>
                </c:pt>
                <c:pt idx="121">
                  <c:v>45280</c:v>
                </c:pt>
                <c:pt idx="122">
                  <c:v>45279</c:v>
                </c:pt>
                <c:pt idx="123">
                  <c:v>45278</c:v>
                </c:pt>
                <c:pt idx="124">
                  <c:v>45277</c:v>
                </c:pt>
                <c:pt idx="125">
                  <c:v>45276</c:v>
                </c:pt>
                <c:pt idx="126">
                  <c:v>45275</c:v>
                </c:pt>
                <c:pt idx="127">
                  <c:v>45274</c:v>
                </c:pt>
                <c:pt idx="128">
                  <c:v>45273</c:v>
                </c:pt>
                <c:pt idx="129">
                  <c:v>45272</c:v>
                </c:pt>
                <c:pt idx="130">
                  <c:v>45271</c:v>
                </c:pt>
                <c:pt idx="131">
                  <c:v>45270</c:v>
                </c:pt>
                <c:pt idx="132">
                  <c:v>45269</c:v>
                </c:pt>
                <c:pt idx="133">
                  <c:v>45268</c:v>
                </c:pt>
                <c:pt idx="134">
                  <c:v>45267</c:v>
                </c:pt>
                <c:pt idx="135">
                  <c:v>45266</c:v>
                </c:pt>
                <c:pt idx="136">
                  <c:v>45265</c:v>
                </c:pt>
                <c:pt idx="137">
                  <c:v>45264</c:v>
                </c:pt>
                <c:pt idx="138">
                  <c:v>45263</c:v>
                </c:pt>
                <c:pt idx="139">
                  <c:v>45262</c:v>
                </c:pt>
                <c:pt idx="140">
                  <c:v>45261</c:v>
                </c:pt>
                <c:pt idx="141">
                  <c:v>45260</c:v>
                </c:pt>
                <c:pt idx="142">
                  <c:v>45259</c:v>
                </c:pt>
                <c:pt idx="143">
                  <c:v>45258</c:v>
                </c:pt>
                <c:pt idx="144">
                  <c:v>45257</c:v>
                </c:pt>
                <c:pt idx="145">
                  <c:v>45256</c:v>
                </c:pt>
                <c:pt idx="146">
                  <c:v>45255</c:v>
                </c:pt>
                <c:pt idx="147">
                  <c:v>45254</c:v>
                </c:pt>
                <c:pt idx="148">
                  <c:v>45253</c:v>
                </c:pt>
                <c:pt idx="149">
                  <c:v>45252</c:v>
                </c:pt>
                <c:pt idx="150">
                  <c:v>45251</c:v>
                </c:pt>
                <c:pt idx="151">
                  <c:v>45250</c:v>
                </c:pt>
                <c:pt idx="152">
                  <c:v>45249</c:v>
                </c:pt>
                <c:pt idx="153">
                  <c:v>45248</c:v>
                </c:pt>
                <c:pt idx="154">
                  <c:v>45247</c:v>
                </c:pt>
                <c:pt idx="155">
                  <c:v>45246</c:v>
                </c:pt>
                <c:pt idx="156">
                  <c:v>45245</c:v>
                </c:pt>
                <c:pt idx="157">
                  <c:v>45244</c:v>
                </c:pt>
                <c:pt idx="158">
                  <c:v>45243</c:v>
                </c:pt>
                <c:pt idx="159">
                  <c:v>45242</c:v>
                </c:pt>
                <c:pt idx="160">
                  <c:v>45241</c:v>
                </c:pt>
                <c:pt idx="161">
                  <c:v>45240</c:v>
                </c:pt>
                <c:pt idx="162">
                  <c:v>45239</c:v>
                </c:pt>
                <c:pt idx="163">
                  <c:v>45238</c:v>
                </c:pt>
                <c:pt idx="164">
                  <c:v>45237</c:v>
                </c:pt>
                <c:pt idx="165">
                  <c:v>45236</c:v>
                </c:pt>
                <c:pt idx="166">
                  <c:v>45235</c:v>
                </c:pt>
                <c:pt idx="167">
                  <c:v>45234</c:v>
                </c:pt>
                <c:pt idx="168">
                  <c:v>45233</c:v>
                </c:pt>
                <c:pt idx="169">
                  <c:v>45232</c:v>
                </c:pt>
                <c:pt idx="170">
                  <c:v>45231</c:v>
                </c:pt>
                <c:pt idx="171">
                  <c:v>45230</c:v>
                </c:pt>
                <c:pt idx="172">
                  <c:v>45229</c:v>
                </c:pt>
                <c:pt idx="173">
                  <c:v>45228</c:v>
                </c:pt>
                <c:pt idx="174">
                  <c:v>45227</c:v>
                </c:pt>
                <c:pt idx="175">
                  <c:v>45226</c:v>
                </c:pt>
                <c:pt idx="176">
                  <c:v>45225</c:v>
                </c:pt>
                <c:pt idx="177">
                  <c:v>45224</c:v>
                </c:pt>
                <c:pt idx="178">
                  <c:v>45223</c:v>
                </c:pt>
                <c:pt idx="179">
                  <c:v>45222</c:v>
                </c:pt>
                <c:pt idx="180">
                  <c:v>45221</c:v>
                </c:pt>
                <c:pt idx="181">
                  <c:v>45220</c:v>
                </c:pt>
                <c:pt idx="182">
                  <c:v>45219</c:v>
                </c:pt>
                <c:pt idx="183">
                  <c:v>45218</c:v>
                </c:pt>
                <c:pt idx="184">
                  <c:v>45217</c:v>
                </c:pt>
                <c:pt idx="185">
                  <c:v>45216</c:v>
                </c:pt>
                <c:pt idx="186">
                  <c:v>45215</c:v>
                </c:pt>
                <c:pt idx="187">
                  <c:v>45214</c:v>
                </c:pt>
                <c:pt idx="188">
                  <c:v>45213</c:v>
                </c:pt>
                <c:pt idx="189">
                  <c:v>45212</c:v>
                </c:pt>
                <c:pt idx="190">
                  <c:v>45211</c:v>
                </c:pt>
                <c:pt idx="191">
                  <c:v>45210</c:v>
                </c:pt>
                <c:pt idx="192">
                  <c:v>45209</c:v>
                </c:pt>
                <c:pt idx="193">
                  <c:v>45208</c:v>
                </c:pt>
                <c:pt idx="194">
                  <c:v>45207</c:v>
                </c:pt>
                <c:pt idx="195">
                  <c:v>45206</c:v>
                </c:pt>
                <c:pt idx="196">
                  <c:v>45205</c:v>
                </c:pt>
                <c:pt idx="197">
                  <c:v>45204</c:v>
                </c:pt>
                <c:pt idx="198">
                  <c:v>45203</c:v>
                </c:pt>
                <c:pt idx="199">
                  <c:v>45202</c:v>
                </c:pt>
                <c:pt idx="200">
                  <c:v>45201</c:v>
                </c:pt>
                <c:pt idx="201">
                  <c:v>45200</c:v>
                </c:pt>
                <c:pt idx="202">
                  <c:v>45199</c:v>
                </c:pt>
                <c:pt idx="203">
                  <c:v>45198</c:v>
                </c:pt>
                <c:pt idx="204">
                  <c:v>45197</c:v>
                </c:pt>
                <c:pt idx="205">
                  <c:v>45196</c:v>
                </c:pt>
                <c:pt idx="206">
                  <c:v>45195</c:v>
                </c:pt>
                <c:pt idx="207">
                  <c:v>45194</c:v>
                </c:pt>
                <c:pt idx="208">
                  <c:v>45193</c:v>
                </c:pt>
                <c:pt idx="209">
                  <c:v>45192</c:v>
                </c:pt>
                <c:pt idx="210">
                  <c:v>45191</c:v>
                </c:pt>
                <c:pt idx="211">
                  <c:v>45190</c:v>
                </c:pt>
                <c:pt idx="212">
                  <c:v>45189</c:v>
                </c:pt>
                <c:pt idx="213">
                  <c:v>45188</c:v>
                </c:pt>
                <c:pt idx="214">
                  <c:v>45187</c:v>
                </c:pt>
                <c:pt idx="215">
                  <c:v>45186</c:v>
                </c:pt>
                <c:pt idx="216">
                  <c:v>45185</c:v>
                </c:pt>
                <c:pt idx="217">
                  <c:v>45184</c:v>
                </c:pt>
                <c:pt idx="218">
                  <c:v>45183</c:v>
                </c:pt>
                <c:pt idx="219">
                  <c:v>45182</c:v>
                </c:pt>
                <c:pt idx="220">
                  <c:v>45181</c:v>
                </c:pt>
                <c:pt idx="221">
                  <c:v>45180</c:v>
                </c:pt>
                <c:pt idx="222">
                  <c:v>45179</c:v>
                </c:pt>
                <c:pt idx="223">
                  <c:v>45178</c:v>
                </c:pt>
                <c:pt idx="224">
                  <c:v>45177</c:v>
                </c:pt>
                <c:pt idx="225">
                  <c:v>45176</c:v>
                </c:pt>
                <c:pt idx="226">
                  <c:v>45175</c:v>
                </c:pt>
                <c:pt idx="227">
                  <c:v>45174</c:v>
                </c:pt>
                <c:pt idx="228">
                  <c:v>45173</c:v>
                </c:pt>
                <c:pt idx="229">
                  <c:v>45172</c:v>
                </c:pt>
                <c:pt idx="230">
                  <c:v>45171</c:v>
                </c:pt>
                <c:pt idx="231">
                  <c:v>45170</c:v>
                </c:pt>
                <c:pt idx="232">
                  <c:v>45169</c:v>
                </c:pt>
                <c:pt idx="233">
                  <c:v>45168</c:v>
                </c:pt>
                <c:pt idx="234">
                  <c:v>45167</c:v>
                </c:pt>
                <c:pt idx="235">
                  <c:v>45166</c:v>
                </c:pt>
                <c:pt idx="236">
                  <c:v>45165</c:v>
                </c:pt>
                <c:pt idx="237">
                  <c:v>45164</c:v>
                </c:pt>
                <c:pt idx="238">
                  <c:v>45163</c:v>
                </c:pt>
                <c:pt idx="239">
                  <c:v>45162</c:v>
                </c:pt>
                <c:pt idx="240">
                  <c:v>45161</c:v>
                </c:pt>
                <c:pt idx="241">
                  <c:v>45160</c:v>
                </c:pt>
                <c:pt idx="242">
                  <c:v>45159</c:v>
                </c:pt>
                <c:pt idx="243">
                  <c:v>45158</c:v>
                </c:pt>
                <c:pt idx="244">
                  <c:v>45157</c:v>
                </c:pt>
                <c:pt idx="245">
                  <c:v>45156</c:v>
                </c:pt>
                <c:pt idx="246">
                  <c:v>45155</c:v>
                </c:pt>
                <c:pt idx="247">
                  <c:v>45154</c:v>
                </c:pt>
                <c:pt idx="248">
                  <c:v>45153</c:v>
                </c:pt>
                <c:pt idx="249">
                  <c:v>45152</c:v>
                </c:pt>
                <c:pt idx="250">
                  <c:v>45151</c:v>
                </c:pt>
                <c:pt idx="251">
                  <c:v>45150</c:v>
                </c:pt>
                <c:pt idx="252">
                  <c:v>45149</c:v>
                </c:pt>
                <c:pt idx="253">
                  <c:v>45148</c:v>
                </c:pt>
                <c:pt idx="254">
                  <c:v>45147</c:v>
                </c:pt>
                <c:pt idx="255">
                  <c:v>45146</c:v>
                </c:pt>
                <c:pt idx="256">
                  <c:v>45145</c:v>
                </c:pt>
                <c:pt idx="257">
                  <c:v>45144</c:v>
                </c:pt>
                <c:pt idx="258">
                  <c:v>45143</c:v>
                </c:pt>
                <c:pt idx="259">
                  <c:v>45142</c:v>
                </c:pt>
                <c:pt idx="260">
                  <c:v>45141</c:v>
                </c:pt>
                <c:pt idx="261">
                  <c:v>45140</c:v>
                </c:pt>
                <c:pt idx="262">
                  <c:v>45139</c:v>
                </c:pt>
                <c:pt idx="263">
                  <c:v>45138</c:v>
                </c:pt>
                <c:pt idx="264">
                  <c:v>45137</c:v>
                </c:pt>
                <c:pt idx="265">
                  <c:v>45136</c:v>
                </c:pt>
                <c:pt idx="266">
                  <c:v>45135</c:v>
                </c:pt>
                <c:pt idx="267">
                  <c:v>45134</c:v>
                </c:pt>
                <c:pt idx="268">
                  <c:v>45133</c:v>
                </c:pt>
                <c:pt idx="269">
                  <c:v>45132</c:v>
                </c:pt>
                <c:pt idx="270">
                  <c:v>45131</c:v>
                </c:pt>
                <c:pt idx="271">
                  <c:v>45130</c:v>
                </c:pt>
                <c:pt idx="272">
                  <c:v>45129</c:v>
                </c:pt>
                <c:pt idx="273">
                  <c:v>45128</c:v>
                </c:pt>
                <c:pt idx="274">
                  <c:v>45127</c:v>
                </c:pt>
                <c:pt idx="275">
                  <c:v>45126</c:v>
                </c:pt>
                <c:pt idx="276">
                  <c:v>45125</c:v>
                </c:pt>
                <c:pt idx="277">
                  <c:v>45124</c:v>
                </c:pt>
                <c:pt idx="278">
                  <c:v>45123</c:v>
                </c:pt>
                <c:pt idx="279">
                  <c:v>45122</c:v>
                </c:pt>
                <c:pt idx="280">
                  <c:v>45121</c:v>
                </c:pt>
                <c:pt idx="281">
                  <c:v>45120</c:v>
                </c:pt>
                <c:pt idx="282">
                  <c:v>45119</c:v>
                </c:pt>
                <c:pt idx="283">
                  <c:v>45118</c:v>
                </c:pt>
                <c:pt idx="284">
                  <c:v>45117</c:v>
                </c:pt>
                <c:pt idx="285">
                  <c:v>45116</c:v>
                </c:pt>
                <c:pt idx="286">
                  <c:v>45115</c:v>
                </c:pt>
                <c:pt idx="287">
                  <c:v>45114</c:v>
                </c:pt>
                <c:pt idx="288">
                  <c:v>45113</c:v>
                </c:pt>
                <c:pt idx="289">
                  <c:v>45112</c:v>
                </c:pt>
                <c:pt idx="290">
                  <c:v>45111</c:v>
                </c:pt>
                <c:pt idx="291">
                  <c:v>45110</c:v>
                </c:pt>
                <c:pt idx="292">
                  <c:v>45109</c:v>
                </c:pt>
                <c:pt idx="293">
                  <c:v>45108</c:v>
                </c:pt>
                <c:pt idx="294">
                  <c:v>45107</c:v>
                </c:pt>
                <c:pt idx="295">
                  <c:v>45106</c:v>
                </c:pt>
                <c:pt idx="296">
                  <c:v>45105</c:v>
                </c:pt>
                <c:pt idx="297">
                  <c:v>45104</c:v>
                </c:pt>
                <c:pt idx="298">
                  <c:v>45103</c:v>
                </c:pt>
                <c:pt idx="299">
                  <c:v>45102</c:v>
                </c:pt>
                <c:pt idx="300">
                  <c:v>45101</c:v>
                </c:pt>
                <c:pt idx="301">
                  <c:v>45100</c:v>
                </c:pt>
                <c:pt idx="302">
                  <c:v>45099</c:v>
                </c:pt>
                <c:pt idx="303">
                  <c:v>45098</c:v>
                </c:pt>
                <c:pt idx="304">
                  <c:v>45097</c:v>
                </c:pt>
                <c:pt idx="305">
                  <c:v>45096</c:v>
                </c:pt>
                <c:pt idx="306">
                  <c:v>45095</c:v>
                </c:pt>
                <c:pt idx="307">
                  <c:v>45094</c:v>
                </c:pt>
                <c:pt idx="308">
                  <c:v>45093</c:v>
                </c:pt>
                <c:pt idx="309">
                  <c:v>45092</c:v>
                </c:pt>
                <c:pt idx="310">
                  <c:v>45091</c:v>
                </c:pt>
                <c:pt idx="311">
                  <c:v>45090</c:v>
                </c:pt>
                <c:pt idx="312">
                  <c:v>45089</c:v>
                </c:pt>
                <c:pt idx="313">
                  <c:v>45088</c:v>
                </c:pt>
                <c:pt idx="314">
                  <c:v>45087</c:v>
                </c:pt>
                <c:pt idx="315">
                  <c:v>45086</c:v>
                </c:pt>
                <c:pt idx="316">
                  <c:v>45085</c:v>
                </c:pt>
                <c:pt idx="317">
                  <c:v>45084</c:v>
                </c:pt>
                <c:pt idx="318">
                  <c:v>45083</c:v>
                </c:pt>
                <c:pt idx="319">
                  <c:v>45082</c:v>
                </c:pt>
                <c:pt idx="320">
                  <c:v>45081</c:v>
                </c:pt>
                <c:pt idx="321">
                  <c:v>45080</c:v>
                </c:pt>
                <c:pt idx="322">
                  <c:v>45079</c:v>
                </c:pt>
                <c:pt idx="323">
                  <c:v>45078</c:v>
                </c:pt>
                <c:pt idx="324">
                  <c:v>45077</c:v>
                </c:pt>
                <c:pt idx="325">
                  <c:v>45076</c:v>
                </c:pt>
                <c:pt idx="326">
                  <c:v>45075</c:v>
                </c:pt>
                <c:pt idx="327">
                  <c:v>45074</c:v>
                </c:pt>
                <c:pt idx="328">
                  <c:v>45073</c:v>
                </c:pt>
                <c:pt idx="329">
                  <c:v>45072</c:v>
                </c:pt>
                <c:pt idx="330">
                  <c:v>45071</c:v>
                </c:pt>
                <c:pt idx="331">
                  <c:v>45070</c:v>
                </c:pt>
                <c:pt idx="332">
                  <c:v>45069</c:v>
                </c:pt>
                <c:pt idx="333">
                  <c:v>45068</c:v>
                </c:pt>
                <c:pt idx="334">
                  <c:v>45067</c:v>
                </c:pt>
                <c:pt idx="335">
                  <c:v>45066</c:v>
                </c:pt>
                <c:pt idx="336">
                  <c:v>45065</c:v>
                </c:pt>
                <c:pt idx="337">
                  <c:v>45064</c:v>
                </c:pt>
                <c:pt idx="338">
                  <c:v>45063</c:v>
                </c:pt>
                <c:pt idx="339">
                  <c:v>45062</c:v>
                </c:pt>
                <c:pt idx="340">
                  <c:v>45061</c:v>
                </c:pt>
                <c:pt idx="341">
                  <c:v>45060</c:v>
                </c:pt>
                <c:pt idx="342">
                  <c:v>45059</c:v>
                </c:pt>
                <c:pt idx="343">
                  <c:v>45058</c:v>
                </c:pt>
                <c:pt idx="344">
                  <c:v>45057</c:v>
                </c:pt>
                <c:pt idx="345">
                  <c:v>45056</c:v>
                </c:pt>
                <c:pt idx="346">
                  <c:v>45055</c:v>
                </c:pt>
                <c:pt idx="347">
                  <c:v>45054</c:v>
                </c:pt>
                <c:pt idx="348">
                  <c:v>45053</c:v>
                </c:pt>
                <c:pt idx="349">
                  <c:v>45052</c:v>
                </c:pt>
                <c:pt idx="350">
                  <c:v>45051</c:v>
                </c:pt>
                <c:pt idx="351">
                  <c:v>45050</c:v>
                </c:pt>
                <c:pt idx="352">
                  <c:v>45049</c:v>
                </c:pt>
                <c:pt idx="353">
                  <c:v>45048</c:v>
                </c:pt>
                <c:pt idx="354">
                  <c:v>45047</c:v>
                </c:pt>
                <c:pt idx="355">
                  <c:v>45046</c:v>
                </c:pt>
                <c:pt idx="356">
                  <c:v>45045</c:v>
                </c:pt>
                <c:pt idx="357">
                  <c:v>45044</c:v>
                </c:pt>
                <c:pt idx="358">
                  <c:v>45043</c:v>
                </c:pt>
                <c:pt idx="359">
                  <c:v>45042</c:v>
                </c:pt>
                <c:pt idx="360">
                  <c:v>45041</c:v>
                </c:pt>
                <c:pt idx="361">
                  <c:v>45040</c:v>
                </c:pt>
                <c:pt idx="362">
                  <c:v>45039</c:v>
                </c:pt>
                <c:pt idx="363">
                  <c:v>45038</c:v>
                </c:pt>
                <c:pt idx="364">
                  <c:v>45037</c:v>
                </c:pt>
                <c:pt idx="365">
                  <c:v>45036</c:v>
                </c:pt>
                <c:pt idx="366">
                  <c:v>45035</c:v>
                </c:pt>
                <c:pt idx="367">
                  <c:v>45034</c:v>
                </c:pt>
                <c:pt idx="368">
                  <c:v>45033</c:v>
                </c:pt>
                <c:pt idx="369">
                  <c:v>45032</c:v>
                </c:pt>
                <c:pt idx="370">
                  <c:v>45031</c:v>
                </c:pt>
                <c:pt idx="371">
                  <c:v>45030</c:v>
                </c:pt>
                <c:pt idx="372">
                  <c:v>45029</c:v>
                </c:pt>
                <c:pt idx="373">
                  <c:v>45028</c:v>
                </c:pt>
                <c:pt idx="374">
                  <c:v>45027</c:v>
                </c:pt>
                <c:pt idx="375">
                  <c:v>45026</c:v>
                </c:pt>
              </c:numCache>
            </c:numRef>
          </c:cat>
          <c:val>
            <c:numRef>
              <c:f>'Value &amp; Cost Basis'!$B$2:$B$377</c:f>
              <c:numCache>
                <c:formatCode>General</c:formatCode>
                <c:ptCount val="376"/>
                <c:pt idx="0">
                  <c:v>12849.548302088469</c:v>
                </c:pt>
                <c:pt idx="1">
                  <c:v>12174.560308548191</c:v>
                </c:pt>
                <c:pt idx="2">
                  <c:v>12441.53653356299</c:v>
                </c:pt>
                <c:pt idx="3">
                  <c:v>12603.069567948791</c:v>
                </c:pt>
                <c:pt idx="4">
                  <c:v>12591.433373951</c:v>
                </c:pt>
                <c:pt idx="5">
                  <c:v>13016.507162003651</c:v>
                </c:pt>
                <c:pt idx="6">
                  <c:v>12360.264909336411</c:v>
                </c:pt>
                <c:pt idx="7">
                  <c:v>13886.68416236974</c:v>
                </c:pt>
                <c:pt idx="8">
                  <c:v>15615.14354384155</c:v>
                </c:pt>
                <c:pt idx="9">
                  <c:v>15903.5310853049</c:v>
                </c:pt>
                <c:pt idx="10">
                  <c:v>15967.64412229779</c:v>
                </c:pt>
                <c:pt idx="11">
                  <c:v>16477.391104747039</c:v>
                </c:pt>
                <c:pt idx="12">
                  <c:v>15922.128083149941</c:v>
                </c:pt>
                <c:pt idx="13">
                  <c:v>15923.414353000629</c:v>
                </c:pt>
                <c:pt idx="14">
                  <c:v>15766.353115084979</c:v>
                </c:pt>
                <c:pt idx="15">
                  <c:v>15865.293281397901</c:v>
                </c:pt>
                <c:pt idx="16">
                  <c:v>15454.691850456171</c:v>
                </c:pt>
                <c:pt idx="17">
                  <c:v>15628.39592822707</c:v>
                </c:pt>
                <c:pt idx="18">
                  <c:v>16480.621473743031</c:v>
                </c:pt>
                <c:pt idx="19">
                  <c:v>17152.75965003555</c:v>
                </c:pt>
                <c:pt idx="20">
                  <c:v>16885.294168204469</c:v>
                </c:pt>
                <c:pt idx="21">
                  <c:v>17218.471402921248</c:v>
                </c:pt>
                <c:pt idx="22">
                  <c:v>17130.414550736768</c:v>
                </c:pt>
                <c:pt idx="23">
                  <c:v>16782.47822208485</c:v>
                </c:pt>
                <c:pt idx="24">
                  <c:v>17562.387656364779</c:v>
                </c:pt>
                <c:pt idx="25">
                  <c:v>17380.77704715055</c:v>
                </c:pt>
                <c:pt idx="26">
                  <c:v>16732.179677034779</c:v>
                </c:pt>
                <c:pt idx="27">
                  <c:v>16302.038591817231</c:v>
                </c:pt>
                <c:pt idx="28">
                  <c:v>16147.3063083257</c:v>
                </c:pt>
                <c:pt idx="29">
                  <c:v>16836.62087441286</c:v>
                </c:pt>
                <c:pt idx="30">
                  <c:v>16588.789790804662</c:v>
                </c:pt>
                <c:pt idx="31">
                  <c:v>15444.61691712735</c:v>
                </c:pt>
                <c:pt idx="32">
                  <c:v>17145.48051589328</c:v>
                </c:pt>
                <c:pt idx="33">
                  <c:v>17089.592187954731</c:v>
                </c:pt>
                <c:pt idx="34">
                  <c:v>16395.949765043672</c:v>
                </c:pt>
                <c:pt idx="35">
                  <c:v>17597.46511288944</c:v>
                </c:pt>
                <c:pt idx="36">
                  <c:v>18567.383130602509</c:v>
                </c:pt>
                <c:pt idx="37">
                  <c:v>19257.31695295528</c:v>
                </c:pt>
                <c:pt idx="38">
                  <c:v>19291.2571991121</c:v>
                </c:pt>
                <c:pt idx="39">
                  <c:v>19612.843270664569</c:v>
                </c:pt>
                <c:pt idx="40">
                  <c:v>17730.58766639583</c:v>
                </c:pt>
                <c:pt idx="41">
                  <c:v>18285.781809238691</c:v>
                </c:pt>
                <c:pt idx="42">
                  <c:v>18275.18309604314</c:v>
                </c:pt>
                <c:pt idx="43">
                  <c:v>18630.100979451399</c:v>
                </c:pt>
                <c:pt idx="44">
                  <c:v>17789.341222581199</c:v>
                </c:pt>
                <c:pt idx="45">
                  <c:v>16444.294929952968</c:v>
                </c:pt>
                <c:pt idx="46">
                  <c:v>17591.332205708699</c:v>
                </c:pt>
                <c:pt idx="47">
                  <c:v>16893.951771701541</c:v>
                </c:pt>
                <c:pt idx="48">
                  <c:v>17306.03140143189</c:v>
                </c:pt>
                <c:pt idx="49">
                  <c:v>16879.717475913589</c:v>
                </c:pt>
                <c:pt idx="50">
                  <c:v>16515.674111174249</c:v>
                </c:pt>
                <c:pt idx="51">
                  <c:v>16295.60891480912</c:v>
                </c:pt>
                <c:pt idx="52">
                  <c:v>16027.4065023444</c:v>
                </c:pt>
                <c:pt idx="53">
                  <c:v>15876.700055517251</c:v>
                </c:pt>
                <c:pt idx="54">
                  <c:v>15583.072359455349</c:v>
                </c:pt>
                <c:pt idx="55">
                  <c:v>15649.49181156128</c:v>
                </c:pt>
                <c:pt idx="56">
                  <c:v>13561.782471925861</c:v>
                </c:pt>
                <c:pt idx="57">
                  <c:v>14263.24546925888</c:v>
                </c:pt>
                <c:pt idx="58">
                  <c:v>13284.16035359389</c:v>
                </c:pt>
                <c:pt idx="59">
                  <c:v>13643.81172449971</c:v>
                </c:pt>
                <c:pt idx="60">
                  <c:v>13895.873277314309</c:v>
                </c:pt>
                <c:pt idx="61">
                  <c:v>12137.43328218663</c:v>
                </c:pt>
                <c:pt idx="62">
                  <c:v>11563.20843205476</c:v>
                </c:pt>
                <c:pt idx="63">
                  <c:v>11863.65126588734</c:v>
                </c:pt>
                <c:pt idx="64">
                  <c:v>11613.818656762231</c:v>
                </c:pt>
                <c:pt idx="65">
                  <c:v>11371.637394588261</c:v>
                </c:pt>
                <c:pt idx="66">
                  <c:v>11193.701416061551</c:v>
                </c:pt>
                <c:pt idx="67">
                  <c:v>11120.22968209853</c:v>
                </c:pt>
                <c:pt idx="68">
                  <c:v>10926.58711992184</c:v>
                </c:pt>
                <c:pt idx="69">
                  <c:v>10961.034809831821</c:v>
                </c:pt>
                <c:pt idx="70">
                  <c:v>11025.37085685381</c:v>
                </c:pt>
                <c:pt idx="71">
                  <c:v>10651.412460070391</c:v>
                </c:pt>
                <c:pt idx="72">
                  <c:v>10636.0469685633</c:v>
                </c:pt>
                <c:pt idx="73">
                  <c:v>10478.15153579369</c:v>
                </c:pt>
                <c:pt idx="74">
                  <c:v>10034.14543548085</c:v>
                </c:pt>
                <c:pt idx="75">
                  <c:v>9938.0793912179543</c:v>
                </c:pt>
                <c:pt idx="76">
                  <c:v>10143.033866931821</c:v>
                </c:pt>
                <c:pt idx="77">
                  <c:v>10055.326241896641</c:v>
                </c:pt>
                <c:pt idx="78">
                  <c:v>10105.16881367773</c:v>
                </c:pt>
                <c:pt idx="79">
                  <c:v>10016.30727916656</c:v>
                </c:pt>
                <c:pt idx="80">
                  <c:v>10364.34015468112</c:v>
                </c:pt>
                <c:pt idx="81">
                  <c:v>10691.1761218925</c:v>
                </c:pt>
                <c:pt idx="82">
                  <c:v>10510.16920993928</c:v>
                </c:pt>
                <c:pt idx="83">
                  <c:v>10649.391593845021</c:v>
                </c:pt>
                <c:pt idx="84">
                  <c:v>10667.646585194179</c:v>
                </c:pt>
                <c:pt idx="85">
                  <c:v>10258.940591199889</c:v>
                </c:pt>
                <c:pt idx="86">
                  <c:v>10370.933511508259</c:v>
                </c:pt>
                <c:pt idx="87">
                  <c:v>10234.87300467814</c:v>
                </c:pt>
                <c:pt idx="88">
                  <c:v>10323.10400177199</c:v>
                </c:pt>
                <c:pt idx="89">
                  <c:v>10885.323843478431</c:v>
                </c:pt>
                <c:pt idx="90">
                  <c:v>10998.77938722225</c:v>
                </c:pt>
                <c:pt idx="91">
                  <c:v>10868.277651179371</c:v>
                </c:pt>
                <c:pt idx="92">
                  <c:v>10898.59473036851</c:v>
                </c:pt>
                <c:pt idx="93">
                  <c:v>11334.293298374039</c:v>
                </c:pt>
                <c:pt idx="94">
                  <c:v>11549.591594518721</c:v>
                </c:pt>
                <c:pt idx="95">
                  <c:v>11316.305705637409</c:v>
                </c:pt>
                <c:pt idx="96">
                  <c:v>11258.909096567961</c:v>
                </c:pt>
                <c:pt idx="97">
                  <c:v>11594.80878521291</c:v>
                </c:pt>
                <c:pt idx="98">
                  <c:v>11472.1837554957</c:v>
                </c:pt>
                <c:pt idx="99">
                  <c:v>12050.385866039031</c:v>
                </c:pt>
                <c:pt idx="100">
                  <c:v>12017.543972990339</c:v>
                </c:pt>
                <c:pt idx="101">
                  <c:v>11200.19391363105</c:v>
                </c:pt>
                <c:pt idx="102">
                  <c:v>11648.34864640766</c:v>
                </c:pt>
                <c:pt idx="103">
                  <c:v>10904.296130439991</c:v>
                </c:pt>
                <c:pt idx="104">
                  <c:v>11393.19303462634</c:v>
                </c:pt>
                <c:pt idx="105">
                  <c:v>11879.299762819441</c:v>
                </c:pt>
                <c:pt idx="106">
                  <c:v>12260.64380262154</c:v>
                </c:pt>
                <c:pt idx="107">
                  <c:v>12245.13383786062</c:v>
                </c:pt>
                <c:pt idx="108">
                  <c:v>13347.16501940245</c:v>
                </c:pt>
                <c:pt idx="109">
                  <c:v>12947.83007908254</c:v>
                </c:pt>
                <c:pt idx="110">
                  <c:v>12290.362082772919</c:v>
                </c:pt>
                <c:pt idx="111">
                  <c:v>12481.769861201659</c:v>
                </c:pt>
                <c:pt idx="112">
                  <c:v>12649.83927396639</c:v>
                </c:pt>
                <c:pt idx="113">
                  <c:v>12774.881816162009</c:v>
                </c:pt>
                <c:pt idx="114">
                  <c:v>13006.60806487115</c:v>
                </c:pt>
                <c:pt idx="115">
                  <c:v>12672.522174734209</c:v>
                </c:pt>
                <c:pt idx="116">
                  <c:v>13142.746239323251</c:v>
                </c:pt>
                <c:pt idx="117">
                  <c:v>12657.45403680088</c:v>
                </c:pt>
                <c:pt idx="118">
                  <c:v>12815.150111431731</c:v>
                </c:pt>
                <c:pt idx="119">
                  <c:v>12825.28771257796</c:v>
                </c:pt>
                <c:pt idx="120">
                  <c:v>12822.636072947271</c:v>
                </c:pt>
                <c:pt idx="121">
                  <c:v>12433.37057334973</c:v>
                </c:pt>
                <c:pt idx="122">
                  <c:v>11858.97661647687</c:v>
                </c:pt>
                <c:pt idx="123">
                  <c:v>11760.411637300151</c:v>
                </c:pt>
                <c:pt idx="124">
                  <c:v>11663.423132235421</c:v>
                </c:pt>
                <c:pt idx="125">
                  <c:v>11861.11292038148</c:v>
                </c:pt>
                <c:pt idx="126">
                  <c:v>11835.709963896839</c:v>
                </c:pt>
                <c:pt idx="127">
                  <c:v>12282.92479743255</c:v>
                </c:pt>
                <c:pt idx="128">
                  <c:v>11683.926183295889</c:v>
                </c:pt>
                <c:pt idx="129">
                  <c:v>11508.474862555389</c:v>
                </c:pt>
                <c:pt idx="130">
                  <c:v>11142.806863884371</c:v>
                </c:pt>
                <c:pt idx="131">
                  <c:v>11836.837317052359</c:v>
                </c:pt>
                <c:pt idx="132">
                  <c:v>11764.85487427043</c:v>
                </c:pt>
                <c:pt idx="133">
                  <c:v>11876.13907076065</c:v>
                </c:pt>
                <c:pt idx="134">
                  <c:v>11198.50020851601</c:v>
                </c:pt>
                <c:pt idx="135">
                  <c:v>11140.41804568555</c:v>
                </c:pt>
                <c:pt idx="136">
                  <c:v>10738.02817676457</c:v>
                </c:pt>
                <c:pt idx="137">
                  <c:v>10604.88062856559</c:v>
                </c:pt>
                <c:pt idx="138">
                  <c:v>10453.732481992811</c:v>
                </c:pt>
                <c:pt idx="139">
                  <c:v>10446.18299241199</c:v>
                </c:pt>
                <c:pt idx="140">
                  <c:v>10249.65975068158</c:v>
                </c:pt>
                <c:pt idx="141">
                  <c:v>10136.19096233995</c:v>
                </c:pt>
                <c:pt idx="142">
                  <c:v>10154.976982975781</c:v>
                </c:pt>
                <c:pt idx="143">
                  <c:v>10252.933484462121</c:v>
                </c:pt>
                <c:pt idx="144">
                  <c:v>10240.342007749499</c:v>
                </c:pt>
                <c:pt idx="145">
                  <c:v>10456.61645257977</c:v>
                </c:pt>
                <c:pt idx="146">
                  <c:v>10563.93995438009</c:v>
                </c:pt>
                <c:pt idx="147">
                  <c:v>10453.935564153269</c:v>
                </c:pt>
                <c:pt idx="148">
                  <c:v>10370.558405331451</c:v>
                </c:pt>
                <c:pt idx="149">
                  <c:v>10377.209684921751</c:v>
                </c:pt>
                <c:pt idx="150">
                  <c:v>9800.3433959968752</c:v>
                </c:pt>
                <c:pt idx="151">
                  <c:v>10666.69194580202</c:v>
                </c:pt>
                <c:pt idx="152">
                  <c:v>10519.64265596577</c:v>
                </c:pt>
                <c:pt idx="153">
                  <c:v>10299.01993628986</c:v>
                </c:pt>
                <c:pt idx="154">
                  <c:v>10480.65410897804</c:v>
                </c:pt>
                <c:pt idx="155">
                  <c:v>10244.094157626179</c:v>
                </c:pt>
                <c:pt idx="156">
                  <c:v>10657.063583724859</c:v>
                </c:pt>
                <c:pt idx="157">
                  <c:v>10214.06939839362</c:v>
                </c:pt>
                <c:pt idx="158">
                  <c:v>10621.61662867511</c:v>
                </c:pt>
                <c:pt idx="159">
                  <c:v>10791.683633547171</c:v>
                </c:pt>
                <c:pt idx="160">
                  <c:v>10776.169425909209</c:v>
                </c:pt>
                <c:pt idx="161">
                  <c:v>10826.566100976541</c:v>
                </c:pt>
                <c:pt idx="162">
                  <c:v>10641.241772928541</c:v>
                </c:pt>
                <c:pt idx="163">
                  <c:v>10886.523136665401</c:v>
                </c:pt>
                <c:pt idx="164">
                  <c:v>10613.16634201649</c:v>
                </c:pt>
                <c:pt idx="165">
                  <c:v>10960.99645953356</c:v>
                </c:pt>
                <c:pt idx="166">
                  <c:v>10252.794616110439</c:v>
                </c:pt>
                <c:pt idx="167">
                  <c:v>9858.5995637323358</c:v>
                </c:pt>
                <c:pt idx="168">
                  <c:v>9758.7423148428134</c:v>
                </c:pt>
                <c:pt idx="169">
                  <c:v>9758.3019405593805</c:v>
                </c:pt>
                <c:pt idx="170">
                  <c:v>9634.0383977521378</c:v>
                </c:pt>
                <c:pt idx="171">
                  <c:v>9465.7439791246397</c:v>
                </c:pt>
                <c:pt idx="172">
                  <c:v>9378.9117674783811</c:v>
                </c:pt>
                <c:pt idx="173">
                  <c:v>9083.3971108411297</c:v>
                </c:pt>
                <c:pt idx="174">
                  <c:v>8938.8474584105988</c:v>
                </c:pt>
                <c:pt idx="175">
                  <c:v>8869.7413743746183</c:v>
                </c:pt>
                <c:pt idx="176">
                  <c:v>9099.2806005458187</c:v>
                </c:pt>
                <c:pt idx="177">
                  <c:v>9029.5615544221691</c:v>
                </c:pt>
                <c:pt idx="178">
                  <c:v>9007.4570817409185</c:v>
                </c:pt>
                <c:pt idx="179">
                  <c:v>8926.9152057755236</c:v>
                </c:pt>
                <c:pt idx="180">
                  <c:v>8589.3607743606626</c:v>
                </c:pt>
                <c:pt idx="181">
                  <c:v>8491.0099231596887</c:v>
                </c:pt>
                <c:pt idx="182">
                  <c:v>8314.1137890381833</c:v>
                </c:pt>
                <c:pt idx="183">
                  <c:v>8212.5659704171721</c:v>
                </c:pt>
                <c:pt idx="184">
                  <c:v>8065.5234772560198</c:v>
                </c:pt>
                <c:pt idx="185">
                  <c:v>8042.9933527495268</c:v>
                </c:pt>
                <c:pt idx="186">
                  <c:v>8162.4918353675384</c:v>
                </c:pt>
                <c:pt idx="187">
                  <c:v>8008.8100985180681</c:v>
                </c:pt>
                <c:pt idx="188">
                  <c:v>8003.7048014559041</c:v>
                </c:pt>
                <c:pt idx="189">
                  <c:v>7977.0830805758123</c:v>
                </c:pt>
                <c:pt idx="190">
                  <c:v>7869.3672095141374</c:v>
                </c:pt>
                <c:pt idx="191">
                  <c:v>8004.4115915315324</c:v>
                </c:pt>
                <c:pt idx="192">
                  <c:v>8104.1763099658492</c:v>
                </c:pt>
                <c:pt idx="193">
                  <c:v>8118.6589940664308</c:v>
                </c:pt>
                <c:pt idx="194">
                  <c:v>8376.1857224494979</c:v>
                </c:pt>
                <c:pt idx="195">
                  <c:v>8426.5909648566558</c:v>
                </c:pt>
                <c:pt idx="196">
                  <c:v>8481.3141958619181</c:v>
                </c:pt>
                <c:pt idx="197">
                  <c:v>8425.9616981367872</c:v>
                </c:pt>
                <c:pt idx="198">
                  <c:v>8568.7188784892223</c:v>
                </c:pt>
                <c:pt idx="199">
                  <c:v>8650.2666680188177</c:v>
                </c:pt>
                <c:pt idx="200">
                  <c:v>8491.2583267891405</c:v>
                </c:pt>
                <c:pt idx="201">
                  <c:v>8648.3565462640472</c:v>
                </c:pt>
                <c:pt idx="202">
                  <c:v>8492.273675454082</c:v>
                </c:pt>
                <c:pt idx="203">
                  <c:v>8522.4216418009473</c:v>
                </c:pt>
                <c:pt idx="204">
                  <c:v>8448.9560696732915</c:v>
                </c:pt>
                <c:pt idx="205">
                  <c:v>8324.8618331078123</c:v>
                </c:pt>
                <c:pt idx="206">
                  <c:v>8342.0893013376717</c:v>
                </c:pt>
                <c:pt idx="207">
                  <c:v>8464.8736812821735</c:v>
                </c:pt>
                <c:pt idx="208">
                  <c:v>8382.0572599026436</c:v>
                </c:pt>
                <c:pt idx="209">
                  <c:v>8595.6206728184043</c:v>
                </c:pt>
                <c:pt idx="210">
                  <c:v>8516.180888644285</c:v>
                </c:pt>
                <c:pt idx="211">
                  <c:v>8468.4320929953792</c:v>
                </c:pt>
                <c:pt idx="212">
                  <c:v>8608.7763099441836</c:v>
                </c:pt>
                <c:pt idx="213">
                  <c:v>8577.6484919235791</c:v>
                </c:pt>
                <c:pt idx="214">
                  <c:v>8402.2141419593681</c:v>
                </c:pt>
                <c:pt idx="215">
                  <c:v>8284.6486405886753</c:v>
                </c:pt>
                <c:pt idx="216">
                  <c:v>8506.4244249392359</c:v>
                </c:pt>
                <c:pt idx="217">
                  <c:v>8541.5816202143542</c:v>
                </c:pt>
                <c:pt idx="218">
                  <c:v>8403.1013799248885</c:v>
                </c:pt>
                <c:pt idx="219">
                  <c:v>8212.687749576</c:v>
                </c:pt>
                <c:pt idx="220">
                  <c:v>7972.7694829444426</c:v>
                </c:pt>
                <c:pt idx="221">
                  <c:v>7861.9185296123596</c:v>
                </c:pt>
                <c:pt idx="222">
                  <c:v>8181.962855730686</c:v>
                </c:pt>
                <c:pt idx="223">
                  <c:v>8327.3284263581136</c:v>
                </c:pt>
                <c:pt idx="224">
                  <c:v>8407.548904174886</c:v>
                </c:pt>
                <c:pt idx="225">
                  <c:v>8408.4211739302245</c:v>
                </c:pt>
                <c:pt idx="226">
                  <c:v>8337.3450464198086</c:v>
                </c:pt>
                <c:pt idx="227">
                  <c:v>8374.2577399467846</c:v>
                </c:pt>
                <c:pt idx="228">
                  <c:v>8326.0139558691208</c:v>
                </c:pt>
                <c:pt idx="229">
                  <c:v>8305.1953159387085</c:v>
                </c:pt>
                <c:pt idx="230">
                  <c:v>8342.5997272485292</c:v>
                </c:pt>
                <c:pt idx="231">
                  <c:v>8354.3922592512154</c:v>
                </c:pt>
                <c:pt idx="232">
                  <c:v>8662.0432460095581</c:v>
                </c:pt>
                <c:pt idx="233">
                  <c:v>8910.7767296058228</c:v>
                </c:pt>
                <c:pt idx="234">
                  <c:v>9231.1929611511077</c:v>
                </c:pt>
                <c:pt idx="235">
                  <c:v>9073.0713650416692</c:v>
                </c:pt>
                <c:pt idx="236">
                  <c:v>9240.4342236819648</c:v>
                </c:pt>
                <c:pt idx="237">
                  <c:v>9212.3657326176035</c:v>
                </c:pt>
                <c:pt idx="238">
                  <c:v>9326.2764293700548</c:v>
                </c:pt>
                <c:pt idx="239">
                  <c:v>9276.761917179967</c:v>
                </c:pt>
                <c:pt idx="240">
                  <c:v>9594.8482593820372</c:v>
                </c:pt>
                <c:pt idx="241">
                  <c:v>9278.3493998211088</c:v>
                </c:pt>
                <c:pt idx="242">
                  <c:v>9491.1415856114509</c:v>
                </c:pt>
                <c:pt idx="243">
                  <c:v>9633.7716393044866</c:v>
                </c:pt>
                <c:pt idx="244">
                  <c:v>9778.251438320096</c:v>
                </c:pt>
                <c:pt idx="245">
                  <c:v>9158.5272479019131</c:v>
                </c:pt>
                <c:pt idx="246">
                  <c:v>9034.1373808997378</c:v>
                </c:pt>
                <c:pt idx="247">
                  <c:v>10211.561992499801</c:v>
                </c:pt>
                <c:pt idx="248">
                  <c:v>10778.768347668451</c:v>
                </c:pt>
                <c:pt idx="249">
                  <c:v>10810.24958790991</c:v>
                </c:pt>
                <c:pt idx="250">
                  <c:v>10036.07217399173</c:v>
                </c:pt>
                <c:pt idx="251">
                  <c:v>9980.2845952989555</c:v>
                </c:pt>
                <c:pt idx="252">
                  <c:v>10048.34144669896</c:v>
                </c:pt>
                <c:pt idx="253">
                  <c:v>10149.43561119864</c:v>
                </c:pt>
                <c:pt idx="254">
                  <c:v>10412.63593568634</c:v>
                </c:pt>
                <c:pt idx="255">
                  <c:v>10510.37984993502</c:v>
                </c:pt>
                <c:pt idx="256">
                  <c:v>10081.055483912431</c:v>
                </c:pt>
                <c:pt idx="257">
                  <c:v>10129.17211459518</c:v>
                </c:pt>
                <c:pt idx="258">
                  <c:v>10017.074614403989</c:v>
                </c:pt>
                <c:pt idx="259">
                  <c:v>10099.53796778721</c:v>
                </c:pt>
                <c:pt idx="260">
                  <c:v>10360.71526881369</c:v>
                </c:pt>
                <c:pt idx="261">
                  <c:v>10512.195814584709</c:v>
                </c:pt>
                <c:pt idx="262">
                  <c:v>10720.284995360311</c:v>
                </c:pt>
                <c:pt idx="263">
                  <c:v>10654.33024823601</c:v>
                </c:pt>
                <c:pt idx="264">
                  <c:v>10733.58095100615</c:v>
                </c:pt>
                <c:pt idx="265">
                  <c:v>10861.49669800383</c:v>
                </c:pt>
                <c:pt idx="266">
                  <c:v>10805.16164848315</c:v>
                </c:pt>
                <c:pt idx="267">
                  <c:v>10761.958862441979</c:v>
                </c:pt>
                <c:pt idx="268">
                  <c:v>10825.31922847221</c:v>
                </c:pt>
                <c:pt idx="269">
                  <c:v>10749.31645161079</c:v>
                </c:pt>
                <c:pt idx="270">
                  <c:v>9674.2427029689297</c:v>
                </c:pt>
                <c:pt idx="271">
                  <c:v>10028.545581642969</c:v>
                </c:pt>
                <c:pt idx="272">
                  <c:v>9937.300940003528</c:v>
                </c:pt>
                <c:pt idx="273">
                  <c:v>10360.684645860951</c:v>
                </c:pt>
                <c:pt idx="274">
                  <c:v>10571.646766448401</c:v>
                </c:pt>
                <c:pt idx="275">
                  <c:v>10738.624374690149</c:v>
                </c:pt>
                <c:pt idx="276">
                  <c:v>10324.396730505099</c:v>
                </c:pt>
                <c:pt idx="277">
                  <c:v>10089.11236686464</c:v>
                </c:pt>
                <c:pt idx="278">
                  <c:v>10041.6116913892</c:v>
                </c:pt>
                <c:pt idx="279">
                  <c:v>10026.813439166959</c:v>
                </c:pt>
                <c:pt idx="280">
                  <c:v>10038.01463198471</c:v>
                </c:pt>
                <c:pt idx="281">
                  <c:v>10669.429924021781</c:v>
                </c:pt>
                <c:pt idx="282">
                  <c:v>8557.0181329960033</c:v>
                </c:pt>
                <c:pt idx="283">
                  <c:v>8587.4105508715129</c:v>
                </c:pt>
                <c:pt idx="284">
                  <c:v>8552.3155039103549</c:v>
                </c:pt>
                <c:pt idx="285">
                  <c:v>8479.7718129479308</c:v>
                </c:pt>
                <c:pt idx="286">
                  <c:v>8512.2498522802452</c:v>
                </c:pt>
                <c:pt idx="287">
                  <c:v>8491.9994271439136</c:v>
                </c:pt>
                <c:pt idx="288">
                  <c:v>8396.4470933559223</c:v>
                </c:pt>
                <c:pt idx="289">
                  <c:v>8615.9700257796721</c:v>
                </c:pt>
                <c:pt idx="290">
                  <c:v>8810.8772705159445</c:v>
                </c:pt>
                <c:pt idx="291">
                  <c:v>8929.8899329355809</c:v>
                </c:pt>
                <c:pt idx="292">
                  <c:v>8845.1011240823937</c:v>
                </c:pt>
                <c:pt idx="293">
                  <c:v>8802.3688384427278</c:v>
                </c:pt>
                <c:pt idx="294">
                  <c:v>8752.4286890626918</c:v>
                </c:pt>
                <c:pt idx="295">
                  <c:v>8489.5913659972612</c:v>
                </c:pt>
                <c:pt idx="296">
                  <c:v>8355.915094720247</c:v>
                </c:pt>
                <c:pt idx="297">
                  <c:v>8754.3367183418704</c:v>
                </c:pt>
                <c:pt idx="298">
                  <c:v>8627.6731379835564</c:v>
                </c:pt>
                <c:pt idx="299">
                  <c:v>8854.5673784002884</c:v>
                </c:pt>
                <c:pt idx="300">
                  <c:v>8768.1142221048685</c:v>
                </c:pt>
                <c:pt idx="301">
                  <c:v>8877.5022805921108</c:v>
                </c:pt>
                <c:pt idx="302">
                  <c:v>8711.1484859102857</c:v>
                </c:pt>
                <c:pt idx="303">
                  <c:v>8763.3531025526427</c:v>
                </c:pt>
                <c:pt idx="304">
                  <c:v>8430.5134296292672</c:v>
                </c:pt>
                <c:pt idx="305">
                  <c:v>8262.7329907048206</c:v>
                </c:pt>
                <c:pt idx="306">
                  <c:v>8237.4546490582106</c:v>
                </c:pt>
                <c:pt idx="307">
                  <c:v>8266.501777715479</c:v>
                </c:pt>
                <c:pt idx="308">
                  <c:v>8195.8472207131163</c:v>
                </c:pt>
                <c:pt idx="309">
                  <c:v>8072.8933613182708</c:v>
                </c:pt>
                <c:pt idx="310">
                  <c:v>8110.4190819877704</c:v>
                </c:pt>
                <c:pt idx="311">
                  <c:v>8511.0459997619218</c:v>
                </c:pt>
                <c:pt idx="312">
                  <c:v>8483.5565586892426</c:v>
                </c:pt>
                <c:pt idx="313">
                  <c:v>8442.9642357248958</c:v>
                </c:pt>
                <c:pt idx="314">
                  <c:v>8435.4862281391179</c:v>
                </c:pt>
                <c:pt idx="315">
                  <c:v>8965.6249509001918</c:v>
                </c:pt>
                <c:pt idx="316">
                  <c:v>9015.8419717770303</c:v>
                </c:pt>
                <c:pt idx="317">
                  <c:v>8955.0842326782622</c:v>
                </c:pt>
                <c:pt idx="318">
                  <c:v>9269.5046414077242</c:v>
                </c:pt>
                <c:pt idx="319">
                  <c:v>8996.9876399163186</c:v>
                </c:pt>
                <c:pt idx="320">
                  <c:v>9455.1490956731541</c:v>
                </c:pt>
                <c:pt idx="321">
                  <c:v>8386.2200408920235</c:v>
                </c:pt>
                <c:pt idx="322">
                  <c:v>8463.7175236778494</c:v>
                </c:pt>
                <c:pt idx="323">
                  <c:v>8258.5944661930262</c:v>
                </c:pt>
                <c:pt idx="324">
                  <c:v>8404.5745684799585</c:v>
                </c:pt>
                <c:pt idx="325">
                  <c:v>8526.9167850566446</c:v>
                </c:pt>
                <c:pt idx="326">
                  <c:v>8394.0659239965662</c:v>
                </c:pt>
                <c:pt idx="327">
                  <c:v>8411.227677703635</c:v>
                </c:pt>
                <c:pt idx="328">
                  <c:v>8134.2170470231704</c:v>
                </c:pt>
                <c:pt idx="329">
                  <c:v>8105.4435968347734</c:v>
                </c:pt>
                <c:pt idx="330">
                  <c:v>7928.2450697248951</c:v>
                </c:pt>
                <c:pt idx="331">
                  <c:v>7950.2262865611046</c:v>
                </c:pt>
                <c:pt idx="332">
                  <c:v>8163.8024561315542</c:v>
                </c:pt>
                <c:pt idx="333">
                  <c:v>8088.3859374488547</c:v>
                </c:pt>
                <c:pt idx="334">
                  <c:v>8035.5546325191972</c:v>
                </c:pt>
                <c:pt idx="335">
                  <c:v>8151.0380482185901</c:v>
                </c:pt>
                <c:pt idx="336">
                  <c:v>8132.5574644560911</c:v>
                </c:pt>
                <c:pt idx="337">
                  <c:v>8076.4119969432377</c:v>
                </c:pt>
                <c:pt idx="338">
                  <c:v>8108.6212301790547</c:v>
                </c:pt>
                <c:pt idx="339">
                  <c:v>8018.310479003454</c:v>
                </c:pt>
                <c:pt idx="340">
                  <c:v>7961.3662887755472</c:v>
                </c:pt>
                <c:pt idx="341">
                  <c:v>7895.001104964238</c:v>
                </c:pt>
                <c:pt idx="342">
                  <c:v>7856.2770349846851</c:v>
                </c:pt>
                <c:pt idx="343">
                  <c:v>7921.514515879494</c:v>
                </c:pt>
                <c:pt idx="344">
                  <c:v>7784.8358440995671</c:v>
                </c:pt>
                <c:pt idx="345">
                  <c:v>8046.7708859730374</c:v>
                </c:pt>
                <c:pt idx="346">
                  <c:v>8008.1845671538531</c:v>
                </c:pt>
                <c:pt idx="347">
                  <c:v>7990.438341863678</c:v>
                </c:pt>
                <c:pt idx="348">
                  <c:v>8303.5187448385132</c:v>
                </c:pt>
                <c:pt idx="349">
                  <c:v>8354.9891707469415</c:v>
                </c:pt>
                <c:pt idx="350">
                  <c:v>8628.1410246420492</c:v>
                </c:pt>
                <c:pt idx="351">
                  <c:v>8370.2120614000123</c:v>
                </c:pt>
                <c:pt idx="352">
                  <c:v>8472.110547626944</c:v>
                </c:pt>
                <c:pt idx="353">
                  <c:v>8423.1400169121043</c:v>
                </c:pt>
                <c:pt idx="354">
                  <c:v>8370.3421099703992</c:v>
                </c:pt>
                <c:pt idx="355">
                  <c:v>8680.6037904772711</c:v>
                </c:pt>
                <c:pt idx="356">
                  <c:v>8641.9999969055825</c:v>
                </c:pt>
                <c:pt idx="357">
                  <c:v>8629.9272840153826</c:v>
                </c:pt>
                <c:pt idx="358">
                  <c:v>8639.4844177479063</c:v>
                </c:pt>
                <c:pt idx="359">
                  <c:v>8479.0641642490991</c:v>
                </c:pt>
                <c:pt idx="360">
                  <c:v>8559.08992168849</c:v>
                </c:pt>
                <c:pt idx="361">
                  <c:v>8396.5931318790554</c:v>
                </c:pt>
                <c:pt idx="362">
                  <c:v>8474.79752214986</c:v>
                </c:pt>
                <c:pt idx="363">
                  <c:v>8593.0289612325341</c:v>
                </c:pt>
                <c:pt idx="364">
                  <c:v>8350.6197233377661</c:v>
                </c:pt>
                <c:pt idx="365">
                  <c:v>8755.4458449541416</c:v>
                </c:pt>
                <c:pt idx="366">
                  <c:v>8888.3417994876418</c:v>
                </c:pt>
                <c:pt idx="367">
                  <c:v>8749.915484044297</c:v>
                </c:pt>
                <c:pt idx="368">
                  <c:v>8558.9181637269176</c:v>
                </c:pt>
                <c:pt idx="369">
                  <c:v>8787.8075316299273</c:v>
                </c:pt>
                <c:pt idx="370">
                  <c:v>8725.8987985117801</c:v>
                </c:pt>
                <c:pt idx="371">
                  <c:v>8686.4290394986965</c:v>
                </c:pt>
                <c:pt idx="372">
                  <c:v>8460.6025626997161</c:v>
                </c:pt>
                <c:pt idx="373">
                  <c:v>8151.5374522034581</c:v>
                </c:pt>
                <c:pt idx="374">
                  <c:v>8197.7278953353343</c:v>
                </c:pt>
                <c:pt idx="375">
                  <c:v>8244.1738556771852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0-2942-F14F-8684-71450BA4619A}"/>
            </c:ext>
          </c:extLst>
        </c:ser>
        <c:ser>
          <c:idx val="1"/>
          <c:order val="1"/>
          <c:tx>
            <c:strRef>
              <c:f>'Value &amp; Cost Basis'!$C$1</c:f>
              <c:strCache>
                <c:ptCount val="1"/>
                <c:pt idx="0">
                  <c:v>Cost Basis</c:v>
                </c:pt>
              </c:strCache>
            </c:strRef>
          </c:tx>
          <c:spPr>
            <a:ln w="47625" cap="rnd">
              <a:solidFill>
                <a:srgbClr val="FF8400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'Value &amp; Cost Basis'!$A$2:$A$377</c:f>
              <c:numCache>
                <c:formatCode>m/d/yy</c:formatCode>
                <c:ptCount val="376"/>
                <c:pt idx="0">
                  <c:v>45401</c:v>
                </c:pt>
                <c:pt idx="1">
                  <c:v>45400</c:v>
                </c:pt>
                <c:pt idx="2">
                  <c:v>45399</c:v>
                </c:pt>
                <c:pt idx="3">
                  <c:v>45398</c:v>
                </c:pt>
                <c:pt idx="4">
                  <c:v>45397</c:v>
                </c:pt>
                <c:pt idx="5">
                  <c:v>45396</c:v>
                </c:pt>
                <c:pt idx="6">
                  <c:v>45395</c:v>
                </c:pt>
                <c:pt idx="7">
                  <c:v>45394</c:v>
                </c:pt>
                <c:pt idx="8">
                  <c:v>45393</c:v>
                </c:pt>
                <c:pt idx="9">
                  <c:v>45392</c:v>
                </c:pt>
                <c:pt idx="10">
                  <c:v>45391</c:v>
                </c:pt>
                <c:pt idx="11">
                  <c:v>45390</c:v>
                </c:pt>
                <c:pt idx="12">
                  <c:v>45389</c:v>
                </c:pt>
                <c:pt idx="13">
                  <c:v>45388</c:v>
                </c:pt>
                <c:pt idx="14">
                  <c:v>45387</c:v>
                </c:pt>
                <c:pt idx="15">
                  <c:v>45386</c:v>
                </c:pt>
                <c:pt idx="16">
                  <c:v>45385</c:v>
                </c:pt>
                <c:pt idx="17">
                  <c:v>45384</c:v>
                </c:pt>
                <c:pt idx="18">
                  <c:v>45383</c:v>
                </c:pt>
                <c:pt idx="19">
                  <c:v>45382</c:v>
                </c:pt>
                <c:pt idx="20">
                  <c:v>45381</c:v>
                </c:pt>
                <c:pt idx="21">
                  <c:v>45380</c:v>
                </c:pt>
                <c:pt idx="22">
                  <c:v>45379</c:v>
                </c:pt>
                <c:pt idx="23">
                  <c:v>45378</c:v>
                </c:pt>
                <c:pt idx="24">
                  <c:v>45377</c:v>
                </c:pt>
                <c:pt idx="25">
                  <c:v>45376</c:v>
                </c:pt>
                <c:pt idx="26">
                  <c:v>45375</c:v>
                </c:pt>
                <c:pt idx="27">
                  <c:v>45374</c:v>
                </c:pt>
                <c:pt idx="28">
                  <c:v>45373</c:v>
                </c:pt>
                <c:pt idx="29">
                  <c:v>45372</c:v>
                </c:pt>
                <c:pt idx="30">
                  <c:v>45371</c:v>
                </c:pt>
                <c:pt idx="31">
                  <c:v>45370</c:v>
                </c:pt>
                <c:pt idx="32">
                  <c:v>45369</c:v>
                </c:pt>
                <c:pt idx="33">
                  <c:v>45368</c:v>
                </c:pt>
                <c:pt idx="34">
                  <c:v>45367</c:v>
                </c:pt>
                <c:pt idx="35">
                  <c:v>45366</c:v>
                </c:pt>
                <c:pt idx="36">
                  <c:v>45365</c:v>
                </c:pt>
                <c:pt idx="37">
                  <c:v>45364</c:v>
                </c:pt>
                <c:pt idx="38">
                  <c:v>45363</c:v>
                </c:pt>
                <c:pt idx="39">
                  <c:v>45362</c:v>
                </c:pt>
                <c:pt idx="40">
                  <c:v>45361</c:v>
                </c:pt>
                <c:pt idx="41">
                  <c:v>45360</c:v>
                </c:pt>
                <c:pt idx="42">
                  <c:v>45359</c:v>
                </c:pt>
                <c:pt idx="43">
                  <c:v>45358</c:v>
                </c:pt>
                <c:pt idx="44">
                  <c:v>45357</c:v>
                </c:pt>
                <c:pt idx="45">
                  <c:v>45356</c:v>
                </c:pt>
                <c:pt idx="46">
                  <c:v>45355</c:v>
                </c:pt>
                <c:pt idx="47">
                  <c:v>45354</c:v>
                </c:pt>
                <c:pt idx="48">
                  <c:v>45353</c:v>
                </c:pt>
                <c:pt idx="49">
                  <c:v>45352</c:v>
                </c:pt>
                <c:pt idx="50">
                  <c:v>45351</c:v>
                </c:pt>
                <c:pt idx="51">
                  <c:v>45350</c:v>
                </c:pt>
                <c:pt idx="52">
                  <c:v>45349</c:v>
                </c:pt>
                <c:pt idx="53">
                  <c:v>45348</c:v>
                </c:pt>
                <c:pt idx="54">
                  <c:v>45347</c:v>
                </c:pt>
                <c:pt idx="55">
                  <c:v>45346</c:v>
                </c:pt>
                <c:pt idx="56">
                  <c:v>45345</c:v>
                </c:pt>
                <c:pt idx="57">
                  <c:v>45344</c:v>
                </c:pt>
                <c:pt idx="58">
                  <c:v>45343</c:v>
                </c:pt>
                <c:pt idx="59">
                  <c:v>45342</c:v>
                </c:pt>
                <c:pt idx="60">
                  <c:v>45341</c:v>
                </c:pt>
                <c:pt idx="61">
                  <c:v>45340</c:v>
                </c:pt>
                <c:pt idx="62">
                  <c:v>45339</c:v>
                </c:pt>
                <c:pt idx="63">
                  <c:v>45338</c:v>
                </c:pt>
                <c:pt idx="64">
                  <c:v>45337</c:v>
                </c:pt>
                <c:pt idx="65">
                  <c:v>45336</c:v>
                </c:pt>
                <c:pt idx="66">
                  <c:v>45335</c:v>
                </c:pt>
                <c:pt idx="67">
                  <c:v>45334</c:v>
                </c:pt>
                <c:pt idx="68">
                  <c:v>45333</c:v>
                </c:pt>
                <c:pt idx="69">
                  <c:v>45332</c:v>
                </c:pt>
                <c:pt idx="70">
                  <c:v>45331</c:v>
                </c:pt>
                <c:pt idx="71">
                  <c:v>45330</c:v>
                </c:pt>
                <c:pt idx="72">
                  <c:v>45329</c:v>
                </c:pt>
                <c:pt idx="73">
                  <c:v>45328</c:v>
                </c:pt>
                <c:pt idx="74">
                  <c:v>45327</c:v>
                </c:pt>
                <c:pt idx="75">
                  <c:v>45326</c:v>
                </c:pt>
                <c:pt idx="76">
                  <c:v>45325</c:v>
                </c:pt>
                <c:pt idx="77">
                  <c:v>45324</c:v>
                </c:pt>
                <c:pt idx="78">
                  <c:v>45323</c:v>
                </c:pt>
                <c:pt idx="79">
                  <c:v>45322</c:v>
                </c:pt>
                <c:pt idx="80">
                  <c:v>45321</c:v>
                </c:pt>
                <c:pt idx="81">
                  <c:v>45320</c:v>
                </c:pt>
                <c:pt idx="82">
                  <c:v>45319</c:v>
                </c:pt>
                <c:pt idx="83">
                  <c:v>45318</c:v>
                </c:pt>
                <c:pt idx="84">
                  <c:v>45317</c:v>
                </c:pt>
                <c:pt idx="85">
                  <c:v>45316</c:v>
                </c:pt>
                <c:pt idx="86">
                  <c:v>45315</c:v>
                </c:pt>
                <c:pt idx="87">
                  <c:v>45314</c:v>
                </c:pt>
                <c:pt idx="88">
                  <c:v>45313</c:v>
                </c:pt>
                <c:pt idx="89">
                  <c:v>45312</c:v>
                </c:pt>
                <c:pt idx="90">
                  <c:v>45311</c:v>
                </c:pt>
                <c:pt idx="91">
                  <c:v>45310</c:v>
                </c:pt>
                <c:pt idx="92">
                  <c:v>45309</c:v>
                </c:pt>
                <c:pt idx="93">
                  <c:v>45308</c:v>
                </c:pt>
                <c:pt idx="94">
                  <c:v>45307</c:v>
                </c:pt>
                <c:pt idx="95">
                  <c:v>45306</c:v>
                </c:pt>
                <c:pt idx="96">
                  <c:v>45305</c:v>
                </c:pt>
                <c:pt idx="97">
                  <c:v>45304</c:v>
                </c:pt>
                <c:pt idx="98">
                  <c:v>45303</c:v>
                </c:pt>
                <c:pt idx="99">
                  <c:v>45302</c:v>
                </c:pt>
                <c:pt idx="100">
                  <c:v>45301</c:v>
                </c:pt>
                <c:pt idx="101">
                  <c:v>45300</c:v>
                </c:pt>
                <c:pt idx="102">
                  <c:v>45299</c:v>
                </c:pt>
                <c:pt idx="103">
                  <c:v>45298</c:v>
                </c:pt>
                <c:pt idx="104">
                  <c:v>45297</c:v>
                </c:pt>
                <c:pt idx="105">
                  <c:v>45296</c:v>
                </c:pt>
                <c:pt idx="106">
                  <c:v>45295</c:v>
                </c:pt>
                <c:pt idx="107">
                  <c:v>45294</c:v>
                </c:pt>
                <c:pt idx="108">
                  <c:v>45293</c:v>
                </c:pt>
                <c:pt idx="109">
                  <c:v>45292</c:v>
                </c:pt>
                <c:pt idx="110">
                  <c:v>45291</c:v>
                </c:pt>
                <c:pt idx="111">
                  <c:v>45290</c:v>
                </c:pt>
                <c:pt idx="112">
                  <c:v>45289</c:v>
                </c:pt>
                <c:pt idx="113">
                  <c:v>45288</c:v>
                </c:pt>
                <c:pt idx="114">
                  <c:v>45287</c:v>
                </c:pt>
                <c:pt idx="115">
                  <c:v>45286</c:v>
                </c:pt>
                <c:pt idx="116">
                  <c:v>45285</c:v>
                </c:pt>
                <c:pt idx="117">
                  <c:v>45284</c:v>
                </c:pt>
                <c:pt idx="118">
                  <c:v>45283</c:v>
                </c:pt>
                <c:pt idx="119">
                  <c:v>45282</c:v>
                </c:pt>
                <c:pt idx="120">
                  <c:v>45281</c:v>
                </c:pt>
                <c:pt idx="121">
                  <c:v>45280</c:v>
                </c:pt>
                <c:pt idx="122">
                  <c:v>45279</c:v>
                </c:pt>
                <c:pt idx="123">
                  <c:v>45278</c:v>
                </c:pt>
                <c:pt idx="124">
                  <c:v>45277</c:v>
                </c:pt>
                <c:pt idx="125">
                  <c:v>45276</c:v>
                </c:pt>
                <c:pt idx="126">
                  <c:v>45275</c:v>
                </c:pt>
                <c:pt idx="127">
                  <c:v>45274</c:v>
                </c:pt>
                <c:pt idx="128">
                  <c:v>45273</c:v>
                </c:pt>
                <c:pt idx="129">
                  <c:v>45272</c:v>
                </c:pt>
                <c:pt idx="130">
                  <c:v>45271</c:v>
                </c:pt>
                <c:pt idx="131">
                  <c:v>45270</c:v>
                </c:pt>
                <c:pt idx="132">
                  <c:v>45269</c:v>
                </c:pt>
                <c:pt idx="133">
                  <c:v>45268</c:v>
                </c:pt>
                <c:pt idx="134">
                  <c:v>45267</c:v>
                </c:pt>
                <c:pt idx="135">
                  <c:v>45266</c:v>
                </c:pt>
                <c:pt idx="136">
                  <c:v>45265</c:v>
                </c:pt>
                <c:pt idx="137">
                  <c:v>45264</c:v>
                </c:pt>
                <c:pt idx="138">
                  <c:v>45263</c:v>
                </c:pt>
                <c:pt idx="139">
                  <c:v>45262</c:v>
                </c:pt>
                <c:pt idx="140">
                  <c:v>45261</c:v>
                </c:pt>
                <c:pt idx="141">
                  <c:v>45260</c:v>
                </c:pt>
                <c:pt idx="142">
                  <c:v>45259</c:v>
                </c:pt>
                <c:pt idx="143">
                  <c:v>45258</c:v>
                </c:pt>
                <c:pt idx="144">
                  <c:v>45257</c:v>
                </c:pt>
                <c:pt idx="145">
                  <c:v>45256</c:v>
                </c:pt>
                <c:pt idx="146">
                  <c:v>45255</c:v>
                </c:pt>
                <c:pt idx="147">
                  <c:v>45254</c:v>
                </c:pt>
                <c:pt idx="148">
                  <c:v>45253</c:v>
                </c:pt>
                <c:pt idx="149">
                  <c:v>45252</c:v>
                </c:pt>
                <c:pt idx="150">
                  <c:v>45251</c:v>
                </c:pt>
                <c:pt idx="151">
                  <c:v>45250</c:v>
                </c:pt>
                <c:pt idx="152">
                  <c:v>45249</c:v>
                </c:pt>
                <c:pt idx="153">
                  <c:v>45248</c:v>
                </c:pt>
                <c:pt idx="154">
                  <c:v>45247</c:v>
                </c:pt>
                <c:pt idx="155">
                  <c:v>45246</c:v>
                </c:pt>
                <c:pt idx="156">
                  <c:v>45245</c:v>
                </c:pt>
                <c:pt idx="157">
                  <c:v>45244</c:v>
                </c:pt>
                <c:pt idx="158">
                  <c:v>45243</c:v>
                </c:pt>
                <c:pt idx="159">
                  <c:v>45242</c:v>
                </c:pt>
                <c:pt idx="160">
                  <c:v>45241</c:v>
                </c:pt>
                <c:pt idx="161">
                  <c:v>45240</c:v>
                </c:pt>
                <c:pt idx="162">
                  <c:v>45239</c:v>
                </c:pt>
                <c:pt idx="163">
                  <c:v>45238</c:v>
                </c:pt>
                <c:pt idx="164">
                  <c:v>45237</c:v>
                </c:pt>
                <c:pt idx="165">
                  <c:v>45236</c:v>
                </c:pt>
                <c:pt idx="166">
                  <c:v>45235</c:v>
                </c:pt>
                <c:pt idx="167">
                  <c:v>45234</c:v>
                </c:pt>
                <c:pt idx="168">
                  <c:v>45233</c:v>
                </c:pt>
                <c:pt idx="169">
                  <c:v>45232</c:v>
                </c:pt>
                <c:pt idx="170">
                  <c:v>45231</c:v>
                </c:pt>
                <c:pt idx="171">
                  <c:v>45230</c:v>
                </c:pt>
                <c:pt idx="172">
                  <c:v>45229</c:v>
                </c:pt>
                <c:pt idx="173">
                  <c:v>45228</c:v>
                </c:pt>
                <c:pt idx="174">
                  <c:v>45227</c:v>
                </c:pt>
                <c:pt idx="175">
                  <c:v>45226</c:v>
                </c:pt>
                <c:pt idx="176">
                  <c:v>45225</c:v>
                </c:pt>
                <c:pt idx="177">
                  <c:v>45224</c:v>
                </c:pt>
                <c:pt idx="178">
                  <c:v>45223</c:v>
                </c:pt>
                <c:pt idx="179">
                  <c:v>45222</c:v>
                </c:pt>
                <c:pt idx="180">
                  <c:v>45221</c:v>
                </c:pt>
                <c:pt idx="181">
                  <c:v>45220</c:v>
                </c:pt>
                <c:pt idx="182">
                  <c:v>45219</c:v>
                </c:pt>
                <c:pt idx="183">
                  <c:v>45218</c:v>
                </c:pt>
                <c:pt idx="184">
                  <c:v>45217</c:v>
                </c:pt>
                <c:pt idx="185">
                  <c:v>45216</c:v>
                </c:pt>
                <c:pt idx="186">
                  <c:v>45215</c:v>
                </c:pt>
                <c:pt idx="187">
                  <c:v>45214</c:v>
                </c:pt>
                <c:pt idx="188">
                  <c:v>45213</c:v>
                </c:pt>
                <c:pt idx="189">
                  <c:v>45212</c:v>
                </c:pt>
                <c:pt idx="190">
                  <c:v>45211</c:v>
                </c:pt>
                <c:pt idx="191">
                  <c:v>45210</c:v>
                </c:pt>
                <c:pt idx="192">
                  <c:v>45209</c:v>
                </c:pt>
                <c:pt idx="193">
                  <c:v>45208</c:v>
                </c:pt>
                <c:pt idx="194">
                  <c:v>45207</c:v>
                </c:pt>
                <c:pt idx="195">
                  <c:v>45206</c:v>
                </c:pt>
                <c:pt idx="196">
                  <c:v>45205</c:v>
                </c:pt>
                <c:pt idx="197">
                  <c:v>45204</c:v>
                </c:pt>
                <c:pt idx="198">
                  <c:v>45203</c:v>
                </c:pt>
                <c:pt idx="199">
                  <c:v>45202</c:v>
                </c:pt>
                <c:pt idx="200">
                  <c:v>45201</c:v>
                </c:pt>
                <c:pt idx="201">
                  <c:v>45200</c:v>
                </c:pt>
                <c:pt idx="202">
                  <c:v>45199</c:v>
                </c:pt>
                <c:pt idx="203">
                  <c:v>45198</c:v>
                </c:pt>
                <c:pt idx="204">
                  <c:v>45197</c:v>
                </c:pt>
                <c:pt idx="205">
                  <c:v>45196</c:v>
                </c:pt>
                <c:pt idx="206">
                  <c:v>45195</c:v>
                </c:pt>
                <c:pt idx="207">
                  <c:v>45194</c:v>
                </c:pt>
                <c:pt idx="208">
                  <c:v>45193</c:v>
                </c:pt>
                <c:pt idx="209">
                  <c:v>45192</c:v>
                </c:pt>
                <c:pt idx="210">
                  <c:v>45191</c:v>
                </c:pt>
                <c:pt idx="211">
                  <c:v>45190</c:v>
                </c:pt>
                <c:pt idx="212">
                  <c:v>45189</c:v>
                </c:pt>
                <c:pt idx="213">
                  <c:v>45188</c:v>
                </c:pt>
                <c:pt idx="214">
                  <c:v>45187</c:v>
                </c:pt>
                <c:pt idx="215">
                  <c:v>45186</c:v>
                </c:pt>
                <c:pt idx="216">
                  <c:v>45185</c:v>
                </c:pt>
                <c:pt idx="217">
                  <c:v>45184</c:v>
                </c:pt>
                <c:pt idx="218">
                  <c:v>45183</c:v>
                </c:pt>
                <c:pt idx="219">
                  <c:v>45182</c:v>
                </c:pt>
                <c:pt idx="220">
                  <c:v>45181</c:v>
                </c:pt>
                <c:pt idx="221">
                  <c:v>45180</c:v>
                </c:pt>
                <c:pt idx="222">
                  <c:v>45179</c:v>
                </c:pt>
                <c:pt idx="223">
                  <c:v>45178</c:v>
                </c:pt>
                <c:pt idx="224">
                  <c:v>45177</c:v>
                </c:pt>
                <c:pt idx="225">
                  <c:v>45176</c:v>
                </c:pt>
                <c:pt idx="226">
                  <c:v>45175</c:v>
                </c:pt>
                <c:pt idx="227">
                  <c:v>45174</c:v>
                </c:pt>
                <c:pt idx="228">
                  <c:v>45173</c:v>
                </c:pt>
                <c:pt idx="229">
                  <c:v>45172</c:v>
                </c:pt>
                <c:pt idx="230">
                  <c:v>45171</c:v>
                </c:pt>
                <c:pt idx="231">
                  <c:v>45170</c:v>
                </c:pt>
                <c:pt idx="232">
                  <c:v>45169</c:v>
                </c:pt>
                <c:pt idx="233">
                  <c:v>45168</c:v>
                </c:pt>
                <c:pt idx="234">
                  <c:v>45167</c:v>
                </c:pt>
                <c:pt idx="235">
                  <c:v>45166</c:v>
                </c:pt>
                <c:pt idx="236">
                  <c:v>45165</c:v>
                </c:pt>
                <c:pt idx="237">
                  <c:v>45164</c:v>
                </c:pt>
                <c:pt idx="238">
                  <c:v>45163</c:v>
                </c:pt>
                <c:pt idx="239">
                  <c:v>45162</c:v>
                </c:pt>
                <c:pt idx="240">
                  <c:v>45161</c:v>
                </c:pt>
                <c:pt idx="241">
                  <c:v>45160</c:v>
                </c:pt>
                <c:pt idx="242">
                  <c:v>45159</c:v>
                </c:pt>
                <c:pt idx="243">
                  <c:v>45158</c:v>
                </c:pt>
                <c:pt idx="244">
                  <c:v>45157</c:v>
                </c:pt>
                <c:pt idx="245">
                  <c:v>45156</c:v>
                </c:pt>
                <c:pt idx="246">
                  <c:v>45155</c:v>
                </c:pt>
                <c:pt idx="247">
                  <c:v>45154</c:v>
                </c:pt>
                <c:pt idx="248">
                  <c:v>45153</c:v>
                </c:pt>
                <c:pt idx="249">
                  <c:v>45152</c:v>
                </c:pt>
                <c:pt idx="250">
                  <c:v>45151</c:v>
                </c:pt>
                <c:pt idx="251">
                  <c:v>45150</c:v>
                </c:pt>
                <c:pt idx="252">
                  <c:v>45149</c:v>
                </c:pt>
                <c:pt idx="253">
                  <c:v>45148</c:v>
                </c:pt>
                <c:pt idx="254">
                  <c:v>45147</c:v>
                </c:pt>
                <c:pt idx="255">
                  <c:v>45146</c:v>
                </c:pt>
                <c:pt idx="256">
                  <c:v>45145</c:v>
                </c:pt>
                <c:pt idx="257">
                  <c:v>45144</c:v>
                </c:pt>
                <c:pt idx="258">
                  <c:v>45143</c:v>
                </c:pt>
                <c:pt idx="259">
                  <c:v>45142</c:v>
                </c:pt>
                <c:pt idx="260">
                  <c:v>45141</c:v>
                </c:pt>
                <c:pt idx="261">
                  <c:v>45140</c:v>
                </c:pt>
                <c:pt idx="262">
                  <c:v>45139</c:v>
                </c:pt>
                <c:pt idx="263">
                  <c:v>45138</c:v>
                </c:pt>
                <c:pt idx="264">
                  <c:v>45137</c:v>
                </c:pt>
                <c:pt idx="265">
                  <c:v>45136</c:v>
                </c:pt>
                <c:pt idx="266">
                  <c:v>45135</c:v>
                </c:pt>
                <c:pt idx="267">
                  <c:v>45134</c:v>
                </c:pt>
                <c:pt idx="268">
                  <c:v>45133</c:v>
                </c:pt>
                <c:pt idx="269">
                  <c:v>45132</c:v>
                </c:pt>
                <c:pt idx="270">
                  <c:v>45131</c:v>
                </c:pt>
                <c:pt idx="271">
                  <c:v>45130</c:v>
                </c:pt>
                <c:pt idx="272">
                  <c:v>45129</c:v>
                </c:pt>
                <c:pt idx="273">
                  <c:v>45128</c:v>
                </c:pt>
                <c:pt idx="274">
                  <c:v>45127</c:v>
                </c:pt>
                <c:pt idx="275">
                  <c:v>45126</c:v>
                </c:pt>
                <c:pt idx="276">
                  <c:v>45125</c:v>
                </c:pt>
                <c:pt idx="277">
                  <c:v>45124</c:v>
                </c:pt>
                <c:pt idx="278">
                  <c:v>45123</c:v>
                </c:pt>
                <c:pt idx="279">
                  <c:v>45122</c:v>
                </c:pt>
                <c:pt idx="280">
                  <c:v>45121</c:v>
                </c:pt>
                <c:pt idx="281">
                  <c:v>45120</c:v>
                </c:pt>
                <c:pt idx="282">
                  <c:v>45119</c:v>
                </c:pt>
                <c:pt idx="283">
                  <c:v>45118</c:v>
                </c:pt>
                <c:pt idx="284">
                  <c:v>45117</c:v>
                </c:pt>
                <c:pt idx="285">
                  <c:v>45116</c:v>
                </c:pt>
                <c:pt idx="286">
                  <c:v>45115</c:v>
                </c:pt>
                <c:pt idx="287">
                  <c:v>45114</c:v>
                </c:pt>
                <c:pt idx="288">
                  <c:v>45113</c:v>
                </c:pt>
                <c:pt idx="289">
                  <c:v>45112</c:v>
                </c:pt>
                <c:pt idx="290">
                  <c:v>45111</c:v>
                </c:pt>
                <c:pt idx="291">
                  <c:v>45110</c:v>
                </c:pt>
                <c:pt idx="292">
                  <c:v>45109</c:v>
                </c:pt>
                <c:pt idx="293">
                  <c:v>45108</c:v>
                </c:pt>
                <c:pt idx="294">
                  <c:v>45107</c:v>
                </c:pt>
                <c:pt idx="295">
                  <c:v>45106</c:v>
                </c:pt>
                <c:pt idx="296">
                  <c:v>45105</c:v>
                </c:pt>
                <c:pt idx="297">
                  <c:v>45104</c:v>
                </c:pt>
                <c:pt idx="298">
                  <c:v>45103</c:v>
                </c:pt>
                <c:pt idx="299">
                  <c:v>45102</c:v>
                </c:pt>
                <c:pt idx="300">
                  <c:v>45101</c:v>
                </c:pt>
                <c:pt idx="301">
                  <c:v>45100</c:v>
                </c:pt>
                <c:pt idx="302">
                  <c:v>45099</c:v>
                </c:pt>
                <c:pt idx="303">
                  <c:v>45098</c:v>
                </c:pt>
                <c:pt idx="304">
                  <c:v>45097</c:v>
                </c:pt>
                <c:pt idx="305">
                  <c:v>45096</c:v>
                </c:pt>
                <c:pt idx="306">
                  <c:v>45095</c:v>
                </c:pt>
                <c:pt idx="307">
                  <c:v>45094</c:v>
                </c:pt>
                <c:pt idx="308">
                  <c:v>45093</c:v>
                </c:pt>
                <c:pt idx="309">
                  <c:v>45092</c:v>
                </c:pt>
                <c:pt idx="310">
                  <c:v>45091</c:v>
                </c:pt>
                <c:pt idx="311">
                  <c:v>45090</c:v>
                </c:pt>
                <c:pt idx="312">
                  <c:v>45089</c:v>
                </c:pt>
                <c:pt idx="313">
                  <c:v>45088</c:v>
                </c:pt>
                <c:pt idx="314">
                  <c:v>45087</c:v>
                </c:pt>
                <c:pt idx="315">
                  <c:v>45086</c:v>
                </c:pt>
                <c:pt idx="316">
                  <c:v>45085</c:v>
                </c:pt>
                <c:pt idx="317">
                  <c:v>45084</c:v>
                </c:pt>
                <c:pt idx="318">
                  <c:v>45083</c:v>
                </c:pt>
                <c:pt idx="319">
                  <c:v>45082</c:v>
                </c:pt>
                <c:pt idx="320">
                  <c:v>45081</c:v>
                </c:pt>
                <c:pt idx="321">
                  <c:v>45080</c:v>
                </c:pt>
                <c:pt idx="322">
                  <c:v>45079</c:v>
                </c:pt>
                <c:pt idx="323">
                  <c:v>45078</c:v>
                </c:pt>
                <c:pt idx="324">
                  <c:v>45077</c:v>
                </c:pt>
                <c:pt idx="325">
                  <c:v>45076</c:v>
                </c:pt>
                <c:pt idx="326">
                  <c:v>45075</c:v>
                </c:pt>
                <c:pt idx="327">
                  <c:v>45074</c:v>
                </c:pt>
                <c:pt idx="328">
                  <c:v>45073</c:v>
                </c:pt>
                <c:pt idx="329">
                  <c:v>45072</c:v>
                </c:pt>
                <c:pt idx="330">
                  <c:v>45071</c:v>
                </c:pt>
                <c:pt idx="331">
                  <c:v>45070</c:v>
                </c:pt>
                <c:pt idx="332">
                  <c:v>45069</c:v>
                </c:pt>
                <c:pt idx="333">
                  <c:v>45068</c:v>
                </c:pt>
                <c:pt idx="334">
                  <c:v>45067</c:v>
                </c:pt>
                <c:pt idx="335">
                  <c:v>45066</c:v>
                </c:pt>
                <c:pt idx="336">
                  <c:v>45065</c:v>
                </c:pt>
                <c:pt idx="337">
                  <c:v>45064</c:v>
                </c:pt>
                <c:pt idx="338">
                  <c:v>45063</c:v>
                </c:pt>
                <c:pt idx="339">
                  <c:v>45062</c:v>
                </c:pt>
                <c:pt idx="340">
                  <c:v>45061</c:v>
                </c:pt>
                <c:pt idx="341">
                  <c:v>45060</c:v>
                </c:pt>
                <c:pt idx="342">
                  <c:v>45059</c:v>
                </c:pt>
                <c:pt idx="343">
                  <c:v>45058</c:v>
                </c:pt>
                <c:pt idx="344">
                  <c:v>45057</c:v>
                </c:pt>
                <c:pt idx="345">
                  <c:v>45056</c:v>
                </c:pt>
                <c:pt idx="346">
                  <c:v>45055</c:v>
                </c:pt>
                <c:pt idx="347">
                  <c:v>45054</c:v>
                </c:pt>
                <c:pt idx="348">
                  <c:v>45053</c:v>
                </c:pt>
                <c:pt idx="349">
                  <c:v>45052</c:v>
                </c:pt>
                <c:pt idx="350">
                  <c:v>45051</c:v>
                </c:pt>
                <c:pt idx="351">
                  <c:v>45050</c:v>
                </c:pt>
                <c:pt idx="352">
                  <c:v>45049</c:v>
                </c:pt>
                <c:pt idx="353">
                  <c:v>45048</c:v>
                </c:pt>
                <c:pt idx="354">
                  <c:v>45047</c:v>
                </c:pt>
                <c:pt idx="355">
                  <c:v>45046</c:v>
                </c:pt>
                <c:pt idx="356">
                  <c:v>45045</c:v>
                </c:pt>
                <c:pt idx="357">
                  <c:v>45044</c:v>
                </c:pt>
                <c:pt idx="358">
                  <c:v>45043</c:v>
                </c:pt>
                <c:pt idx="359">
                  <c:v>45042</c:v>
                </c:pt>
                <c:pt idx="360">
                  <c:v>45041</c:v>
                </c:pt>
                <c:pt idx="361">
                  <c:v>45040</c:v>
                </c:pt>
                <c:pt idx="362">
                  <c:v>45039</c:v>
                </c:pt>
                <c:pt idx="363">
                  <c:v>45038</c:v>
                </c:pt>
                <c:pt idx="364">
                  <c:v>45037</c:v>
                </c:pt>
                <c:pt idx="365">
                  <c:v>45036</c:v>
                </c:pt>
                <c:pt idx="366">
                  <c:v>45035</c:v>
                </c:pt>
                <c:pt idx="367">
                  <c:v>45034</c:v>
                </c:pt>
                <c:pt idx="368">
                  <c:v>45033</c:v>
                </c:pt>
                <c:pt idx="369">
                  <c:v>45032</c:v>
                </c:pt>
                <c:pt idx="370">
                  <c:v>45031</c:v>
                </c:pt>
                <c:pt idx="371">
                  <c:v>45030</c:v>
                </c:pt>
                <c:pt idx="372">
                  <c:v>45029</c:v>
                </c:pt>
                <c:pt idx="373">
                  <c:v>45028</c:v>
                </c:pt>
                <c:pt idx="374">
                  <c:v>45027</c:v>
                </c:pt>
                <c:pt idx="375">
                  <c:v>45026</c:v>
                </c:pt>
              </c:numCache>
            </c:numRef>
          </c:cat>
          <c:val>
            <c:numRef>
              <c:f>'Value &amp; Cost Basis'!$C$2:$C$377</c:f>
              <c:numCache>
                <c:formatCode>General</c:formatCode>
                <c:ptCount val="376"/>
                <c:pt idx="0">
                  <c:v>12084.38</c:v>
                </c:pt>
                <c:pt idx="1">
                  <c:v>12084.38</c:v>
                </c:pt>
                <c:pt idx="2">
                  <c:v>12084.38</c:v>
                </c:pt>
                <c:pt idx="3">
                  <c:v>12084.38</c:v>
                </c:pt>
                <c:pt idx="4">
                  <c:v>12084.38</c:v>
                </c:pt>
                <c:pt idx="5">
                  <c:v>12084.38</c:v>
                </c:pt>
                <c:pt idx="6">
                  <c:v>12084.38</c:v>
                </c:pt>
                <c:pt idx="7">
                  <c:v>12084.38</c:v>
                </c:pt>
                <c:pt idx="8">
                  <c:v>12084.38</c:v>
                </c:pt>
                <c:pt idx="9">
                  <c:v>12084.38</c:v>
                </c:pt>
                <c:pt idx="10">
                  <c:v>12084.38</c:v>
                </c:pt>
                <c:pt idx="11">
                  <c:v>12084.38</c:v>
                </c:pt>
                <c:pt idx="12">
                  <c:v>12084.38</c:v>
                </c:pt>
                <c:pt idx="13">
                  <c:v>12084.38</c:v>
                </c:pt>
                <c:pt idx="14">
                  <c:v>12084.38</c:v>
                </c:pt>
                <c:pt idx="15">
                  <c:v>12084.38</c:v>
                </c:pt>
                <c:pt idx="16">
                  <c:v>12084.38</c:v>
                </c:pt>
                <c:pt idx="17">
                  <c:v>12084.38</c:v>
                </c:pt>
                <c:pt idx="18">
                  <c:v>12084.38</c:v>
                </c:pt>
                <c:pt idx="19">
                  <c:v>12084.38</c:v>
                </c:pt>
                <c:pt idx="20">
                  <c:v>12084.38</c:v>
                </c:pt>
                <c:pt idx="21">
                  <c:v>12084.38</c:v>
                </c:pt>
                <c:pt idx="22">
                  <c:v>12084.38</c:v>
                </c:pt>
                <c:pt idx="23">
                  <c:v>12084.38</c:v>
                </c:pt>
                <c:pt idx="24">
                  <c:v>12084.38</c:v>
                </c:pt>
                <c:pt idx="25">
                  <c:v>12084.38</c:v>
                </c:pt>
                <c:pt idx="26">
                  <c:v>12084.38</c:v>
                </c:pt>
                <c:pt idx="27">
                  <c:v>12084.38</c:v>
                </c:pt>
                <c:pt idx="28">
                  <c:v>12084.38</c:v>
                </c:pt>
                <c:pt idx="29">
                  <c:v>12084.38</c:v>
                </c:pt>
                <c:pt idx="30">
                  <c:v>12084.38</c:v>
                </c:pt>
                <c:pt idx="31">
                  <c:v>12084.38</c:v>
                </c:pt>
                <c:pt idx="32">
                  <c:v>12084.38</c:v>
                </c:pt>
                <c:pt idx="33">
                  <c:v>12084.38</c:v>
                </c:pt>
                <c:pt idx="34">
                  <c:v>12084.38</c:v>
                </c:pt>
                <c:pt idx="35">
                  <c:v>12084.38</c:v>
                </c:pt>
                <c:pt idx="36">
                  <c:v>12084.38</c:v>
                </c:pt>
                <c:pt idx="37">
                  <c:v>12084.38</c:v>
                </c:pt>
                <c:pt idx="38">
                  <c:v>12084.38</c:v>
                </c:pt>
                <c:pt idx="39">
                  <c:v>12084.38</c:v>
                </c:pt>
                <c:pt idx="40">
                  <c:v>12084.38</c:v>
                </c:pt>
                <c:pt idx="41">
                  <c:v>12084.38</c:v>
                </c:pt>
                <c:pt idx="42">
                  <c:v>12084.38</c:v>
                </c:pt>
                <c:pt idx="43">
                  <c:v>12084.38</c:v>
                </c:pt>
                <c:pt idx="44">
                  <c:v>12084.38</c:v>
                </c:pt>
                <c:pt idx="45">
                  <c:v>12084.38</c:v>
                </c:pt>
                <c:pt idx="46">
                  <c:v>12084.38</c:v>
                </c:pt>
                <c:pt idx="47">
                  <c:v>12084.38</c:v>
                </c:pt>
                <c:pt idx="48">
                  <c:v>12084.38</c:v>
                </c:pt>
                <c:pt idx="49">
                  <c:v>12084.38</c:v>
                </c:pt>
                <c:pt idx="50">
                  <c:v>12084.38</c:v>
                </c:pt>
                <c:pt idx="51">
                  <c:v>12084.38</c:v>
                </c:pt>
                <c:pt idx="52">
                  <c:v>12084.38</c:v>
                </c:pt>
                <c:pt idx="53">
                  <c:v>12084.38</c:v>
                </c:pt>
                <c:pt idx="54">
                  <c:v>12084.38</c:v>
                </c:pt>
                <c:pt idx="55">
                  <c:v>12084.38</c:v>
                </c:pt>
                <c:pt idx="56">
                  <c:v>10113.74</c:v>
                </c:pt>
                <c:pt idx="57">
                  <c:v>10113.74</c:v>
                </c:pt>
                <c:pt idx="58">
                  <c:v>10113.74</c:v>
                </c:pt>
                <c:pt idx="59">
                  <c:v>10113.74</c:v>
                </c:pt>
                <c:pt idx="60">
                  <c:v>10113.74</c:v>
                </c:pt>
                <c:pt idx="61">
                  <c:v>10113.74</c:v>
                </c:pt>
                <c:pt idx="62">
                  <c:v>10113.74</c:v>
                </c:pt>
                <c:pt idx="63">
                  <c:v>10113.74</c:v>
                </c:pt>
                <c:pt idx="64">
                  <c:v>10113.74</c:v>
                </c:pt>
                <c:pt idx="65">
                  <c:v>10113.74</c:v>
                </c:pt>
                <c:pt idx="66">
                  <c:v>10113.74</c:v>
                </c:pt>
                <c:pt idx="67">
                  <c:v>10113.74</c:v>
                </c:pt>
                <c:pt idx="68">
                  <c:v>10113.74</c:v>
                </c:pt>
                <c:pt idx="69">
                  <c:v>10113.74</c:v>
                </c:pt>
                <c:pt idx="70">
                  <c:v>10113.74</c:v>
                </c:pt>
                <c:pt idx="71">
                  <c:v>10113.74</c:v>
                </c:pt>
                <c:pt idx="72">
                  <c:v>10113.74</c:v>
                </c:pt>
                <c:pt idx="73">
                  <c:v>10113.74</c:v>
                </c:pt>
                <c:pt idx="74">
                  <c:v>10113</c:v>
                </c:pt>
                <c:pt idx="75">
                  <c:v>10113</c:v>
                </c:pt>
                <c:pt idx="76">
                  <c:v>10113</c:v>
                </c:pt>
                <c:pt idx="77">
                  <c:v>10113</c:v>
                </c:pt>
                <c:pt idx="78">
                  <c:v>10113</c:v>
                </c:pt>
                <c:pt idx="79">
                  <c:v>10113</c:v>
                </c:pt>
                <c:pt idx="80">
                  <c:v>10113</c:v>
                </c:pt>
                <c:pt idx="81">
                  <c:v>10107.67</c:v>
                </c:pt>
                <c:pt idx="82">
                  <c:v>10107.67</c:v>
                </c:pt>
                <c:pt idx="83">
                  <c:v>10107.67</c:v>
                </c:pt>
                <c:pt idx="84">
                  <c:v>10107.67</c:v>
                </c:pt>
                <c:pt idx="85">
                  <c:v>10107.67</c:v>
                </c:pt>
                <c:pt idx="86">
                  <c:v>10107.67</c:v>
                </c:pt>
                <c:pt idx="87">
                  <c:v>10107.67</c:v>
                </c:pt>
                <c:pt idx="88">
                  <c:v>10107.67</c:v>
                </c:pt>
                <c:pt idx="89">
                  <c:v>10107.67</c:v>
                </c:pt>
                <c:pt idx="90">
                  <c:v>10107.67</c:v>
                </c:pt>
                <c:pt idx="91">
                  <c:v>10107.67</c:v>
                </c:pt>
                <c:pt idx="92">
                  <c:v>10107.67</c:v>
                </c:pt>
                <c:pt idx="93">
                  <c:v>10107.67</c:v>
                </c:pt>
                <c:pt idx="94">
                  <c:v>10107.67</c:v>
                </c:pt>
                <c:pt idx="95">
                  <c:v>10107.67</c:v>
                </c:pt>
                <c:pt idx="96">
                  <c:v>10107.67</c:v>
                </c:pt>
                <c:pt idx="97">
                  <c:v>10107.67</c:v>
                </c:pt>
                <c:pt idx="98">
                  <c:v>10107.67</c:v>
                </c:pt>
                <c:pt idx="99">
                  <c:v>10107.67</c:v>
                </c:pt>
                <c:pt idx="100">
                  <c:v>10107.67</c:v>
                </c:pt>
                <c:pt idx="101">
                  <c:v>10107.67</c:v>
                </c:pt>
                <c:pt idx="102">
                  <c:v>10107.67</c:v>
                </c:pt>
                <c:pt idx="103">
                  <c:v>10107.67</c:v>
                </c:pt>
                <c:pt idx="104">
                  <c:v>10107.67</c:v>
                </c:pt>
                <c:pt idx="105">
                  <c:v>10107.67</c:v>
                </c:pt>
                <c:pt idx="106">
                  <c:v>10107.67</c:v>
                </c:pt>
                <c:pt idx="107">
                  <c:v>10107.67</c:v>
                </c:pt>
                <c:pt idx="108">
                  <c:v>10107.67</c:v>
                </c:pt>
                <c:pt idx="109">
                  <c:v>10107.67</c:v>
                </c:pt>
                <c:pt idx="110">
                  <c:v>10107.67</c:v>
                </c:pt>
                <c:pt idx="111">
                  <c:v>10107.67</c:v>
                </c:pt>
                <c:pt idx="112">
                  <c:v>10107.67</c:v>
                </c:pt>
                <c:pt idx="113">
                  <c:v>10107.67</c:v>
                </c:pt>
                <c:pt idx="114">
                  <c:v>10107.67</c:v>
                </c:pt>
                <c:pt idx="115">
                  <c:v>10107.67</c:v>
                </c:pt>
                <c:pt idx="116">
                  <c:v>10107.67</c:v>
                </c:pt>
                <c:pt idx="117">
                  <c:v>10107.67</c:v>
                </c:pt>
                <c:pt idx="118">
                  <c:v>10107.67</c:v>
                </c:pt>
                <c:pt idx="119">
                  <c:v>10107.67</c:v>
                </c:pt>
                <c:pt idx="120">
                  <c:v>10104.700000000001</c:v>
                </c:pt>
                <c:pt idx="121">
                  <c:v>10104.700000000001</c:v>
                </c:pt>
                <c:pt idx="122">
                  <c:v>10104.700000000001</c:v>
                </c:pt>
                <c:pt idx="123">
                  <c:v>10104.700000000001</c:v>
                </c:pt>
                <c:pt idx="124">
                  <c:v>10104.700000000001</c:v>
                </c:pt>
                <c:pt idx="125">
                  <c:v>10104.700000000001</c:v>
                </c:pt>
                <c:pt idx="126">
                  <c:v>10104.700000000001</c:v>
                </c:pt>
                <c:pt idx="127">
                  <c:v>10104.700000000001</c:v>
                </c:pt>
                <c:pt idx="128">
                  <c:v>10104.700000000001</c:v>
                </c:pt>
                <c:pt idx="129">
                  <c:v>10104.700000000001</c:v>
                </c:pt>
                <c:pt idx="130">
                  <c:v>10104.700000000001</c:v>
                </c:pt>
                <c:pt idx="131">
                  <c:v>10104.700000000001</c:v>
                </c:pt>
                <c:pt idx="132">
                  <c:v>10104.700000000001</c:v>
                </c:pt>
                <c:pt idx="133">
                  <c:v>10104.700000000001</c:v>
                </c:pt>
                <c:pt idx="134">
                  <c:v>10104.700000000001</c:v>
                </c:pt>
                <c:pt idx="135">
                  <c:v>10101.52</c:v>
                </c:pt>
                <c:pt idx="136">
                  <c:v>10101.52</c:v>
                </c:pt>
                <c:pt idx="137">
                  <c:v>10101.52</c:v>
                </c:pt>
                <c:pt idx="138">
                  <c:v>10101.52</c:v>
                </c:pt>
                <c:pt idx="139">
                  <c:v>10101.52</c:v>
                </c:pt>
                <c:pt idx="140">
                  <c:v>10101.52</c:v>
                </c:pt>
                <c:pt idx="141">
                  <c:v>10101.52</c:v>
                </c:pt>
                <c:pt idx="142">
                  <c:v>10101.52</c:v>
                </c:pt>
                <c:pt idx="143">
                  <c:v>10101.52</c:v>
                </c:pt>
                <c:pt idx="144">
                  <c:v>10101.52</c:v>
                </c:pt>
                <c:pt idx="145">
                  <c:v>10101.52</c:v>
                </c:pt>
                <c:pt idx="146">
                  <c:v>10101.52</c:v>
                </c:pt>
                <c:pt idx="147">
                  <c:v>10101.52</c:v>
                </c:pt>
                <c:pt idx="148">
                  <c:v>10101.52</c:v>
                </c:pt>
                <c:pt idx="149">
                  <c:v>10101.52</c:v>
                </c:pt>
                <c:pt idx="150">
                  <c:v>10101.52</c:v>
                </c:pt>
                <c:pt idx="151">
                  <c:v>10101.52</c:v>
                </c:pt>
                <c:pt idx="152">
                  <c:v>10101.52</c:v>
                </c:pt>
                <c:pt idx="153">
                  <c:v>10101.52</c:v>
                </c:pt>
                <c:pt idx="154">
                  <c:v>10100.85</c:v>
                </c:pt>
                <c:pt idx="155">
                  <c:v>10100.85</c:v>
                </c:pt>
                <c:pt idx="156">
                  <c:v>10100.85</c:v>
                </c:pt>
                <c:pt idx="157">
                  <c:v>10100.85</c:v>
                </c:pt>
                <c:pt idx="158">
                  <c:v>10097.379999999999</c:v>
                </c:pt>
                <c:pt idx="159">
                  <c:v>10097.379999999999</c:v>
                </c:pt>
                <c:pt idx="160">
                  <c:v>10097.379999999999</c:v>
                </c:pt>
                <c:pt idx="161">
                  <c:v>10097.379999999999</c:v>
                </c:pt>
                <c:pt idx="162">
                  <c:v>10097.379999999999</c:v>
                </c:pt>
                <c:pt idx="163">
                  <c:v>10097.379999999999</c:v>
                </c:pt>
                <c:pt idx="164">
                  <c:v>10097.379999999999</c:v>
                </c:pt>
                <c:pt idx="165">
                  <c:v>10097.379999999999</c:v>
                </c:pt>
                <c:pt idx="166">
                  <c:v>10097.379999999999</c:v>
                </c:pt>
                <c:pt idx="167">
                  <c:v>10097.379999999999</c:v>
                </c:pt>
                <c:pt idx="168">
                  <c:v>10097.379999999999</c:v>
                </c:pt>
                <c:pt idx="169">
                  <c:v>10097.379999999999</c:v>
                </c:pt>
                <c:pt idx="170">
                  <c:v>10097.379999999999</c:v>
                </c:pt>
                <c:pt idx="171">
                  <c:v>10097.379999999999</c:v>
                </c:pt>
                <c:pt idx="172">
                  <c:v>10097.379999999999</c:v>
                </c:pt>
                <c:pt idx="173">
                  <c:v>10097.379999999999</c:v>
                </c:pt>
                <c:pt idx="174">
                  <c:v>10097.379999999999</c:v>
                </c:pt>
                <c:pt idx="175">
                  <c:v>10097.379999999999</c:v>
                </c:pt>
                <c:pt idx="176">
                  <c:v>10097.379999999999</c:v>
                </c:pt>
                <c:pt idx="177">
                  <c:v>10096.57</c:v>
                </c:pt>
                <c:pt idx="178">
                  <c:v>10096.57</c:v>
                </c:pt>
                <c:pt idx="179">
                  <c:v>10096.57</c:v>
                </c:pt>
                <c:pt idx="180">
                  <c:v>10096.57</c:v>
                </c:pt>
                <c:pt idx="181">
                  <c:v>10096.57</c:v>
                </c:pt>
                <c:pt idx="182">
                  <c:v>10082.94</c:v>
                </c:pt>
                <c:pt idx="183">
                  <c:v>10082.94</c:v>
                </c:pt>
                <c:pt idx="184">
                  <c:v>10082.94</c:v>
                </c:pt>
                <c:pt idx="185">
                  <c:v>10082.94</c:v>
                </c:pt>
                <c:pt idx="186">
                  <c:v>10082.94</c:v>
                </c:pt>
                <c:pt idx="187">
                  <c:v>10082.94</c:v>
                </c:pt>
                <c:pt idx="188">
                  <c:v>10082.94</c:v>
                </c:pt>
                <c:pt idx="189">
                  <c:v>10082.94</c:v>
                </c:pt>
                <c:pt idx="190">
                  <c:v>10082.94</c:v>
                </c:pt>
                <c:pt idx="191">
                  <c:v>10082.94</c:v>
                </c:pt>
                <c:pt idx="192">
                  <c:v>10082.94</c:v>
                </c:pt>
                <c:pt idx="193">
                  <c:v>10082.94</c:v>
                </c:pt>
                <c:pt idx="194">
                  <c:v>10082.94</c:v>
                </c:pt>
                <c:pt idx="195">
                  <c:v>10082.94</c:v>
                </c:pt>
                <c:pt idx="196">
                  <c:v>10082.94</c:v>
                </c:pt>
                <c:pt idx="197">
                  <c:v>10082.94</c:v>
                </c:pt>
                <c:pt idx="198">
                  <c:v>10082.94</c:v>
                </c:pt>
                <c:pt idx="199">
                  <c:v>10082.94</c:v>
                </c:pt>
                <c:pt idx="200">
                  <c:v>10082.94</c:v>
                </c:pt>
                <c:pt idx="201">
                  <c:v>10082.94</c:v>
                </c:pt>
                <c:pt idx="202">
                  <c:v>10082.94</c:v>
                </c:pt>
                <c:pt idx="203">
                  <c:v>10082.94</c:v>
                </c:pt>
                <c:pt idx="204">
                  <c:v>10082.94</c:v>
                </c:pt>
                <c:pt idx="205">
                  <c:v>10082.94</c:v>
                </c:pt>
                <c:pt idx="206">
                  <c:v>10082.94</c:v>
                </c:pt>
                <c:pt idx="207">
                  <c:v>10082.94</c:v>
                </c:pt>
                <c:pt idx="208">
                  <c:v>10082.94</c:v>
                </c:pt>
                <c:pt idx="209">
                  <c:v>10082.94</c:v>
                </c:pt>
                <c:pt idx="210">
                  <c:v>10082.94</c:v>
                </c:pt>
                <c:pt idx="211">
                  <c:v>10082.94</c:v>
                </c:pt>
                <c:pt idx="212">
                  <c:v>10082.94</c:v>
                </c:pt>
                <c:pt idx="213">
                  <c:v>10082.94</c:v>
                </c:pt>
                <c:pt idx="214">
                  <c:v>10082.94</c:v>
                </c:pt>
                <c:pt idx="215">
                  <c:v>10082.94</c:v>
                </c:pt>
                <c:pt idx="216">
                  <c:v>10082.94</c:v>
                </c:pt>
                <c:pt idx="217">
                  <c:v>10082.94</c:v>
                </c:pt>
                <c:pt idx="218">
                  <c:v>10082.94</c:v>
                </c:pt>
                <c:pt idx="219">
                  <c:v>10082.94</c:v>
                </c:pt>
                <c:pt idx="220">
                  <c:v>10082.94</c:v>
                </c:pt>
                <c:pt idx="221">
                  <c:v>10082.94</c:v>
                </c:pt>
                <c:pt idx="222">
                  <c:v>10082.94</c:v>
                </c:pt>
                <c:pt idx="223">
                  <c:v>10082.94</c:v>
                </c:pt>
                <c:pt idx="224">
                  <c:v>10082.94</c:v>
                </c:pt>
                <c:pt idx="225">
                  <c:v>10082.94</c:v>
                </c:pt>
                <c:pt idx="226">
                  <c:v>10082.94</c:v>
                </c:pt>
                <c:pt idx="227">
                  <c:v>10082.94</c:v>
                </c:pt>
                <c:pt idx="228">
                  <c:v>10082.94</c:v>
                </c:pt>
                <c:pt idx="229">
                  <c:v>10082.94</c:v>
                </c:pt>
                <c:pt idx="230">
                  <c:v>10082.94</c:v>
                </c:pt>
                <c:pt idx="231">
                  <c:v>10082.94</c:v>
                </c:pt>
                <c:pt idx="232">
                  <c:v>10082.94</c:v>
                </c:pt>
                <c:pt idx="233">
                  <c:v>10082.94</c:v>
                </c:pt>
                <c:pt idx="234">
                  <c:v>10082.94</c:v>
                </c:pt>
                <c:pt idx="235">
                  <c:v>10082.94</c:v>
                </c:pt>
                <c:pt idx="236">
                  <c:v>10082.94</c:v>
                </c:pt>
                <c:pt idx="237">
                  <c:v>10082.94</c:v>
                </c:pt>
                <c:pt idx="238">
                  <c:v>10082.94</c:v>
                </c:pt>
                <c:pt idx="239">
                  <c:v>10082.94</c:v>
                </c:pt>
                <c:pt idx="240">
                  <c:v>10082.94</c:v>
                </c:pt>
                <c:pt idx="241">
                  <c:v>10082.94</c:v>
                </c:pt>
                <c:pt idx="242">
                  <c:v>10082.94</c:v>
                </c:pt>
                <c:pt idx="243">
                  <c:v>10082.94</c:v>
                </c:pt>
                <c:pt idx="244">
                  <c:v>10082.94</c:v>
                </c:pt>
                <c:pt idx="245">
                  <c:v>10082.94</c:v>
                </c:pt>
                <c:pt idx="246">
                  <c:v>10082.94</c:v>
                </c:pt>
                <c:pt idx="247">
                  <c:v>10082.94</c:v>
                </c:pt>
                <c:pt idx="248">
                  <c:v>10082.94</c:v>
                </c:pt>
                <c:pt idx="249">
                  <c:v>10082.94</c:v>
                </c:pt>
                <c:pt idx="250">
                  <c:v>10082.94</c:v>
                </c:pt>
                <c:pt idx="251">
                  <c:v>10082.94</c:v>
                </c:pt>
                <c:pt idx="252">
                  <c:v>10082.94</c:v>
                </c:pt>
                <c:pt idx="253">
                  <c:v>10082.94</c:v>
                </c:pt>
                <c:pt idx="254">
                  <c:v>10082.94</c:v>
                </c:pt>
                <c:pt idx="255">
                  <c:v>9505.5399999999991</c:v>
                </c:pt>
                <c:pt idx="256">
                  <c:v>9505.5399999999991</c:v>
                </c:pt>
                <c:pt idx="257">
                  <c:v>9505.5399999999991</c:v>
                </c:pt>
                <c:pt idx="258">
                  <c:v>9505.5399999999991</c:v>
                </c:pt>
                <c:pt idx="259">
                  <c:v>9505.5399999999991</c:v>
                </c:pt>
                <c:pt idx="260">
                  <c:v>9507.7099999999991</c:v>
                </c:pt>
                <c:pt idx="261">
                  <c:v>9505.5399999999991</c:v>
                </c:pt>
                <c:pt idx="262">
                  <c:v>9505.5399999999991</c:v>
                </c:pt>
                <c:pt idx="263">
                  <c:v>9505.5399999999991</c:v>
                </c:pt>
                <c:pt idx="264">
                  <c:v>9505.5399999999991</c:v>
                </c:pt>
                <c:pt idx="265">
                  <c:v>9505.5399999999991</c:v>
                </c:pt>
                <c:pt idx="266">
                  <c:v>9505.5399999999991</c:v>
                </c:pt>
                <c:pt idx="267">
                  <c:v>9505.5399999999991</c:v>
                </c:pt>
                <c:pt idx="268">
                  <c:v>9505.5399999999991</c:v>
                </c:pt>
                <c:pt idx="269">
                  <c:v>9505.5399999999991</c:v>
                </c:pt>
                <c:pt idx="270">
                  <c:v>8505.5399999999991</c:v>
                </c:pt>
                <c:pt idx="271">
                  <c:v>8505.5399999999991</c:v>
                </c:pt>
                <c:pt idx="272">
                  <c:v>8505.5399999999991</c:v>
                </c:pt>
                <c:pt idx="273">
                  <c:v>8505.5399999999991</c:v>
                </c:pt>
                <c:pt idx="274">
                  <c:v>8505.5399999999991</c:v>
                </c:pt>
                <c:pt idx="275">
                  <c:v>8505.5399999999991</c:v>
                </c:pt>
                <c:pt idx="276">
                  <c:v>8505.5399999999991</c:v>
                </c:pt>
                <c:pt idx="277">
                  <c:v>8876.409999999998</c:v>
                </c:pt>
                <c:pt idx="278">
                  <c:v>8876.409999999998</c:v>
                </c:pt>
                <c:pt idx="279">
                  <c:v>8876.409999999998</c:v>
                </c:pt>
                <c:pt idx="280">
                  <c:v>8876.409999999998</c:v>
                </c:pt>
                <c:pt idx="281">
                  <c:v>9003.6699999999983</c:v>
                </c:pt>
                <c:pt idx="282">
                  <c:v>9003.6699999999983</c:v>
                </c:pt>
                <c:pt idx="283">
                  <c:v>9003.6699999999983</c:v>
                </c:pt>
                <c:pt idx="284">
                  <c:v>9003.6699999999983</c:v>
                </c:pt>
                <c:pt idx="285">
                  <c:v>9003.4999999999982</c:v>
                </c:pt>
                <c:pt idx="286">
                  <c:v>9003.4999999999982</c:v>
                </c:pt>
                <c:pt idx="287">
                  <c:v>9003.4999999999982</c:v>
                </c:pt>
                <c:pt idx="288">
                  <c:v>9003.4999999999982</c:v>
                </c:pt>
                <c:pt idx="289">
                  <c:v>9003.4999999999982</c:v>
                </c:pt>
                <c:pt idx="290">
                  <c:v>9003.4999999999982</c:v>
                </c:pt>
                <c:pt idx="291">
                  <c:v>9003.4999999999982</c:v>
                </c:pt>
                <c:pt idx="292">
                  <c:v>9003.4999999999982</c:v>
                </c:pt>
                <c:pt idx="293">
                  <c:v>9003.4999999999982</c:v>
                </c:pt>
                <c:pt idx="294">
                  <c:v>9003.4999999999982</c:v>
                </c:pt>
                <c:pt idx="295">
                  <c:v>9003.4999999999982</c:v>
                </c:pt>
                <c:pt idx="296">
                  <c:v>9003.4999999999982</c:v>
                </c:pt>
                <c:pt idx="297">
                  <c:v>9003.4999999999982</c:v>
                </c:pt>
                <c:pt idx="298">
                  <c:v>9003.4999999999982</c:v>
                </c:pt>
                <c:pt idx="299">
                  <c:v>9003.4999999999982</c:v>
                </c:pt>
                <c:pt idx="300">
                  <c:v>9003.4999999999982</c:v>
                </c:pt>
                <c:pt idx="301">
                  <c:v>9003.4999999999982</c:v>
                </c:pt>
                <c:pt idx="302">
                  <c:v>9003.4999999999982</c:v>
                </c:pt>
                <c:pt idx="303">
                  <c:v>9003.4999999999982</c:v>
                </c:pt>
                <c:pt idx="304">
                  <c:v>9002.6299999999974</c:v>
                </c:pt>
                <c:pt idx="305">
                  <c:v>9129.0099999999984</c:v>
                </c:pt>
                <c:pt idx="306">
                  <c:v>9129.0099999999984</c:v>
                </c:pt>
                <c:pt idx="307">
                  <c:v>9129.0099999999984</c:v>
                </c:pt>
                <c:pt idx="308">
                  <c:v>9129.0099999999984</c:v>
                </c:pt>
                <c:pt idx="309">
                  <c:v>9129.0099999999984</c:v>
                </c:pt>
                <c:pt idx="310">
                  <c:v>9129.0099999999984</c:v>
                </c:pt>
                <c:pt idx="311">
                  <c:v>9129.0099999999984</c:v>
                </c:pt>
                <c:pt idx="312">
                  <c:v>9129.0099999999984</c:v>
                </c:pt>
                <c:pt idx="313">
                  <c:v>9129.0099999999984</c:v>
                </c:pt>
                <c:pt idx="314">
                  <c:v>9122.6999999999971</c:v>
                </c:pt>
                <c:pt idx="315">
                  <c:v>9122.6999999999971</c:v>
                </c:pt>
                <c:pt idx="316">
                  <c:v>9122.6999999999971</c:v>
                </c:pt>
                <c:pt idx="317">
                  <c:v>9122.6999999999971</c:v>
                </c:pt>
                <c:pt idx="318">
                  <c:v>9122.6999999999971</c:v>
                </c:pt>
                <c:pt idx="319">
                  <c:v>9122.6999999999971</c:v>
                </c:pt>
                <c:pt idx="320">
                  <c:v>9122.6999999999971</c:v>
                </c:pt>
                <c:pt idx="321">
                  <c:v>8123.7299999999977</c:v>
                </c:pt>
                <c:pt idx="322">
                  <c:v>8123.7299999999977</c:v>
                </c:pt>
                <c:pt idx="323">
                  <c:v>8123.7299999999977</c:v>
                </c:pt>
                <c:pt idx="324">
                  <c:v>8123.7299999999977</c:v>
                </c:pt>
                <c:pt idx="325">
                  <c:v>8123.7299999999977</c:v>
                </c:pt>
                <c:pt idx="326">
                  <c:v>8123.7299999999977</c:v>
                </c:pt>
                <c:pt idx="327">
                  <c:v>8123.7299999999977</c:v>
                </c:pt>
                <c:pt idx="328">
                  <c:v>8123.7299999999977</c:v>
                </c:pt>
                <c:pt idx="329">
                  <c:v>8123.7299999999977</c:v>
                </c:pt>
                <c:pt idx="330">
                  <c:v>8123.7299999999977</c:v>
                </c:pt>
                <c:pt idx="331">
                  <c:v>8123.7299999999977</c:v>
                </c:pt>
                <c:pt idx="332">
                  <c:v>8123.7299999999977</c:v>
                </c:pt>
                <c:pt idx="333">
                  <c:v>8123.7299999999977</c:v>
                </c:pt>
                <c:pt idx="334">
                  <c:v>8120.6299999999983</c:v>
                </c:pt>
                <c:pt idx="335">
                  <c:v>8120.6299999999983</c:v>
                </c:pt>
                <c:pt idx="336">
                  <c:v>8120.6299999999983</c:v>
                </c:pt>
                <c:pt idx="337">
                  <c:v>8120.6299999999983</c:v>
                </c:pt>
                <c:pt idx="338">
                  <c:v>8120.6299999999983</c:v>
                </c:pt>
                <c:pt idx="339">
                  <c:v>8120.6299999999983</c:v>
                </c:pt>
                <c:pt idx="340">
                  <c:v>8120.6299999999983</c:v>
                </c:pt>
                <c:pt idx="341">
                  <c:v>8120.6299999999983</c:v>
                </c:pt>
                <c:pt idx="342">
                  <c:v>8120.6299999999983</c:v>
                </c:pt>
                <c:pt idx="343">
                  <c:v>8086.0399999999981</c:v>
                </c:pt>
                <c:pt idx="344">
                  <c:v>8086.0399999999981</c:v>
                </c:pt>
                <c:pt idx="345">
                  <c:v>8086.0399999999981</c:v>
                </c:pt>
                <c:pt idx="346">
                  <c:v>8086.0399999999981</c:v>
                </c:pt>
                <c:pt idx="347">
                  <c:v>8035.0199999999986</c:v>
                </c:pt>
                <c:pt idx="348">
                  <c:v>8035.0199999999986</c:v>
                </c:pt>
                <c:pt idx="349">
                  <c:v>8035.0199999999986</c:v>
                </c:pt>
                <c:pt idx="350">
                  <c:v>8035.0199999999986</c:v>
                </c:pt>
                <c:pt idx="351">
                  <c:v>8035.0199999999986</c:v>
                </c:pt>
                <c:pt idx="352">
                  <c:v>8035.0199999999986</c:v>
                </c:pt>
                <c:pt idx="353">
                  <c:v>8035.0199999999986</c:v>
                </c:pt>
                <c:pt idx="354">
                  <c:v>8035.0199999999986</c:v>
                </c:pt>
                <c:pt idx="355">
                  <c:v>8035.0199999999986</c:v>
                </c:pt>
                <c:pt idx="356">
                  <c:v>8035.0199999999986</c:v>
                </c:pt>
                <c:pt idx="357">
                  <c:v>8035.0199999999986</c:v>
                </c:pt>
                <c:pt idx="358">
                  <c:v>8035.0199999999986</c:v>
                </c:pt>
                <c:pt idx="359">
                  <c:v>8035.0199999999986</c:v>
                </c:pt>
                <c:pt idx="360">
                  <c:v>8035.0199999999986</c:v>
                </c:pt>
                <c:pt idx="361">
                  <c:v>8035.0199999999986</c:v>
                </c:pt>
                <c:pt idx="362">
                  <c:v>8035.0199999999986</c:v>
                </c:pt>
                <c:pt idx="363">
                  <c:v>8035.0199999999986</c:v>
                </c:pt>
                <c:pt idx="364">
                  <c:v>8035.0199999999986</c:v>
                </c:pt>
                <c:pt idx="365">
                  <c:v>8035.0199999999986</c:v>
                </c:pt>
                <c:pt idx="366">
                  <c:v>8035.0199999999986</c:v>
                </c:pt>
                <c:pt idx="367">
                  <c:v>7095.3399999999983</c:v>
                </c:pt>
                <c:pt idx="368">
                  <c:v>7095.3399999999983</c:v>
                </c:pt>
                <c:pt idx="369">
                  <c:v>7095.3399999999983</c:v>
                </c:pt>
                <c:pt idx="370">
                  <c:v>7095.3399999999983</c:v>
                </c:pt>
                <c:pt idx="371">
                  <c:v>7095.3399999999983</c:v>
                </c:pt>
                <c:pt idx="372">
                  <c:v>7095.3399999999983</c:v>
                </c:pt>
                <c:pt idx="373">
                  <c:v>7095.3399999999983</c:v>
                </c:pt>
                <c:pt idx="374">
                  <c:v>7095.3399999999983</c:v>
                </c:pt>
                <c:pt idx="375">
                  <c:v>7095.3399999999983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42-F14F-8684-71450BA461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accent6">
                  <a:lumMod val="75000"/>
                </a:schemeClr>
              </a:solidFill>
              <a:round/>
            </a:ln>
            <a:effectLst/>
          </c:spPr>
        </c:hiLowLines>
        <c:smooth val="0"/>
        <c:axId val="689659791"/>
        <c:axId val="689085311"/>
      </c:lineChart>
      <c:catAx>
        <c:axId val="689659791"/>
        <c:scaling>
          <c:orientation val="maxMin"/>
        </c:scaling>
        <c:delete val="0"/>
        <c:axPos val="b"/>
        <c:numFmt formatCode="m/d/yy" sourceLinked="0"/>
        <c:majorTickMark val="in"/>
        <c:minorTickMark val="none"/>
        <c:tickLblPos val="nextTo"/>
        <c:spPr>
          <a:noFill/>
          <a:ln w="25400" cap="flat" cmpd="sng" algn="ctr">
            <a:solidFill>
              <a:schemeClr val="tx1"/>
            </a:solidFill>
            <a:round/>
          </a:ln>
          <a:effectLst/>
        </c:spPr>
        <c:txPr>
          <a:bodyPr rot="2700000" spcFirstLastPara="1" vertOverflow="ellipsis" wrap="square" anchor="b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085311"/>
        <c:crosses val="autoZero"/>
        <c:auto val="0"/>
        <c:lblAlgn val="ctr"/>
        <c:lblOffset val="100"/>
        <c:tickMarkSkip val="6"/>
        <c:noMultiLvlLbl val="0"/>
      </c:catAx>
      <c:valAx>
        <c:axId val="689085311"/>
        <c:scaling>
          <c:orientation val="minMax"/>
          <c:max val="20000"/>
          <c:min val="6000"/>
        </c:scaling>
        <c:delete val="0"/>
        <c:axPos val="r"/>
        <c:majorGridlines>
          <c:spPr>
            <a:ln w="12700" cap="flat" cmpd="sng" algn="ctr">
              <a:solidFill>
                <a:schemeClr val="tx1">
                  <a:alpha val="10000"/>
                </a:schemeClr>
              </a:solidFill>
              <a:round/>
            </a:ln>
            <a:effectLst/>
          </c:spPr>
        </c:majorGridlines>
        <c:numFmt formatCode="&quot;$&quot;#,##0" sourceLinked="0"/>
        <c:majorTickMark val="none"/>
        <c:minorTickMark val="none"/>
        <c:tickLblPos val="nextTo"/>
        <c:spPr>
          <a:noFill/>
          <a:ln w="25400"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500" b="1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9659791"/>
        <c:crosses val="autoZero"/>
        <c:crossBetween val="midCat"/>
        <c:majorUnit val="2000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accent6">
        <a:alpha val="36000"/>
      </a:schemeClr>
    </a:solidFill>
    <a:ln w="12700" cap="flat" cmpd="sng" algn="ctr">
      <a:solidFill>
        <a:schemeClr val="tx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3000" b="0" i="0" u="none" strike="noStrike" kern="1200" spc="0" normalizeH="0" baseline="0">
                <a:solidFill>
                  <a:schemeClr val="tx1"/>
                </a:solidFill>
                <a:latin typeface="+mj-lt"/>
                <a:ea typeface="+mj-ea"/>
                <a:cs typeface="+mj-cs"/>
              </a:defRPr>
            </a:pPr>
            <a:r>
              <a:rPr lang="en-US" sz="3000" b="0">
                <a:solidFill>
                  <a:schemeClr val="tx1"/>
                </a:solidFill>
              </a:rPr>
              <a:t>Coin Diversity</a:t>
            </a:r>
          </a:p>
        </c:rich>
      </c:tx>
      <c:layout>
        <c:manualLayout>
          <c:xMode val="edge"/>
          <c:yMode val="edge"/>
          <c:x val="0.33105223616726254"/>
          <c:y val="0.1426621237086949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000" b="0" i="0" u="none" strike="noStrike" kern="1200" spc="0" normalizeH="0" baseline="0">
              <a:solidFill>
                <a:schemeClr val="tx1"/>
              </a:solidFill>
              <a:latin typeface="+mj-lt"/>
              <a:ea typeface="+mj-ea"/>
              <a:cs typeface="+mj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25480017620077"/>
          <c:y val="0.25782263644885339"/>
          <c:w val="0.73239849020098979"/>
          <c:h val="0.6026207049143784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gradFill>
                <a:gsLst>
                  <a:gs pos="100000">
                    <a:schemeClr val="accent1">
                      <a:lumMod val="60000"/>
                      <a:lumOff val="40000"/>
                    </a:schemeClr>
                  </a:gs>
                  <a:gs pos="0">
                    <a:schemeClr val="accent1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BEF-8B4F-AF19-855BB5A96562}"/>
              </c:ext>
            </c:extLst>
          </c:dPt>
          <c:dPt>
            <c:idx val="1"/>
            <c:bubble3D val="0"/>
            <c:spPr>
              <a:gradFill>
                <a:gsLst>
                  <a:gs pos="100000">
                    <a:schemeClr val="accent2">
                      <a:lumMod val="60000"/>
                      <a:lumOff val="40000"/>
                    </a:schemeClr>
                  </a:gs>
                  <a:gs pos="0">
                    <a:schemeClr val="accent2"/>
                  </a:gs>
                </a:gsLst>
                <a:lin ang="5400000" scaled="0"/>
              </a:gra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A-DBEF-8B4F-AF19-855BB5A96562}"/>
              </c:ext>
            </c:extLst>
          </c:dPt>
          <c:dLbls>
            <c:dLbl>
              <c:idx val="3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9-DBEF-8B4F-AF19-855BB5A96562}"/>
                </c:ext>
              </c:extLst>
            </c:dLbl>
            <c:dLbl>
              <c:idx val="33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DBEF-8B4F-AF19-855BB5A96562}"/>
                </c:ext>
              </c:extLst>
            </c:dLbl>
            <c:dLbl>
              <c:idx val="34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DBEF-8B4F-AF19-855BB5A96562}"/>
                </c:ext>
              </c:extLst>
            </c:dLbl>
            <c:dLbl>
              <c:idx val="35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DBEF-8B4F-AF19-855BB5A96562}"/>
                </c:ext>
              </c:extLst>
            </c:dLbl>
            <c:dLbl>
              <c:idx val="36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BEF-8B4F-AF19-855BB5A96562}"/>
                </c:ext>
              </c:extLst>
            </c:dLbl>
            <c:dLbl>
              <c:idx val="37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DBEF-8B4F-AF19-855BB5A96562}"/>
                </c:ext>
              </c:extLst>
            </c:dLbl>
            <c:dLbl>
              <c:idx val="38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DBEF-8B4F-AF19-855BB5A96562}"/>
                </c:ext>
              </c:extLst>
            </c:dLbl>
            <c:dLbl>
              <c:idx val="39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BEF-8B4F-AF19-855BB5A96562}"/>
                </c:ext>
              </c:extLst>
            </c:dLbl>
            <c:dLbl>
              <c:idx val="40"/>
              <c:dLblPos val="outEnd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BEF-8B4F-AF19-855BB5A9656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0" i="0" u="none" strike="noStrike" kern="1200" baseline="0">
                    <a:solidFill>
                      <a:schemeClr val="dk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dk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[0]!ASSETS</c:f>
              <c:strCache>
                <c:ptCount val="2"/>
                <c:pt idx="0">
                  <c:v>XRP</c:v>
                </c:pt>
                <c:pt idx="1">
                  <c:v>HBAR</c:v>
                </c:pt>
              </c:strCache>
            </c:strRef>
          </c:cat>
          <c:val>
            <c:numRef>
              <c:f>[0]!ASSETS_VALUE</c:f>
              <c:numCache>
                <c:formatCode>"$"#,##0.00</c:formatCode>
                <c:ptCount val="2"/>
                <c:pt idx="0">
                  <c:v>6121.117624307838</c:v>
                </c:pt>
                <c:pt idx="1">
                  <c:v>6728.4306777806314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BEF-8B4F-AF19-855BB5A96562}"/>
            </c:ext>
          </c:extLst>
        </c:ser>
        <c:dLbls>
          <c:dLblPos val="out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8380851082477108"/>
          <c:y val="0.92402618172186624"/>
          <c:w val="0.28616101160605645"/>
          <c:h val="4.4772637813098953E-2"/>
        </c:manualLayout>
      </c:layout>
      <c:overlay val="0"/>
      <c:spPr>
        <a:solidFill>
          <a:schemeClr val="lt1">
            <a:alpha val="5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baseline="0">
              <a:solidFill>
                <a:schemeClr val="dk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rgbClr val="FF8400">
        <a:alpha val="49000"/>
      </a:srgb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6">
  <cs:axisTitle>
    <cs:lnRef idx="0"/>
    <cs:fillRef idx="0"/>
    <cs:effectRef idx="0"/>
    <cs:fontRef idx="minor">
      <a:schemeClr val="dk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 cap="none" spc="0" normalizeH="0" baseline="0"/>
  </cs:categoryAxis>
  <cs:chartArea>
    <cs:lnRef idx="0"/>
    <cs:fillRef idx="0"/>
    <cs:effectRef idx="0"/>
    <cs:fontRef idx="minor">
      <a:schemeClr val="dk1"/>
    </cs:fontRef>
    <cs:spPr>
      <a:pattFill prst="dkDnDiag">
        <a:fgClr>
          <a:schemeClr val="lt1"/>
        </a:fgClr>
        <a:bgClr>
          <a:schemeClr val="dk1">
            <a:lumMod val="10000"/>
            <a:lumOff val="90000"/>
          </a:schemeClr>
        </a:bgClr>
      </a:patt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75000"/>
        </a:schemeClr>
      </a:solidFill>
      <a:ln w="9525"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19050">
        <a:solidFill>
          <a:schemeClr val="lt1"/>
        </a:solidFill>
      </a:ln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gradFill>
        <a:gsLst>
          <a:gs pos="100000">
            <a:schemeClr val="phClr">
              <a:lumMod val="60000"/>
              <a:lumOff val="40000"/>
            </a:schemeClr>
          </a:gs>
          <a:gs pos="0">
            <a:schemeClr val="phClr"/>
          </a:gs>
        </a:gsLst>
        <a:lin ang="5400000" scaled="0"/>
      </a:gradFill>
      <a:ln w="508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lt1"/>
      </a:solidFill>
      <a:ln w="1587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8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>
          <a:alpha val="50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 cap="flat" cmpd="sng" algn="ctr">
        <a:solidFill>
          <a:schemeClr val="dk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dk1">
        <a:lumMod val="50000"/>
        <a:lumOff val="50000"/>
      </a:schemeClr>
    </cs:fontRef>
    <cs:defRPr sz="1600" b="1" kern="1200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dk1">
            <a:lumMod val="50000"/>
            <a:lumOff val="50000"/>
          </a:schemeClr>
        </a:solidFill>
        <a:round/>
      </a:ln>
    </cs:spPr>
  </cs:upBar>
  <cs:valueAxis>
    <cs:lnRef idx="0"/>
    <cs:fillRef idx="0"/>
    <cs:effectRef idx="0"/>
    <cs:fontRef idx="minor">
      <a:schemeClr val="dk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</xdr:colOff>
      <xdr:row>9</xdr:row>
      <xdr:rowOff>202044</xdr:rowOff>
    </xdr:from>
    <xdr:to>
      <xdr:col>14</xdr:col>
      <xdr:colOff>1</xdr:colOff>
      <xdr:row>35</xdr:row>
      <xdr:rowOff>55823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15995</xdr:colOff>
      <xdr:row>0</xdr:row>
      <xdr:rowOff>0</xdr:rowOff>
    </xdr:from>
    <xdr:to>
      <xdr:col>21</xdr:col>
      <xdr:colOff>307032</xdr:colOff>
      <xdr:row>39</xdr:row>
      <xdr:rowOff>374281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3C0848E-B710-C768-1980-51F5783A017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518B699D-9542-B546-9F8D-76C0EACB60A0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Currency" tableColumnId="2"/>
      <queryTableField id="3" name="Quantity" tableColumnId="3"/>
      <queryTableField id="4" name="Cost Basis" tableColumnId="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3" xr16:uid="{20B6E8E1-8374-9744-949A-92C803F55CDD}" autoFormatId="16" applyNumberFormats="0" applyBorderFormats="0" applyFontFormats="0" applyPatternFormats="0" applyAlignmentFormats="0" applyWidthHeightFormats="0">
  <queryTableRefresh nextId="4">
    <queryTableFields count="2">
      <queryTableField id="1" name="Column1" tableColumnId="1"/>
      <queryTableField id="2" name="Column2" tableColumnId="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BC63B248-6596-6A46-8F38-AB475953DD97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Symbol" tableColumnId="2"/>
      <queryTableField id="3" name="Quantity" tableColumnId="3"/>
      <queryTableField id="4" name="Value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643D54F5-CCCC-0142-9EC3-6DFE7B4ADFE8}" autoFormatId="16" applyNumberFormats="0" applyBorderFormats="0" applyFontFormats="0" applyPatternFormats="0" applyAlignmentFormats="0" applyWidthHeightFormats="0">
  <queryTableRefresh nextId="5">
    <queryTableFields count="4">
      <queryTableField id="1" name="Date" tableColumnId="1"/>
      <queryTableField id="2" name="Portfolio Value" tableColumnId="2"/>
      <queryTableField id="3" name="Cost Basis" tableColumnId="3"/>
      <queryTableField id="4" name="Unrealized Return" tableColumnId="4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525FBDC3-A0BE-804E-A824-B5DB70448FD3}" name="After_Sales" displayName="After_Sales" ref="A1:D44" tableType="queryTable" totalsRowShown="0">
  <autoFilter ref="A1:D44" xr:uid="{525FBDC3-A0BE-804E-A824-B5DB70448FD3}"/>
  <tableColumns count="4">
    <tableColumn id="1" xr3:uid="{EF558A6F-8ADA-8C45-8AA3-6C9C64A9B8E2}" uniqueName="1" name="Date" queryTableFieldId="1" dataDxfId="17"/>
    <tableColumn id="2" xr3:uid="{BD950827-989C-4848-841A-A15149FD223C}" uniqueName="2" name="Currency" queryTableFieldId="2" dataDxfId="16"/>
    <tableColumn id="3" xr3:uid="{6905B666-1A52-0542-AE9D-5B6F17F4D5BD}" uniqueName="3" name="Quantity" queryTableFieldId="3"/>
    <tableColumn id="4" xr3:uid="{8D57F6CF-4830-4146-BA23-FBC0E2CE22C7}" uniqueName="4" name="Cost Basis" queryTableFieldId="4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490B9F1-C3E9-D548-80EB-C545FBE9ECE5}" name="Current_Prices" displayName="Current_Prices" ref="A1:B43" tableType="queryTable" totalsRowShown="0">
  <autoFilter ref="A1:B43" xr:uid="{B490B9F1-C3E9-D548-80EB-C545FBE9ECE5}"/>
  <tableColumns count="2">
    <tableColumn id="1" xr3:uid="{98BE9F04-2A3A-B44E-A164-C65F9D37FEE9}" uniqueName="1" name="Column1" queryTableFieldId="1" dataDxfId="18"/>
    <tableColumn id="2" xr3:uid="{9EF875D6-6561-5744-9121-678F660F0C0B}" uniqueName="2" name="Column2" queryTableFieldId="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B141AC4-AD9A-EC4D-A1EF-775064B6D606}" name="Portfolio" displayName="Portfolio" ref="A1:D1102" tableType="queryTable" totalsRowShown="0">
  <autoFilter ref="A1:D1102" xr:uid="{2B141AC4-AD9A-EC4D-A1EF-775064B6D606}"/>
  <tableColumns count="4">
    <tableColumn id="1" xr3:uid="{3AA8E93A-539C-934F-88E3-D64F6C91523A}" uniqueName="1" name="Date" queryTableFieldId="1" dataDxfId="15"/>
    <tableColumn id="2" xr3:uid="{9B3EB5A6-C9BB-024B-AA85-582F8A6457D7}" uniqueName="2" name="Symbol" queryTableFieldId="2" dataDxfId="14"/>
    <tableColumn id="3" xr3:uid="{807124C4-C570-E04D-A9D2-42CC847C7BA8}" uniqueName="3" name="Quantity" queryTableFieldId="3"/>
    <tableColumn id="4" xr3:uid="{808B567D-2DFC-6449-B916-F23043B287F5}" uniqueName="4" name="Value" queryTableFieldId="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076DD81-C4A9-034A-AD95-964EF8FB0A99}" name="Value___Cost_Basis" displayName="Value___Cost_Basis" ref="A1:D377" tableType="queryTable" totalsRowShown="0">
  <autoFilter ref="A1:D377" xr:uid="{3076DD81-C4A9-034A-AD95-964EF8FB0A99}"/>
  <tableColumns count="4">
    <tableColumn id="1" xr3:uid="{55842D81-11D8-704F-9FA7-42C6664BE34D}" uniqueName="1" name="Date" queryTableFieldId="1" dataDxfId="13"/>
    <tableColumn id="2" xr3:uid="{1067D134-0319-A64D-A0AC-8D8B39A13AE7}" uniqueName="2" name="Portfolio Value" queryTableFieldId="2"/>
    <tableColumn id="3" xr3:uid="{FD303C98-9ED4-3142-83F1-9ECEA6206CFB}" uniqueName="3" name="Cost Basis" queryTableFieldId="3"/>
    <tableColumn id="4" xr3:uid="{4C538E9C-452D-4841-9715-4BF6F28BA6F1}" uniqueName="4" name="Unrealized Return" queryTableFieldId="4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Vapor Trail">
  <a:themeElements>
    <a:clrScheme name="Vapor Trail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Vapor Trail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Vapor Trail">
      <a:fillStyleLst>
        <a:solidFill>
          <a:schemeClr val="phClr"/>
        </a:solidFill>
        <a:gradFill rotWithShape="1">
          <a:gsLst>
            <a:gs pos="0">
              <a:schemeClr val="phClr">
                <a:tint val="69000"/>
                <a:alpha val="100000"/>
                <a:satMod val="109000"/>
                <a:lumMod val="110000"/>
              </a:schemeClr>
            </a:gs>
            <a:gs pos="52000">
              <a:schemeClr val="phClr">
                <a:tint val="74000"/>
                <a:satMod val="100000"/>
                <a:lumMod val="104000"/>
              </a:schemeClr>
            </a:gs>
            <a:gs pos="100000">
              <a:schemeClr val="phClr">
                <a:tint val="78000"/>
                <a:satMod val="100000"/>
                <a:lumMod val="10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6000"/>
                <a:satMod val="100000"/>
                <a:lumMod val="104000"/>
              </a:schemeClr>
            </a:gs>
            <a:gs pos="78000">
              <a:schemeClr val="phClr">
                <a:shade val="100000"/>
                <a:satMod val="110000"/>
                <a:lumMod val="10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2700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  <a:scene3d>
            <a:camera prst="orthographicFront">
              <a:rot lat="0" lon="0" rev="0"/>
            </a:camera>
            <a:lightRig rig="threePt" dir="t"/>
          </a:scene3d>
          <a:sp3d>
            <a:bevelT w="25400" h="12700"/>
          </a:sp3d>
        </a:effectStyle>
        <a:effectStyle>
          <a:effectLst>
            <a:outerShdw blurRad="57150" dist="19050" dir="5400000" algn="ctr" rotWithShape="0">
              <a:srgbClr val="000000">
                <a:alpha val="48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>
            <a:bevelT w="50800" h="254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HG40"/>
  <sheetViews>
    <sheetView topLeftCell="A3" zoomScale="68" zoomScaleNormal="125" workbookViewId="0">
      <selection activeCell="L48" sqref="L48"/>
    </sheetView>
  </sheetViews>
  <sheetFormatPr baseColWidth="10" defaultRowHeight="16" x14ac:dyDescent="0.2"/>
  <cols>
    <col min="1" max="1" width="13.5703125" style="35" customWidth="1"/>
    <col min="2" max="2" width="14.85546875" style="35" customWidth="1"/>
    <col min="3" max="3" width="7.42578125" style="35" customWidth="1"/>
    <col min="4" max="4" width="17.7109375" style="35" customWidth="1"/>
    <col min="5" max="5" width="5.7109375" style="50" customWidth="1"/>
    <col min="6" max="6" width="16.140625" style="35" customWidth="1"/>
    <col min="7" max="7" width="10.140625" style="50" customWidth="1"/>
    <col min="8" max="8" width="16.140625" style="35" customWidth="1"/>
    <col min="9" max="9" width="18.7109375" style="50" customWidth="1"/>
    <col min="10" max="10" width="16.28515625" style="35" customWidth="1"/>
    <col min="11" max="30" width="10.7109375" style="35" customWidth="1"/>
    <col min="31" max="16384" width="10.7109375" style="35"/>
  </cols>
  <sheetData>
    <row r="1" spans="1:215" s="75" customFormat="1" ht="16" customHeight="1" x14ac:dyDescent="0.2">
      <c r="A1" s="208" t="s">
        <v>0</v>
      </c>
      <c r="B1" s="208"/>
      <c r="C1" s="208"/>
      <c r="D1" s="208"/>
      <c r="E1" s="208"/>
      <c r="G1" s="199" t="s">
        <v>320</v>
      </c>
      <c r="H1" s="200"/>
      <c r="I1" s="202">
        <f ca="1">I5+I7</f>
        <v>-253.97169791152828</v>
      </c>
      <c r="J1" s="202"/>
      <c r="O1" s="35"/>
      <c r="P1" s="35"/>
      <c r="Q1" s="35"/>
      <c r="R1" s="35"/>
      <c r="S1" s="35"/>
      <c r="T1" s="35"/>
      <c r="U1" s="35"/>
      <c r="V1" s="35"/>
      <c r="W1" s="35"/>
      <c r="X1" s="35"/>
      <c r="Y1" s="35"/>
      <c r="Z1" s="35"/>
      <c r="AA1" s="35"/>
      <c r="AB1" s="35"/>
      <c r="AC1" s="35"/>
      <c r="AD1" s="35"/>
      <c r="AE1" s="35"/>
      <c r="AF1" s="35"/>
      <c r="AG1" s="35"/>
      <c r="AH1" s="35"/>
      <c r="AI1" s="35"/>
      <c r="AJ1" s="35"/>
      <c r="AK1" s="35"/>
      <c r="AL1" s="35"/>
      <c r="AM1" s="35"/>
      <c r="AN1" s="35"/>
      <c r="AO1" s="35"/>
      <c r="AP1" s="35"/>
      <c r="AQ1" s="35"/>
      <c r="AR1" s="35"/>
      <c r="AS1" s="35"/>
      <c r="AT1" s="35"/>
      <c r="AU1" s="35"/>
      <c r="AV1" s="35"/>
      <c r="AW1" s="35"/>
      <c r="AX1" s="35"/>
      <c r="AY1" s="35"/>
      <c r="AZ1" s="35"/>
      <c r="BA1" s="35"/>
      <c r="BB1" s="35"/>
      <c r="BC1" s="35"/>
      <c r="BD1" s="35"/>
      <c r="BE1" s="35"/>
      <c r="BF1" s="35"/>
      <c r="BG1" s="35"/>
      <c r="BH1" s="35"/>
      <c r="BI1" s="35"/>
      <c r="BJ1" s="35"/>
      <c r="BK1" s="35"/>
      <c r="BL1" s="35"/>
      <c r="BM1" s="35"/>
      <c r="BN1" s="35"/>
      <c r="BO1" s="35"/>
      <c r="BP1" s="35"/>
      <c r="BQ1" s="35"/>
      <c r="BR1" s="35"/>
      <c r="BS1" s="35"/>
      <c r="BT1" s="35"/>
      <c r="BU1" s="35"/>
      <c r="BV1" s="35"/>
      <c r="BW1" s="35"/>
      <c r="BX1" s="35"/>
      <c r="BY1" s="35"/>
      <c r="BZ1" s="35"/>
      <c r="CA1" s="35"/>
      <c r="CB1" s="35"/>
      <c r="CC1" s="35"/>
      <c r="CD1" s="35"/>
      <c r="CE1" s="35"/>
      <c r="CF1" s="35"/>
      <c r="CG1" s="35"/>
      <c r="CH1" s="35"/>
      <c r="CI1" s="35"/>
      <c r="CJ1" s="35"/>
      <c r="CK1" s="35"/>
      <c r="CL1" s="35"/>
      <c r="CM1" s="35"/>
      <c r="CN1" s="35"/>
      <c r="CO1" s="35"/>
      <c r="CP1" s="35"/>
      <c r="CQ1" s="35"/>
      <c r="CR1" s="35"/>
      <c r="CS1" s="35"/>
      <c r="CT1" s="35"/>
      <c r="CU1" s="35"/>
      <c r="CV1" s="35"/>
      <c r="CW1" s="35"/>
      <c r="CX1" s="35"/>
      <c r="CY1" s="35"/>
      <c r="CZ1" s="35"/>
      <c r="DA1" s="35"/>
      <c r="DB1" s="35"/>
      <c r="DC1" s="35"/>
      <c r="DD1" s="35"/>
      <c r="DE1" s="35"/>
      <c r="DF1" s="35"/>
      <c r="DG1" s="35"/>
      <c r="DH1" s="35"/>
      <c r="DI1" s="35"/>
      <c r="DJ1" s="35"/>
      <c r="DK1" s="35"/>
      <c r="DL1" s="35"/>
      <c r="DM1" s="35"/>
      <c r="DN1" s="35"/>
      <c r="DO1" s="35"/>
      <c r="DP1" s="35"/>
      <c r="DQ1" s="35"/>
      <c r="DR1" s="35"/>
      <c r="DS1" s="35"/>
      <c r="DT1" s="35"/>
      <c r="DU1" s="35"/>
      <c r="DV1" s="35"/>
      <c r="DW1" s="35"/>
      <c r="DX1" s="35"/>
      <c r="DY1" s="35"/>
      <c r="DZ1" s="35"/>
      <c r="EA1" s="35"/>
      <c r="EB1" s="35"/>
      <c r="EC1" s="35"/>
      <c r="ED1" s="35"/>
      <c r="EE1" s="35"/>
      <c r="EF1" s="35"/>
      <c r="EG1" s="35"/>
      <c r="EH1" s="35"/>
      <c r="EI1" s="35"/>
      <c r="EJ1" s="35"/>
      <c r="EK1" s="35"/>
      <c r="EL1" s="35"/>
      <c r="EM1" s="35"/>
      <c r="EN1" s="35"/>
      <c r="EO1" s="35"/>
      <c r="EP1" s="35"/>
      <c r="EQ1" s="35"/>
      <c r="ER1" s="35"/>
      <c r="ES1" s="35"/>
      <c r="ET1" s="35"/>
      <c r="EU1" s="35"/>
      <c r="EV1" s="35"/>
      <c r="EW1" s="35"/>
      <c r="EX1" s="35"/>
      <c r="EY1" s="35"/>
      <c r="EZ1" s="35"/>
      <c r="FA1" s="35"/>
      <c r="FB1" s="35"/>
      <c r="FC1" s="35"/>
      <c r="FD1" s="35"/>
      <c r="FE1" s="35"/>
      <c r="FF1" s="35"/>
      <c r="FG1" s="35"/>
      <c r="FH1" s="35"/>
      <c r="FI1" s="35"/>
      <c r="FJ1" s="35"/>
      <c r="FK1" s="35"/>
      <c r="FL1" s="35"/>
      <c r="FM1" s="35"/>
      <c r="FN1" s="35"/>
      <c r="FO1" s="35"/>
      <c r="FP1" s="35"/>
      <c r="FQ1" s="35"/>
      <c r="FR1" s="35"/>
      <c r="FS1" s="35"/>
      <c r="FT1" s="35"/>
      <c r="FU1" s="35"/>
      <c r="FV1" s="35"/>
      <c r="FW1" s="35"/>
      <c r="FX1" s="35"/>
      <c r="FY1" s="35"/>
      <c r="FZ1" s="35"/>
      <c r="GA1" s="35"/>
      <c r="GB1" s="35"/>
      <c r="GC1" s="35"/>
      <c r="GD1" s="35"/>
      <c r="GE1" s="35"/>
      <c r="GF1" s="35"/>
      <c r="GG1" s="35"/>
      <c r="GH1" s="35"/>
      <c r="GI1" s="35"/>
      <c r="GJ1" s="35"/>
      <c r="GK1" s="35"/>
      <c r="GL1" s="35"/>
      <c r="GM1" s="35"/>
      <c r="GN1" s="35"/>
      <c r="GO1" s="35"/>
      <c r="GP1" s="35"/>
      <c r="GQ1" s="35"/>
      <c r="GR1" s="35"/>
      <c r="GS1" s="35"/>
      <c r="GT1" s="35"/>
      <c r="GU1" s="35"/>
      <c r="GV1" s="35"/>
      <c r="GW1" s="35"/>
      <c r="GX1" s="35"/>
      <c r="GY1" s="35"/>
      <c r="GZ1" s="35"/>
      <c r="HA1" s="35"/>
      <c r="HB1" s="35"/>
      <c r="HC1" s="35"/>
      <c r="HD1" s="35"/>
      <c r="HE1" s="35"/>
      <c r="HF1" s="35"/>
      <c r="HG1" s="35"/>
    </row>
    <row r="2" spans="1:215" s="75" customFormat="1" x14ac:dyDescent="0.2">
      <c r="A2" s="208"/>
      <c r="B2" s="208"/>
      <c r="C2" s="208"/>
      <c r="D2" s="208"/>
      <c r="E2" s="208"/>
      <c r="G2" s="200"/>
      <c r="H2" s="200"/>
      <c r="I2" s="202"/>
      <c r="J2" s="202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  <c r="Z2" s="35"/>
      <c r="AA2" s="35"/>
      <c r="AB2" s="35"/>
      <c r="AC2" s="35"/>
      <c r="AD2" s="35"/>
      <c r="AE2" s="35"/>
      <c r="AF2" s="35"/>
      <c r="AG2" s="35"/>
      <c r="AH2" s="35"/>
      <c r="AI2" s="35"/>
      <c r="AJ2" s="35"/>
      <c r="AK2" s="35"/>
      <c r="AL2" s="35"/>
      <c r="AM2" s="35"/>
      <c r="AN2" s="35"/>
      <c r="AO2" s="35"/>
      <c r="AP2" s="35"/>
      <c r="AQ2" s="35"/>
      <c r="AR2" s="35"/>
      <c r="AS2" s="35"/>
      <c r="AT2" s="35"/>
      <c r="AU2" s="35"/>
      <c r="AV2" s="35"/>
      <c r="AW2" s="35"/>
      <c r="AX2" s="35"/>
      <c r="AY2" s="35"/>
      <c r="AZ2" s="35"/>
      <c r="BA2" s="35"/>
      <c r="BB2" s="35"/>
      <c r="BC2" s="35"/>
      <c r="BD2" s="35"/>
      <c r="BE2" s="35"/>
      <c r="BF2" s="35"/>
      <c r="BG2" s="35"/>
      <c r="BH2" s="35"/>
      <c r="BI2" s="35"/>
      <c r="BJ2" s="35"/>
      <c r="BK2" s="35"/>
      <c r="BL2" s="35"/>
      <c r="BM2" s="35"/>
      <c r="BN2" s="35"/>
      <c r="BO2" s="35"/>
      <c r="BP2" s="35"/>
      <c r="BQ2" s="35"/>
      <c r="BR2" s="35"/>
      <c r="BS2" s="35"/>
      <c r="BT2" s="35"/>
      <c r="BU2" s="35"/>
      <c r="BV2" s="35"/>
      <c r="BW2" s="35"/>
      <c r="BX2" s="35"/>
      <c r="BY2" s="35"/>
      <c r="BZ2" s="35"/>
      <c r="CA2" s="35"/>
      <c r="CB2" s="35"/>
      <c r="CC2" s="35"/>
      <c r="CD2" s="35"/>
      <c r="CE2" s="35"/>
      <c r="CF2" s="35"/>
      <c r="CG2" s="35"/>
      <c r="CH2" s="35"/>
      <c r="CI2" s="35"/>
      <c r="CJ2" s="35"/>
      <c r="CK2" s="35"/>
      <c r="CL2" s="35"/>
      <c r="CM2" s="35"/>
      <c r="CN2" s="35"/>
      <c r="CO2" s="35"/>
      <c r="CP2" s="35"/>
      <c r="CQ2" s="35"/>
      <c r="CR2" s="35"/>
      <c r="CS2" s="35"/>
      <c r="CT2" s="35"/>
      <c r="CU2" s="35"/>
      <c r="CV2" s="35"/>
      <c r="CW2" s="35"/>
      <c r="CX2" s="35"/>
      <c r="CY2" s="35"/>
      <c r="CZ2" s="35"/>
      <c r="DA2" s="35"/>
      <c r="DB2" s="35"/>
      <c r="DC2" s="35"/>
      <c r="DD2" s="35"/>
      <c r="DE2" s="35"/>
      <c r="DF2" s="35"/>
      <c r="DG2" s="35"/>
      <c r="DH2" s="35"/>
      <c r="DI2" s="35"/>
      <c r="DJ2" s="35"/>
      <c r="DK2" s="35"/>
      <c r="DL2" s="35"/>
      <c r="DM2" s="35"/>
      <c r="DN2" s="35"/>
      <c r="DO2" s="35"/>
      <c r="DP2" s="35"/>
      <c r="DQ2" s="35"/>
      <c r="DR2" s="35"/>
      <c r="DS2" s="35"/>
      <c r="DT2" s="35"/>
      <c r="DU2" s="35"/>
      <c r="DV2" s="35"/>
      <c r="DW2" s="35"/>
      <c r="DX2" s="35"/>
      <c r="DY2" s="35"/>
      <c r="DZ2" s="35"/>
      <c r="EA2" s="35"/>
      <c r="EB2" s="35"/>
      <c r="EC2" s="35"/>
      <c r="ED2" s="35"/>
      <c r="EE2" s="35"/>
      <c r="EF2" s="35"/>
      <c r="EG2" s="35"/>
      <c r="EH2" s="35"/>
      <c r="EI2" s="35"/>
      <c r="EJ2" s="35"/>
      <c r="EK2" s="35"/>
      <c r="EL2" s="35"/>
      <c r="EM2" s="35"/>
      <c r="EN2" s="35"/>
      <c r="EO2" s="35"/>
      <c r="EP2" s="35"/>
      <c r="EQ2" s="35"/>
      <c r="ER2" s="35"/>
      <c r="ES2" s="35"/>
      <c r="ET2" s="35"/>
      <c r="EU2" s="35"/>
      <c r="EV2" s="35"/>
      <c r="EW2" s="35"/>
      <c r="EX2" s="35"/>
      <c r="EY2" s="35"/>
      <c r="EZ2" s="35"/>
      <c r="FA2" s="35"/>
      <c r="FB2" s="35"/>
      <c r="FC2" s="35"/>
      <c r="FD2" s="35"/>
      <c r="FE2" s="35"/>
      <c r="FF2" s="35"/>
      <c r="FG2" s="35"/>
      <c r="FH2" s="35"/>
      <c r="FI2" s="35"/>
      <c r="FJ2" s="35"/>
      <c r="FK2" s="35"/>
      <c r="FL2" s="35"/>
      <c r="FM2" s="35"/>
      <c r="FN2" s="35"/>
      <c r="FO2" s="35"/>
      <c r="FP2" s="35"/>
      <c r="FQ2" s="35"/>
      <c r="FR2" s="35"/>
      <c r="FS2" s="35"/>
      <c r="FT2" s="35"/>
      <c r="FU2" s="35"/>
      <c r="FV2" s="35"/>
      <c r="FW2" s="35"/>
      <c r="FX2" s="35"/>
      <c r="FY2" s="35"/>
      <c r="FZ2" s="35"/>
      <c r="GA2" s="35"/>
      <c r="GB2" s="35"/>
      <c r="GC2" s="35"/>
      <c r="GD2" s="35"/>
      <c r="GE2" s="35"/>
      <c r="GF2" s="35"/>
      <c r="GG2" s="35"/>
      <c r="GH2" s="35"/>
      <c r="GI2" s="35"/>
      <c r="GJ2" s="35"/>
      <c r="GK2" s="35"/>
      <c r="GL2" s="35"/>
      <c r="GM2" s="35"/>
      <c r="GN2" s="35"/>
      <c r="GO2" s="35"/>
      <c r="GP2" s="35"/>
      <c r="GQ2" s="35"/>
      <c r="GR2" s="35"/>
      <c r="GS2" s="35"/>
      <c r="GT2" s="35"/>
      <c r="GU2" s="35"/>
      <c r="GV2" s="35"/>
      <c r="GW2" s="35"/>
      <c r="GX2" s="35"/>
      <c r="GY2" s="35"/>
      <c r="GZ2" s="35"/>
      <c r="HA2" s="35"/>
      <c r="HB2" s="35"/>
      <c r="HC2" s="35"/>
      <c r="HD2" s="35"/>
      <c r="HE2" s="35"/>
      <c r="HF2" s="35"/>
      <c r="HG2" s="35"/>
    </row>
    <row r="3" spans="1:215" s="76" customFormat="1" ht="17" customHeight="1" thickBot="1" x14ac:dyDescent="0.25">
      <c r="A3" s="209"/>
      <c r="B3" s="209"/>
      <c r="C3" s="209"/>
      <c r="D3" s="209"/>
      <c r="E3" s="209"/>
      <c r="G3" s="201"/>
      <c r="H3" s="201"/>
      <c r="I3" s="203"/>
      <c r="J3" s="203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  <c r="AD3" s="35"/>
      <c r="AE3" s="35"/>
      <c r="AF3" s="35"/>
      <c r="AG3" s="35"/>
      <c r="AH3" s="35"/>
      <c r="AI3" s="35"/>
      <c r="AJ3" s="35"/>
      <c r="AK3" s="35"/>
      <c r="AL3" s="35"/>
      <c r="AM3" s="35"/>
      <c r="AN3" s="35"/>
      <c r="AO3" s="35"/>
      <c r="AP3" s="35"/>
      <c r="AQ3" s="35"/>
      <c r="AR3" s="35"/>
      <c r="AS3" s="35"/>
      <c r="AT3" s="35"/>
      <c r="AU3" s="35"/>
      <c r="AV3" s="35"/>
      <c r="AW3" s="35"/>
      <c r="AX3" s="35"/>
      <c r="AY3" s="35"/>
      <c r="AZ3" s="35"/>
      <c r="BA3" s="35"/>
      <c r="BB3" s="35"/>
      <c r="BC3" s="35"/>
      <c r="BD3" s="35"/>
      <c r="BE3" s="35"/>
      <c r="BF3" s="35"/>
      <c r="BG3" s="35"/>
      <c r="BH3" s="35"/>
      <c r="BI3" s="35"/>
      <c r="BJ3" s="35"/>
      <c r="BK3" s="35"/>
      <c r="BL3" s="35"/>
      <c r="BM3" s="35"/>
      <c r="BN3" s="35"/>
      <c r="BO3" s="35"/>
      <c r="BP3" s="35"/>
      <c r="BQ3" s="35"/>
      <c r="BR3" s="35"/>
      <c r="BS3" s="35"/>
      <c r="BT3" s="35"/>
      <c r="BU3" s="35"/>
      <c r="BV3" s="35"/>
      <c r="BW3" s="35"/>
      <c r="BX3" s="35"/>
      <c r="BY3" s="35"/>
      <c r="BZ3" s="35"/>
      <c r="CA3" s="35"/>
      <c r="CB3" s="35"/>
      <c r="CC3" s="35"/>
      <c r="CD3" s="35"/>
      <c r="CE3" s="35"/>
      <c r="CF3" s="35"/>
      <c r="CG3" s="35"/>
      <c r="CH3" s="35"/>
      <c r="CI3" s="35"/>
      <c r="CJ3" s="35"/>
      <c r="CK3" s="35"/>
      <c r="CL3" s="35"/>
      <c r="CM3" s="35"/>
      <c r="CN3" s="35"/>
      <c r="CO3" s="35"/>
      <c r="CP3" s="35"/>
      <c r="CQ3" s="35"/>
      <c r="CR3" s="35"/>
      <c r="CS3" s="35"/>
      <c r="CT3" s="35"/>
      <c r="CU3" s="35"/>
      <c r="CV3" s="35"/>
      <c r="CW3" s="35"/>
      <c r="CX3" s="35"/>
      <c r="CY3" s="35"/>
      <c r="CZ3" s="35"/>
      <c r="DA3" s="35"/>
      <c r="DB3" s="35"/>
      <c r="DC3" s="35"/>
      <c r="DD3" s="35"/>
      <c r="DE3" s="35"/>
      <c r="DF3" s="35"/>
      <c r="DG3" s="35"/>
      <c r="DH3" s="35"/>
      <c r="DI3" s="35"/>
      <c r="DJ3" s="35"/>
      <c r="DK3" s="35"/>
      <c r="DL3" s="35"/>
      <c r="DM3" s="35"/>
      <c r="DN3" s="35"/>
      <c r="DO3" s="35"/>
      <c r="DP3" s="35"/>
      <c r="DQ3" s="35"/>
      <c r="DR3" s="35"/>
      <c r="DS3" s="35"/>
      <c r="DT3" s="35"/>
      <c r="DU3" s="35"/>
      <c r="DV3" s="35"/>
      <c r="DW3" s="35"/>
      <c r="DX3" s="35"/>
      <c r="DY3" s="35"/>
      <c r="DZ3" s="35"/>
      <c r="EA3" s="35"/>
      <c r="EB3" s="35"/>
      <c r="EC3" s="35"/>
      <c r="ED3" s="35"/>
      <c r="EE3" s="35"/>
      <c r="EF3" s="35"/>
      <c r="EG3" s="35"/>
      <c r="EH3" s="35"/>
      <c r="EI3" s="35"/>
      <c r="EJ3" s="35"/>
      <c r="EK3" s="35"/>
      <c r="EL3" s="35"/>
      <c r="EM3" s="35"/>
      <c r="EN3" s="35"/>
      <c r="EO3" s="35"/>
      <c r="EP3" s="35"/>
      <c r="EQ3" s="35"/>
      <c r="ER3" s="35"/>
      <c r="ES3" s="35"/>
      <c r="ET3" s="35"/>
      <c r="EU3" s="35"/>
      <c r="EV3" s="35"/>
      <c r="EW3" s="35"/>
      <c r="EX3" s="35"/>
      <c r="EY3" s="35"/>
      <c r="EZ3" s="35"/>
      <c r="FA3" s="35"/>
      <c r="FB3" s="35"/>
      <c r="FC3" s="35"/>
      <c r="FD3" s="35"/>
      <c r="FE3" s="35"/>
      <c r="FF3" s="35"/>
      <c r="FG3" s="35"/>
      <c r="FH3" s="35"/>
      <c r="FI3" s="35"/>
      <c r="FJ3" s="35"/>
      <c r="FK3" s="35"/>
      <c r="FL3" s="35"/>
      <c r="FM3" s="35"/>
      <c r="FN3" s="35"/>
      <c r="FO3" s="35"/>
      <c r="FP3" s="35"/>
      <c r="FQ3" s="35"/>
      <c r="FR3" s="35"/>
      <c r="FS3" s="35"/>
      <c r="FT3" s="35"/>
      <c r="FU3" s="35"/>
      <c r="FV3" s="35"/>
      <c r="FW3" s="35"/>
      <c r="FX3" s="35"/>
      <c r="FY3" s="35"/>
      <c r="FZ3" s="35"/>
      <c r="GA3" s="35"/>
      <c r="GB3" s="35"/>
      <c r="GC3" s="35"/>
      <c r="GD3" s="35"/>
      <c r="GE3" s="35"/>
      <c r="GF3" s="35"/>
      <c r="GG3" s="35"/>
      <c r="GH3" s="35"/>
      <c r="GI3" s="35"/>
      <c r="GJ3" s="35"/>
      <c r="GK3" s="35"/>
      <c r="GL3" s="35"/>
      <c r="GM3" s="35"/>
      <c r="GN3" s="35"/>
      <c r="GO3" s="35"/>
      <c r="GP3" s="35"/>
      <c r="GQ3" s="35"/>
      <c r="GR3" s="35"/>
      <c r="GS3" s="35"/>
      <c r="GT3" s="35"/>
      <c r="GU3" s="35"/>
      <c r="GV3" s="35"/>
      <c r="GW3" s="35"/>
      <c r="GX3" s="35"/>
      <c r="GY3" s="35"/>
      <c r="GZ3" s="35"/>
      <c r="HA3" s="35"/>
      <c r="HB3" s="35"/>
      <c r="HC3" s="35"/>
      <c r="HD3" s="35"/>
      <c r="HE3" s="35"/>
      <c r="HF3" s="35"/>
      <c r="HG3" s="35"/>
    </row>
    <row r="4" spans="1:215" s="87" customFormat="1" ht="17" customHeight="1" thickTop="1" x14ac:dyDescent="0.2">
      <c r="E4" s="84"/>
      <c r="G4" s="84"/>
      <c r="I4" s="84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  <c r="AJ4" s="35"/>
      <c r="AK4" s="35"/>
      <c r="AL4" s="35"/>
      <c r="AM4" s="35"/>
      <c r="AN4" s="35"/>
      <c r="AO4" s="35"/>
      <c r="AP4" s="35"/>
      <c r="AQ4" s="35"/>
      <c r="AR4" s="35"/>
      <c r="AS4" s="35"/>
      <c r="AT4" s="35"/>
      <c r="AU4" s="35"/>
      <c r="AV4" s="35"/>
      <c r="AW4" s="35"/>
      <c r="AX4" s="35"/>
      <c r="AY4" s="35"/>
      <c r="AZ4" s="35"/>
      <c r="BA4" s="35"/>
      <c r="BB4" s="35"/>
      <c r="BC4" s="35"/>
      <c r="BD4" s="35"/>
      <c r="BE4" s="35"/>
      <c r="BF4" s="35"/>
      <c r="BG4" s="35"/>
      <c r="BH4" s="35"/>
      <c r="BI4" s="35"/>
      <c r="BJ4" s="35"/>
      <c r="BK4" s="35"/>
      <c r="BL4" s="35"/>
      <c r="BM4" s="35"/>
      <c r="BN4" s="35"/>
      <c r="BO4" s="35"/>
      <c r="BP4" s="35"/>
      <c r="BQ4" s="35"/>
      <c r="BR4" s="35"/>
      <c r="BS4" s="35"/>
      <c r="BT4" s="35"/>
      <c r="BU4" s="35"/>
      <c r="BV4" s="35"/>
      <c r="BW4" s="35"/>
      <c r="BX4" s="35"/>
      <c r="BY4" s="35"/>
      <c r="BZ4" s="35"/>
      <c r="CA4" s="35"/>
      <c r="CB4" s="35"/>
      <c r="CC4" s="35"/>
      <c r="CD4" s="35"/>
      <c r="CE4" s="35"/>
      <c r="CF4" s="35"/>
      <c r="CG4" s="35"/>
      <c r="CH4" s="35"/>
      <c r="CI4" s="35"/>
      <c r="CJ4" s="35"/>
      <c r="CK4" s="35"/>
      <c r="CL4" s="35"/>
      <c r="CM4" s="35"/>
      <c r="CN4" s="35"/>
      <c r="CO4" s="35"/>
      <c r="CP4" s="35"/>
      <c r="CQ4" s="35"/>
      <c r="CR4" s="35"/>
      <c r="CS4" s="35"/>
      <c r="CT4" s="35"/>
      <c r="CU4" s="35"/>
      <c r="CV4" s="35"/>
      <c r="CW4" s="35"/>
      <c r="CX4" s="35"/>
      <c r="CY4" s="35"/>
      <c r="CZ4" s="35"/>
      <c r="DA4" s="35"/>
      <c r="DB4" s="35"/>
      <c r="DC4" s="35"/>
      <c r="DD4" s="35"/>
      <c r="DE4" s="35"/>
      <c r="DF4" s="35"/>
      <c r="DG4" s="35"/>
      <c r="DH4" s="35"/>
      <c r="DI4" s="35"/>
      <c r="DJ4" s="35"/>
      <c r="DK4" s="35"/>
      <c r="DL4" s="35"/>
      <c r="DM4" s="35"/>
      <c r="DN4" s="35"/>
      <c r="DO4" s="35"/>
      <c r="DP4" s="35"/>
      <c r="DQ4" s="35"/>
      <c r="DR4" s="35"/>
      <c r="DS4" s="35"/>
      <c r="DT4" s="35"/>
      <c r="DU4" s="35"/>
      <c r="DV4" s="35"/>
      <c r="DW4" s="35"/>
      <c r="DX4" s="35"/>
      <c r="DY4" s="35"/>
      <c r="DZ4" s="35"/>
      <c r="EA4" s="35"/>
      <c r="EB4" s="35"/>
      <c r="EC4" s="35"/>
      <c r="ED4" s="35"/>
      <c r="EE4" s="35"/>
      <c r="EF4" s="35"/>
      <c r="EG4" s="35"/>
      <c r="EH4" s="35"/>
      <c r="EI4" s="35"/>
      <c r="EJ4" s="35"/>
      <c r="EK4" s="35"/>
      <c r="EL4" s="35"/>
      <c r="EM4" s="35"/>
      <c r="EN4" s="35"/>
      <c r="EO4" s="35"/>
      <c r="EP4" s="35"/>
      <c r="EQ4" s="35"/>
      <c r="ER4" s="35"/>
      <c r="ES4" s="35"/>
      <c r="ET4" s="35"/>
      <c r="EU4" s="35"/>
      <c r="EV4" s="35"/>
      <c r="EW4" s="35"/>
      <c r="EX4" s="35"/>
      <c r="EY4" s="35"/>
      <c r="EZ4" s="35"/>
      <c r="FA4" s="35"/>
      <c r="FB4" s="35"/>
      <c r="FC4" s="35"/>
      <c r="FD4" s="35"/>
      <c r="FE4" s="35"/>
      <c r="FF4" s="35"/>
      <c r="FG4" s="35"/>
      <c r="FH4" s="35"/>
      <c r="FI4" s="35"/>
      <c r="FJ4" s="35"/>
      <c r="FK4" s="35"/>
      <c r="FL4" s="35"/>
      <c r="FM4" s="35"/>
      <c r="FN4" s="35"/>
      <c r="FO4" s="35"/>
      <c r="FP4" s="35"/>
      <c r="FQ4" s="35"/>
      <c r="FR4" s="35"/>
      <c r="FS4" s="35"/>
      <c r="FT4" s="35"/>
      <c r="FU4" s="35"/>
      <c r="FV4" s="35"/>
      <c r="FW4" s="35"/>
      <c r="FX4" s="35"/>
      <c r="FY4" s="35"/>
      <c r="FZ4" s="35"/>
      <c r="GA4" s="35"/>
      <c r="GB4" s="35"/>
      <c r="GC4" s="35"/>
      <c r="GD4" s="35"/>
      <c r="GE4" s="35"/>
      <c r="GF4" s="35"/>
      <c r="GG4" s="35"/>
      <c r="GH4" s="35"/>
      <c r="GI4" s="35"/>
      <c r="GJ4" s="35"/>
      <c r="GK4" s="35"/>
      <c r="GL4" s="35"/>
      <c r="GM4" s="35"/>
      <c r="GN4" s="35"/>
      <c r="GO4" s="35"/>
      <c r="GP4" s="35"/>
      <c r="GQ4" s="35"/>
      <c r="GR4" s="35"/>
      <c r="GS4" s="35"/>
      <c r="GT4" s="35"/>
      <c r="GU4" s="35"/>
      <c r="GV4" s="35"/>
      <c r="GW4" s="35"/>
      <c r="GX4" s="35"/>
      <c r="GY4" s="35"/>
      <c r="GZ4" s="35"/>
      <c r="HA4" s="35"/>
      <c r="HB4" s="35"/>
      <c r="HC4" s="35"/>
      <c r="HD4" s="35"/>
      <c r="HE4" s="35"/>
      <c r="HF4" s="35"/>
      <c r="HG4" s="35"/>
    </row>
    <row r="5" spans="1:215" s="87" customFormat="1" ht="16" customHeight="1" x14ac:dyDescent="0.2">
      <c r="A5" s="210" t="s">
        <v>1</v>
      </c>
      <c r="B5" s="210"/>
      <c r="C5" s="212">
        <f>'Value &amp; Cost Basis'!C2</f>
        <v>12084.38</v>
      </c>
      <c r="D5" s="212"/>
      <c r="E5" s="212"/>
      <c r="G5" s="205" t="s">
        <v>14</v>
      </c>
      <c r="H5" s="205"/>
      <c r="I5" s="206">
        <f>'Value &amp; Cost Basis'!B2-'Value &amp; Cost Basis'!C2</f>
        <v>765.16830208847023</v>
      </c>
      <c r="J5" s="207">
        <f>I5/C5</f>
        <v>6.3318788559154071E-2</v>
      </c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/>
      <c r="DS5" s="35"/>
      <c r="DT5" s="35"/>
      <c r="DU5" s="35"/>
      <c r="DV5" s="35"/>
      <c r="DW5" s="35"/>
      <c r="DX5" s="35"/>
      <c r="DY5" s="35"/>
      <c r="DZ5" s="35"/>
      <c r="EA5" s="35"/>
      <c r="EB5" s="35"/>
      <c r="EC5" s="35"/>
      <c r="ED5" s="35"/>
      <c r="EE5" s="35"/>
      <c r="EF5" s="35"/>
      <c r="EG5" s="35"/>
      <c r="EH5" s="35"/>
      <c r="EI5" s="35"/>
      <c r="EJ5" s="35"/>
      <c r="EK5" s="35"/>
      <c r="EL5" s="35"/>
      <c r="EM5" s="35"/>
      <c r="EN5" s="35"/>
      <c r="EO5" s="35"/>
      <c r="EP5" s="35"/>
      <c r="EQ5" s="35"/>
      <c r="ER5" s="35"/>
      <c r="ES5" s="35"/>
      <c r="ET5" s="35"/>
      <c r="EU5" s="35"/>
      <c r="EV5" s="35"/>
      <c r="EW5" s="35"/>
      <c r="EX5" s="35"/>
      <c r="EY5" s="35"/>
      <c r="EZ5" s="35"/>
      <c r="FA5" s="35"/>
      <c r="FB5" s="35"/>
      <c r="FC5" s="35"/>
      <c r="FD5" s="35"/>
      <c r="FE5" s="35"/>
      <c r="FF5" s="35"/>
      <c r="FG5" s="35"/>
      <c r="FH5" s="35"/>
      <c r="FI5" s="35"/>
      <c r="FJ5" s="35"/>
      <c r="FK5" s="35"/>
      <c r="FL5" s="35"/>
      <c r="FM5" s="35"/>
      <c r="FN5" s="35"/>
      <c r="FO5" s="35"/>
      <c r="FP5" s="35"/>
      <c r="FQ5" s="35"/>
      <c r="FR5" s="35"/>
      <c r="FS5" s="35"/>
      <c r="FT5" s="35"/>
      <c r="FU5" s="35"/>
      <c r="FV5" s="35"/>
      <c r="FW5" s="35"/>
      <c r="FX5" s="35"/>
      <c r="FY5" s="35"/>
      <c r="FZ5" s="35"/>
      <c r="GA5" s="35"/>
      <c r="GB5" s="35"/>
      <c r="GC5" s="35"/>
      <c r="GD5" s="35"/>
      <c r="GE5" s="35"/>
      <c r="GF5" s="35"/>
      <c r="GG5" s="35"/>
      <c r="GH5" s="35"/>
      <c r="GI5" s="35"/>
      <c r="GJ5" s="35"/>
      <c r="GK5" s="35"/>
      <c r="GL5" s="35"/>
      <c r="GM5" s="35"/>
      <c r="GN5" s="35"/>
      <c r="GO5" s="35"/>
      <c r="GP5" s="35"/>
      <c r="GQ5" s="35"/>
      <c r="GR5" s="35"/>
      <c r="GS5" s="35"/>
      <c r="GT5" s="35"/>
      <c r="GU5" s="35"/>
      <c r="GV5" s="35"/>
      <c r="GW5" s="35"/>
      <c r="GX5" s="35"/>
      <c r="GY5" s="35"/>
      <c r="GZ5" s="35"/>
      <c r="HA5" s="35"/>
      <c r="HB5" s="35"/>
      <c r="HC5" s="35"/>
      <c r="HD5" s="35"/>
      <c r="HE5" s="35"/>
      <c r="HF5" s="35"/>
      <c r="HG5" s="35"/>
    </row>
    <row r="6" spans="1:215" s="87" customFormat="1" ht="16" customHeight="1" x14ac:dyDescent="0.2">
      <c r="A6" s="210"/>
      <c r="B6" s="210"/>
      <c r="C6" s="212"/>
      <c r="D6" s="212"/>
      <c r="E6" s="212"/>
      <c r="G6" s="205"/>
      <c r="H6" s="205"/>
      <c r="I6" s="206"/>
      <c r="J6" s="207"/>
      <c r="K6" s="93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/>
      <c r="DS6" s="35"/>
      <c r="DT6" s="35"/>
      <c r="DU6" s="35"/>
      <c r="DV6" s="35"/>
      <c r="DW6" s="35"/>
      <c r="DX6" s="35"/>
      <c r="DY6" s="35"/>
      <c r="DZ6" s="35"/>
      <c r="EA6" s="35"/>
      <c r="EB6" s="35"/>
      <c r="EC6" s="35"/>
      <c r="ED6" s="35"/>
      <c r="EE6" s="35"/>
      <c r="EF6" s="35"/>
      <c r="EG6" s="35"/>
      <c r="EH6" s="35"/>
      <c r="EI6" s="35"/>
      <c r="EJ6" s="35"/>
      <c r="EK6" s="35"/>
      <c r="EL6" s="35"/>
      <c r="EM6" s="35"/>
      <c r="EN6" s="35"/>
      <c r="EO6" s="35"/>
      <c r="EP6" s="35"/>
      <c r="EQ6" s="35"/>
      <c r="ER6" s="35"/>
      <c r="ES6" s="35"/>
      <c r="ET6" s="35"/>
      <c r="EU6" s="35"/>
      <c r="EV6" s="35"/>
      <c r="EW6" s="35"/>
      <c r="EX6" s="35"/>
      <c r="EY6" s="35"/>
      <c r="EZ6" s="35"/>
      <c r="FA6" s="35"/>
      <c r="FB6" s="35"/>
      <c r="FC6" s="35"/>
      <c r="FD6" s="35"/>
      <c r="FE6" s="35"/>
      <c r="FF6" s="35"/>
      <c r="FG6" s="35"/>
      <c r="FH6" s="35"/>
      <c r="FI6" s="35"/>
      <c r="FJ6" s="35"/>
      <c r="FK6" s="35"/>
      <c r="FL6" s="35"/>
      <c r="FM6" s="35"/>
      <c r="FN6" s="35"/>
      <c r="FO6" s="35"/>
      <c r="FP6" s="35"/>
      <c r="FQ6" s="35"/>
      <c r="FR6" s="35"/>
      <c r="FS6" s="35"/>
      <c r="FT6" s="35"/>
      <c r="FU6" s="35"/>
      <c r="FV6" s="35"/>
      <c r="FW6" s="35"/>
      <c r="FX6" s="35"/>
      <c r="FY6" s="35"/>
      <c r="FZ6" s="35"/>
      <c r="GA6" s="35"/>
      <c r="GB6" s="35"/>
      <c r="GC6" s="35"/>
      <c r="GD6" s="35"/>
      <c r="GE6" s="35"/>
      <c r="GF6" s="35"/>
      <c r="GG6" s="35"/>
      <c r="GH6" s="35"/>
      <c r="GI6" s="35"/>
      <c r="GJ6" s="35"/>
      <c r="GK6" s="35"/>
      <c r="GL6" s="35"/>
      <c r="GM6" s="35"/>
      <c r="GN6" s="35"/>
      <c r="GO6" s="35"/>
      <c r="GP6" s="35"/>
      <c r="GQ6" s="35"/>
      <c r="GR6" s="35"/>
      <c r="GS6" s="35"/>
      <c r="GT6" s="35"/>
      <c r="GU6" s="35"/>
      <c r="GV6" s="35"/>
      <c r="GW6" s="35"/>
      <c r="GX6" s="35"/>
      <c r="GY6" s="35"/>
      <c r="GZ6" s="35"/>
      <c r="HA6" s="35"/>
      <c r="HB6" s="35"/>
      <c r="HC6" s="35"/>
      <c r="HD6" s="35"/>
      <c r="HE6" s="35"/>
      <c r="HF6" s="35"/>
      <c r="HG6" s="35"/>
    </row>
    <row r="7" spans="1:215" s="87" customFormat="1" ht="16" customHeight="1" x14ac:dyDescent="0.2">
      <c r="A7" s="211" t="s">
        <v>2</v>
      </c>
      <c r="B7" s="211"/>
      <c r="C7" s="213" cm="1">
        <f t="array" aca="1" ref="C7" ca="1">SUM(_xlfn._xlws.FILTER(CURRENT_QUANTITY, (CURRENCY_VALUE &gt; 5)) * INDEX(PRICES, MATCH(_xlfn._xlws.FILTER(CURRENCY, (CURRENCY_VALUE &gt; 5)), PRICES_SYMBOL, 0)))</f>
        <v>12849.548302088469</v>
      </c>
      <c r="D7" s="213"/>
      <c r="E7" s="213"/>
      <c r="G7" s="197" t="s">
        <v>319</v>
      </c>
      <c r="H7" s="197"/>
      <c r="I7" s="198">
        <f ca="1">SUM(RETURN_8949)</f>
        <v>-1019.1399999999985</v>
      </c>
      <c r="J7" s="92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  <c r="Z7" s="35"/>
      <c r="AA7" s="35"/>
      <c r="AB7" s="35"/>
      <c r="AC7" s="35"/>
      <c r="AD7" s="35"/>
      <c r="AE7" s="35"/>
      <c r="AF7" s="35"/>
      <c r="AG7" s="35"/>
      <c r="AH7" s="35"/>
      <c r="AI7" s="35"/>
      <c r="AJ7" s="35"/>
      <c r="AK7" s="35"/>
      <c r="AL7" s="35"/>
      <c r="AM7" s="35"/>
      <c r="AN7" s="35"/>
      <c r="AO7" s="35"/>
      <c r="AP7" s="35"/>
      <c r="AQ7" s="35"/>
      <c r="AR7" s="35"/>
      <c r="AS7" s="35"/>
      <c r="AT7" s="35"/>
      <c r="AU7" s="35"/>
      <c r="AV7" s="35"/>
      <c r="AW7" s="35"/>
      <c r="AX7" s="35"/>
      <c r="AY7" s="35"/>
      <c r="AZ7" s="35"/>
      <c r="BA7" s="35"/>
      <c r="BB7" s="35"/>
      <c r="BC7" s="35"/>
      <c r="BD7" s="35"/>
      <c r="BE7" s="35"/>
      <c r="BF7" s="35"/>
      <c r="BG7" s="35"/>
      <c r="BH7" s="35"/>
      <c r="BI7" s="35"/>
      <c r="BJ7" s="35"/>
      <c r="BK7" s="35"/>
      <c r="BL7" s="35"/>
      <c r="BM7" s="35"/>
      <c r="BN7" s="35"/>
      <c r="BO7" s="35"/>
      <c r="BP7" s="35"/>
      <c r="BQ7" s="35"/>
      <c r="BR7" s="35"/>
      <c r="BS7" s="35"/>
      <c r="BT7" s="35"/>
      <c r="BU7" s="35"/>
      <c r="BV7" s="35"/>
      <c r="BW7" s="35"/>
      <c r="BX7" s="35"/>
      <c r="BY7" s="35"/>
      <c r="BZ7" s="35"/>
      <c r="CA7" s="35"/>
      <c r="CB7" s="35"/>
      <c r="CC7" s="35"/>
      <c r="CD7" s="35"/>
      <c r="CE7" s="35"/>
      <c r="CF7" s="35"/>
      <c r="CG7" s="35"/>
      <c r="CH7" s="35"/>
      <c r="CI7" s="35"/>
      <c r="CJ7" s="35"/>
      <c r="CK7" s="35"/>
      <c r="CL7" s="35"/>
      <c r="CM7" s="35"/>
      <c r="CN7" s="35"/>
      <c r="CO7" s="35"/>
      <c r="CP7" s="35"/>
      <c r="CQ7" s="35"/>
      <c r="CR7" s="35"/>
      <c r="CS7" s="35"/>
      <c r="CT7" s="35"/>
      <c r="CU7" s="35"/>
      <c r="CV7" s="35"/>
      <c r="CW7" s="35"/>
      <c r="CX7" s="35"/>
      <c r="CY7" s="35"/>
      <c r="CZ7" s="35"/>
      <c r="DA7" s="35"/>
      <c r="DB7" s="35"/>
      <c r="DC7" s="35"/>
      <c r="DD7" s="35"/>
      <c r="DE7" s="35"/>
      <c r="DF7" s="35"/>
      <c r="DG7" s="35"/>
      <c r="DH7" s="35"/>
      <c r="DI7" s="35"/>
      <c r="DJ7" s="35"/>
      <c r="DK7" s="35"/>
      <c r="DL7" s="35"/>
      <c r="DM7" s="35"/>
      <c r="DN7" s="35"/>
      <c r="DO7" s="35"/>
      <c r="DP7" s="35"/>
      <c r="DQ7" s="35"/>
      <c r="DR7" s="35"/>
      <c r="DS7" s="35"/>
      <c r="DT7" s="35"/>
      <c r="DU7" s="35"/>
      <c r="DV7" s="35"/>
      <c r="DW7" s="35"/>
      <c r="DX7" s="35"/>
      <c r="DY7" s="35"/>
      <c r="DZ7" s="35"/>
      <c r="EA7" s="35"/>
      <c r="EB7" s="35"/>
      <c r="EC7" s="35"/>
      <c r="ED7" s="35"/>
      <c r="EE7" s="35"/>
      <c r="EF7" s="35"/>
      <c r="EG7" s="35"/>
      <c r="EH7" s="35"/>
      <c r="EI7" s="35"/>
      <c r="EJ7" s="35"/>
      <c r="EK7" s="35"/>
      <c r="EL7" s="35"/>
      <c r="EM7" s="35"/>
      <c r="EN7" s="35"/>
      <c r="EO7" s="35"/>
      <c r="EP7" s="35"/>
      <c r="EQ7" s="35"/>
      <c r="ER7" s="35"/>
      <c r="ES7" s="35"/>
      <c r="ET7" s="35"/>
      <c r="EU7" s="35"/>
      <c r="EV7" s="35"/>
      <c r="EW7" s="35"/>
      <c r="EX7" s="35"/>
      <c r="EY7" s="35"/>
      <c r="EZ7" s="35"/>
      <c r="FA7" s="35"/>
      <c r="FB7" s="35"/>
      <c r="FC7" s="35"/>
      <c r="FD7" s="35"/>
      <c r="FE7" s="35"/>
      <c r="FF7" s="35"/>
      <c r="FG7" s="35"/>
      <c r="FH7" s="35"/>
      <c r="FI7" s="35"/>
      <c r="FJ7" s="35"/>
      <c r="FK7" s="35"/>
      <c r="FL7" s="35"/>
      <c r="FM7" s="35"/>
      <c r="FN7" s="35"/>
      <c r="FO7" s="35"/>
      <c r="FP7" s="35"/>
      <c r="FQ7" s="35"/>
      <c r="FR7" s="35"/>
      <c r="FS7" s="35"/>
      <c r="FT7" s="35"/>
      <c r="FU7" s="35"/>
      <c r="FV7" s="35"/>
      <c r="FW7" s="35"/>
      <c r="FX7" s="35"/>
      <c r="FY7" s="35"/>
      <c r="FZ7" s="35"/>
      <c r="GA7" s="35"/>
      <c r="GB7" s="35"/>
      <c r="GC7" s="35"/>
      <c r="GD7" s="35"/>
      <c r="GE7" s="35"/>
      <c r="GF7" s="35"/>
      <c r="GG7" s="35"/>
      <c r="GH7" s="35"/>
      <c r="GI7" s="35"/>
      <c r="GJ7" s="35"/>
      <c r="GK7" s="35"/>
      <c r="GL7" s="35"/>
      <c r="GM7" s="35"/>
      <c r="GN7" s="35"/>
      <c r="GO7" s="35"/>
      <c r="GP7" s="35"/>
      <c r="GQ7" s="35"/>
      <c r="GR7" s="35"/>
      <c r="GS7" s="35"/>
      <c r="GT7" s="35"/>
      <c r="GU7" s="35"/>
      <c r="GV7" s="35"/>
      <c r="GW7" s="35"/>
      <c r="GX7" s="35"/>
      <c r="GY7" s="35"/>
      <c r="GZ7" s="35"/>
      <c r="HA7" s="35"/>
      <c r="HB7" s="35"/>
      <c r="HC7" s="35"/>
      <c r="HD7" s="35"/>
      <c r="HE7" s="35"/>
      <c r="HF7" s="35"/>
      <c r="HG7" s="35"/>
    </row>
    <row r="8" spans="1:215" s="87" customFormat="1" ht="16" customHeight="1" thickBot="1" x14ac:dyDescent="0.25">
      <c r="A8" s="211"/>
      <c r="B8" s="211"/>
      <c r="C8" s="213"/>
      <c r="D8" s="213"/>
      <c r="E8" s="213"/>
      <c r="G8" s="197"/>
      <c r="H8" s="197"/>
      <c r="I8" s="198"/>
      <c r="J8" s="92"/>
      <c r="M8" s="87" t="s">
        <v>4</v>
      </c>
      <c r="O8" s="35"/>
      <c r="P8" s="35"/>
      <c r="Q8" s="35"/>
      <c r="R8" s="35"/>
      <c r="S8" s="35"/>
      <c r="T8" s="35"/>
      <c r="U8" s="35"/>
      <c r="V8" s="35"/>
      <c r="W8" s="35"/>
      <c r="X8" s="35"/>
      <c r="Y8" s="35"/>
      <c r="Z8" s="35"/>
      <c r="AA8" s="35"/>
      <c r="AB8" s="35"/>
      <c r="AC8" s="35"/>
      <c r="AD8" s="35"/>
      <c r="AE8" s="35"/>
      <c r="AF8" s="35"/>
      <c r="AG8" s="35"/>
      <c r="AH8" s="35"/>
      <c r="AI8" s="35"/>
      <c r="AJ8" s="35"/>
      <c r="AK8" s="35"/>
      <c r="AL8" s="35"/>
      <c r="AM8" s="35"/>
      <c r="AN8" s="35"/>
      <c r="AO8" s="35"/>
      <c r="AP8" s="35"/>
      <c r="AQ8" s="35"/>
      <c r="AR8" s="35"/>
      <c r="AS8" s="35"/>
      <c r="AT8" s="35"/>
      <c r="AU8" s="35"/>
      <c r="AV8" s="35"/>
      <c r="AW8" s="35"/>
      <c r="AX8" s="35"/>
      <c r="AY8" s="35"/>
      <c r="AZ8" s="35"/>
      <c r="BA8" s="35"/>
      <c r="BB8" s="35"/>
      <c r="BC8" s="35"/>
      <c r="BD8" s="35"/>
      <c r="BE8" s="35"/>
      <c r="BF8" s="35"/>
      <c r="BG8" s="35"/>
      <c r="BH8" s="35"/>
      <c r="BI8" s="35"/>
      <c r="BJ8" s="35"/>
      <c r="BK8" s="35"/>
      <c r="BL8" s="35"/>
      <c r="BM8" s="35"/>
      <c r="BN8" s="35"/>
      <c r="BO8" s="35"/>
      <c r="BP8" s="35"/>
      <c r="BQ8" s="35"/>
      <c r="BR8" s="35"/>
      <c r="BS8" s="35"/>
      <c r="BT8" s="35"/>
      <c r="BU8" s="35"/>
      <c r="BV8" s="35"/>
      <c r="BW8" s="35"/>
      <c r="BX8" s="35"/>
      <c r="BY8" s="35"/>
      <c r="BZ8" s="35"/>
      <c r="CA8" s="35"/>
      <c r="CB8" s="35"/>
      <c r="CC8" s="35"/>
      <c r="CD8" s="35"/>
      <c r="CE8" s="35"/>
      <c r="CF8" s="35"/>
      <c r="CG8" s="35"/>
      <c r="CH8" s="35"/>
      <c r="CI8" s="35"/>
      <c r="CJ8" s="35"/>
      <c r="CK8" s="35"/>
      <c r="CL8" s="35"/>
      <c r="CM8" s="35"/>
      <c r="CN8" s="35"/>
      <c r="CO8" s="35"/>
      <c r="CP8" s="35"/>
      <c r="CQ8" s="35"/>
      <c r="CR8" s="35"/>
      <c r="CS8" s="35"/>
      <c r="CT8" s="35"/>
      <c r="CU8" s="35"/>
      <c r="CV8" s="35"/>
      <c r="CW8" s="35"/>
      <c r="CX8" s="35"/>
      <c r="CY8" s="35"/>
      <c r="CZ8" s="35"/>
      <c r="DA8" s="35"/>
      <c r="DB8" s="35"/>
      <c r="DC8" s="35"/>
      <c r="DD8" s="35"/>
      <c r="DE8" s="35"/>
      <c r="DF8" s="35"/>
      <c r="DG8" s="35"/>
      <c r="DH8" s="35"/>
      <c r="DI8" s="35"/>
      <c r="DJ8" s="35"/>
      <c r="DK8" s="35"/>
      <c r="DL8" s="35"/>
      <c r="DM8" s="35"/>
      <c r="DN8" s="35"/>
      <c r="DO8" s="35"/>
      <c r="DP8" s="35"/>
      <c r="DQ8" s="35"/>
      <c r="DR8" s="35"/>
      <c r="DS8" s="35"/>
      <c r="DT8" s="35"/>
      <c r="DU8" s="35"/>
      <c r="DV8" s="35"/>
      <c r="DW8" s="35"/>
      <c r="DX8" s="35"/>
      <c r="DY8" s="35"/>
      <c r="DZ8" s="35"/>
      <c r="EA8" s="35"/>
      <c r="EB8" s="35"/>
      <c r="EC8" s="35"/>
      <c r="ED8" s="35"/>
      <c r="EE8" s="35"/>
      <c r="EF8" s="35"/>
      <c r="EG8" s="35"/>
      <c r="EH8" s="35"/>
      <c r="EI8" s="35"/>
      <c r="EJ8" s="35"/>
      <c r="EK8" s="35"/>
      <c r="EL8" s="35"/>
      <c r="EM8" s="35"/>
      <c r="EN8" s="35"/>
      <c r="EO8" s="35"/>
      <c r="EP8" s="35"/>
      <c r="EQ8" s="35"/>
      <c r="ER8" s="35"/>
      <c r="ES8" s="35"/>
      <c r="ET8" s="35"/>
      <c r="EU8" s="35"/>
      <c r="EV8" s="35"/>
      <c r="EW8" s="35"/>
      <c r="EX8" s="35"/>
      <c r="EY8" s="35"/>
      <c r="EZ8" s="35"/>
      <c r="FA8" s="35"/>
      <c r="FB8" s="35"/>
      <c r="FC8" s="35"/>
      <c r="FD8" s="35"/>
      <c r="FE8" s="35"/>
      <c r="FF8" s="35"/>
      <c r="FG8" s="35"/>
      <c r="FH8" s="35"/>
      <c r="FI8" s="35"/>
      <c r="FJ8" s="35"/>
      <c r="FK8" s="35"/>
      <c r="FL8" s="35"/>
      <c r="FM8" s="35"/>
      <c r="FN8" s="35"/>
      <c r="FO8" s="35"/>
      <c r="FP8" s="35"/>
      <c r="FQ8" s="35"/>
      <c r="FR8" s="35"/>
      <c r="FS8" s="35"/>
      <c r="FT8" s="35"/>
      <c r="FU8" s="35"/>
      <c r="FV8" s="35"/>
      <c r="FW8" s="35"/>
      <c r="FX8" s="35"/>
      <c r="FY8" s="35"/>
      <c r="FZ8" s="35"/>
      <c r="GA8" s="35"/>
      <c r="GB8" s="35"/>
      <c r="GC8" s="35"/>
      <c r="GD8" s="35"/>
      <c r="GE8" s="35"/>
      <c r="GF8" s="35"/>
      <c r="GG8" s="35"/>
      <c r="GH8" s="35"/>
      <c r="GI8" s="35"/>
      <c r="GJ8" s="35"/>
      <c r="GK8" s="35"/>
      <c r="GL8" s="35"/>
      <c r="GM8" s="35"/>
      <c r="GN8" s="35"/>
      <c r="GO8" s="35"/>
      <c r="GP8" s="35"/>
      <c r="GQ8" s="35"/>
      <c r="GR8" s="35"/>
      <c r="GS8" s="35"/>
      <c r="GT8" s="35"/>
      <c r="GU8" s="35"/>
      <c r="GV8" s="35"/>
      <c r="GW8" s="35"/>
      <c r="GX8" s="35"/>
      <c r="GY8" s="35"/>
      <c r="GZ8" s="35"/>
      <c r="HA8" s="35"/>
      <c r="HB8" s="35"/>
      <c r="HC8" s="35"/>
      <c r="HD8" s="35"/>
      <c r="HE8" s="35"/>
      <c r="HF8" s="35"/>
      <c r="HG8" s="35"/>
    </row>
    <row r="9" spans="1:215" s="87" customFormat="1" ht="17" customHeight="1" thickBot="1" x14ac:dyDescent="0.25">
      <c r="A9" s="211"/>
      <c r="B9" s="211"/>
      <c r="C9" s="213"/>
      <c r="D9" s="213"/>
      <c r="E9" s="213"/>
      <c r="G9" s="197"/>
      <c r="H9" s="197"/>
      <c r="I9" s="198"/>
      <c r="M9" s="193" t="s">
        <v>3</v>
      </c>
      <c r="N9" s="194"/>
      <c r="O9" s="35"/>
      <c r="P9" s="35"/>
      <c r="Q9" s="35"/>
      <c r="R9" s="35"/>
      <c r="S9" s="35"/>
      <c r="T9" s="35"/>
      <c r="U9" s="35"/>
      <c r="V9" s="35"/>
      <c r="W9" s="35"/>
      <c r="X9" s="35"/>
      <c r="Y9" s="35"/>
      <c r="Z9" s="35"/>
      <c r="AA9" s="35"/>
      <c r="AB9" s="35"/>
      <c r="AC9" s="35"/>
      <c r="AD9" s="35"/>
      <c r="AE9" s="35"/>
      <c r="AF9" s="35"/>
      <c r="AG9" s="35"/>
      <c r="AH9" s="35"/>
      <c r="AI9" s="35"/>
      <c r="AJ9" s="35"/>
      <c r="AK9" s="35"/>
      <c r="AL9" s="35"/>
      <c r="AM9" s="35"/>
      <c r="AN9" s="35"/>
      <c r="AO9" s="35"/>
      <c r="AP9" s="35"/>
      <c r="AQ9" s="35"/>
      <c r="AR9" s="35"/>
      <c r="AS9" s="35"/>
      <c r="AT9" s="35"/>
      <c r="AU9" s="35"/>
      <c r="AV9" s="35"/>
      <c r="AW9" s="35"/>
      <c r="AX9" s="35"/>
      <c r="AY9" s="35"/>
      <c r="AZ9" s="35"/>
      <c r="BA9" s="35"/>
      <c r="BB9" s="35"/>
      <c r="BC9" s="35"/>
      <c r="BD9" s="35"/>
      <c r="BE9" s="35"/>
      <c r="BF9" s="35"/>
      <c r="BG9" s="35"/>
      <c r="BH9" s="35"/>
      <c r="BI9" s="35"/>
      <c r="BJ9" s="35"/>
      <c r="BK9" s="35"/>
      <c r="BL9" s="35"/>
      <c r="BM9" s="35"/>
      <c r="BN9" s="35"/>
      <c r="BO9" s="35"/>
      <c r="BP9" s="35"/>
      <c r="BQ9" s="35"/>
      <c r="BR9" s="35"/>
      <c r="BS9" s="35"/>
      <c r="BT9" s="35"/>
      <c r="BU9" s="35"/>
      <c r="BV9" s="35"/>
      <c r="BW9" s="35"/>
      <c r="BX9" s="35"/>
      <c r="BY9" s="35"/>
      <c r="BZ9" s="35"/>
      <c r="CA9" s="35"/>
      <c r="CB9" s="35"/>
      <c r="CC9" s="35"/>
      <c r="CD9" s="35"/>
      <c r="CE9" s="35"/>
      <c r="CF9" s="35"/>
      <c r="CG9" s="35"/>
      <c r="CH9" s="35"/>
      <c r="CI9" s="35"/>
      <c r="CJ9" s="35"/>
      <c r="CK9" s="35"/>
      <c r="CL9" s="35"/>
      <c r="CM9" s="35"/>
      <c r="CN9" s="35"/>
      <c r="CO9" s="35"/>
      <c r="CP9" s="35"/>
      <c r="CQ9" s="35"/>
      <c r="CR9" s="35"/>
      <c r="CS9" s="35"/>
      <c r="CT9" s="35"/>
      <c r="CU9" s="35"/>
      <c r="CV9" s="35"/>
      <c r="CW9" s="35"/>
      <c r="CX9" s="35"/>
      <c r="CY9" s="35"/>
      <c r="CZ9" s="35"/>
      <c r="DA9" s="35"/>
      <c r="DB9" s="35"/>
      <c r="DC9" s="35"/>
      <c r="DD9" s="35"/>
      <c r="DE9" s="35"/>
      <c r="DF9" s="35"/>
      <c r="DG9" s="35"/>
      <c r="DH9" s="35"/>
      <c r="DI9" s="35"/>
      <c r="DJ9" s="35"/>
      <c r="DK9" s="35"/>
      <c r="DL9" s="35"/>
      <c r="DM9" s="35"/>
      <c r="DN9" s="35"/>
      <c r="DO9" s="35"/>
      <c r="DP9" s="35"/>
      <c r="DQ9" s="35"/>
      <c r="DR9" s="35"/>
      <c r="DS9" s="35"/>
      <c r="DT9" s="35"/>
      <c r="DU9" s="35"/>
      <c r="DV9" s="35"/>
      <c r="DW9" s="35"/>
      <c r="DX9" s="35"/>
      <c r="DY9" s="35"/>
      <c r="DZ9" s="35"/>
      <c r="EA9" s="35"/>
      <c r="EB9" s="35"/>
      <c r="EC9" s="35"/>
      <c r="ED9" s="35"/>
      <c r="EE9" s="35"/>
      <c r="EF9" s="35"/>
      <c r="EG9" s="35"/>
      <c r="EH9" s="35"/>
      <c r="EI9" s="35"/>
      <c r="EJ9" s="35"/>
      <c r="EK9" s="35"/>
      <c r="EL9" s="35"/>
      <c r="EM9" s="35"/>
      <c r="EN9" s="35"/>
      <c r="EO9" s="35"/>
      <c r="EP9" s="35"/>
      <c r="EQ9" s="35"/>
      <c r="ER9" s="35"/>
      <c r="ES9" s="35"/>
      <c r="ET9" s="35"/>
      <c r="EU9" s="35"/>
      <c r="EV9" s="35"/>
      <c r="EW9" s="35"/>
      <c r="EX9" s="35"/>
      <c r="EY9" s="35"/>
      <c r="EZ9" s="35"/>
      <c r="FA9" s="35"/>
      <c r="FB9" s="35"/>
      <c r="FC9" s="35"/>
      <c r="FD9" s="35"/>
      <c r="FE9" s="35"/>
      <c r="FF9" s="35"/>
      <c r="FG9" s="35"/>
      <c r="FH9" s="35"/>
      <c r="FI9" s="35"/>
      <c r="FJ9" s="35"/>
      <c r="FK9" s="35"/>
      <c r="FL9" s="35"/>
      <c r="FM9" s="35"/>
      <c r="FN9" s="35"/>
      <c r="FO9" s="35"/>
      <c r="FP9" s="35"/>
      <c r="FQ9" s="35"/>
      <c r="FR9" s="35"/>
      <c r="FS9" s="35"/>
      <c r="FT9" s="35"/>
      <c r="FU9" s="35"/>
      <c r="FV9" s="35"/>
      <c r="FW9" s="35"/>
      <c r="FX9" s="35"/>
      <c r="FY9" s="35"/>
      <c r="FZ9" s="35"/>
      <c r="GA9" s="35"/>
      <c r="GB9" s="35"/>
      <c r="GC9" s="35"/>
      <c r="GD9" s="35"/>
      <c r="GE9" s="35"/>
      <c r="GF9" s="35"/>
      <c r="GG9" s="35"/>
      <c r="GH9" s="35"/>
      <c r="GI9" s="35"/>
      <c r="GJ9" s="35"/>
      <c r="GK9" s="35"/>
      <c r="GL9" s="35"/>
      <c r="GM9" s="35"/>
      <c r="GN9" s="35"/>
      <c r="GO9" s="35"/>
      <c r="GP9" s="35"/>
      <c r="GQ9" s="35"/>
      <c r="GR9" s="35"/>
      <c r="GS9" s="35"/>
      <c r="GT9" s="35"/>
      <c r="GU9" s="35"/>
      <c r="GV9" s="35"/>
      <c r="GW9" s="35"/>
      <c r="GX9" s="35"/>
      <c r="GY9" s="35"/>
      <c r="GZ9" s="35"/>
      <c r="HA9" s="35"/>
      <c r="HB9" s="35"/>
      <c r="HC9" s="35"/>
      <c r="HD9" s="35"/>
      <c r="HE9" s="35"/>
      <c r="HF9" s="35"/>
      <c r="HG9" s="35"/>
    </row>
    <row r="10" spans="1:215" s="87" customFormat="1" ht="17" customHeight="1" thickBot="1" x14ac:dyDescent="0.25">
      <c r="E10" s="84"/>
      <c r="G10" s="84"/>
      <c r="I10" s="84"/>
      <c r="M10" s="195"/>
      <c r="N10" s="196"/>
      <c r="O10" s="35"/>
      <c r="P10" s="35"/>
      <c r="Q10" s="35"/>
      <c r="R10" s="35"/>
      <c r="S10" s="35"/>
      <c r="T10" s="35"/>
      <c r="U10" s="35"/>
      <c r="V10" s="35"/>
      <c r="W10" s="35"/>
      <c r="X10" s="35"/>
      <c r="Y10" s="35"/>
      <c r="Z10" s="35"/>
      <c r="AA10" s="35"/>
      <c r="AB10" s="35"/>
      <c r="AC10" s="35"/>
      <c r="AD10" s="35"/>
      <c r="AE10" s="35"/>
      <c r="AF10" s="35"/>
      <c r="AG10" s="35"/>
      <c r="AH10" s="35"/>
      <c r="AI10" s="35"/>
      <c r="AJ10" s="35"/>
      <c r="AK10" s="35"/>
      <c r="AL10" s="35"/>
      <c r="AM10" s="35"/>
      <c r="AN10" s="35"/>
      <c r="AO10" s="35"/>
      <c r="AP10" s="35"/>
      <c r="AQ10" s="35"/>
      <c r="AR10" s="35"/>
      <c r="AS10" s="35"/>
      <c r="AT10" s="35"/>
      <c r="AU10" s="35"/>
      <c r="AV10" s="35"/>
      <c r="AW10" s="35"/>
      <c r="AX10" s="35"/>
      <c r="AY10" s="35"/>
      <c r="AZ10" s="35"/>
      <c r="BA10" s="35"/>
      <c r="BB10" s="35"/>
      <c r="BC10" s="35"/>
      <c r="BD10" s="35"/>
      <c r="BE10" s="35"/>
      <c r="BF10" s="35"/>
      <c r="BG10" s="35"/>
      <c r="BH10" s="35"/>
      <c r="BI10" s="35"/>
      <c r="BJ10" s="35"/>
      <c r="BK10" s="35"/>
      <c r="BL10" s="35"/>
      <c r="BM10" s="35"/>
      <c r="BN10" s="35"/>
      <c r="BO10" s="35"/>
      <c r="BP10" s="35"/>
      <c r="BQ10" s="35"/>
      <c r="BR10" s="35"/>
      <c r="BS10" s="35"/>
      <c r="BT10" s="35"/>
      <c r="BU10" s="35"/>
      <c r="BV10" s="35"/>
      <c r="BW10" s="35"/>
      <c r="BX10" s="35"/>
      <c r="BY10" s="35"/>
      <c r="BZ10" s="35"/>
      <c r="CA10" s="35"/>
      <c r="CB10" s="35"/>
      <c r="CC10" s="35"/>
      <c r="CD10" s="35"/>
      <c r="CE10" s="35"/>
      <c r="CF10" s="35"/>
      <c r="CG10" s="35"/>
      <c r="CH10" s="35"/>
      <c r="CI10" s="35"/>
      <c r="CJ10" s="35"/>
      <c r="CK10" s="35"/>
      <c r="CL10" s="35"/>
      <c r="CM10" s="35"/>
      <c r="CN10" s="35"/>
      <c r="CO10" s="35"/>
      <c r="CP10" s="35"/>
      <c r="CQ10" s="35"/>
      <c r="CR10" s="35"/>
      <c r="CS10" s="35"/>
      <c r="CT10" s="35"/>
      <c r="CU10" s="35"/>
      <c r="CV10" s="35"/>
      <c r="CW10" s="35"/>
      <c r="CX10" s="35"/>
      <c r="CY10" s="35"/>
      <c r="CZ10" s="35"/>
      <c r="DA10" s="35"/>
      <c r="DB10" s="35"/>
      <c r="DC10" s="35"/>
      <c r="DD10" s="35"/>
      <c r="DE10" s="35"/>
      <c r="DF10" s="35"/>
      <c r="DG10" s="35"/>
      <c r="DH10" s="35"/>
      <c r="DI10" s="35"/>
      <c r="DJ10" s="35"/>
      <c r="DK10" s="35"/>
      <c r="DL10" s="35"/>
      <c r="DM10" s="35"/>
      <c r="DN10" s="35"/>
      <c r="DO10" s="35"/>
      <c r="DP10" s="35"/>
      <c r="DQ10" s="35"/>
      <c r="DR10" s="35"/>
      <c r="DS10" s="35"/>
      <c r="DT10" s="35"/>
      <c r="DU10" s="35"/>
      <c r="DV10" s="35"/>
      <c r="DW10" s="35"/>
      <c r="DX10" s="35"/>
      <c r="DY10" s="35"/>
      <c r="DZ10" s="35"/>
      <c r="EA10" s="35"/>
      <c r="EB10" s="35"/>
      <c r="EC10" s="35"/>
      <c r="ED10" s="35"/>
      <c r="EE10" s="35"/>
      <c r="EF10" s="35"/>
      <c r="EG10" s="35"/>
      <c r="EH10" s="35"/>
      <c r="EI10" s="35"/>
      <c r="EJ10" s="35"/>
      <c r="EK10" s="35"/>
      <c r="EL10" s="35"/>
      <c r="EM10" s="35"/>
      <c r="EN10" s="35"/>
      <c r="EO10" s="35"/>
      <c r="EP10" s="35"/>
      <c r="EQ10" s="35"/>
      <c r="ER10" s="35"/>
      <c r="ES10" s="35"/>
      <c r="ET10" s="35"/>
      <c r="EU10" s="35"/>
      <c r="EV10" s="35"/>
      <c r="EW10" s="35"/>
      <c r="EX10" s="35"/>
      <c r="EY10" s="35"/>
      <c r="EZ10" s="35"/>
      <c r="FA10" s="35"/>
      <c r="FB10" s="35"/>
      <c r="FC10" s="35"/>
      <c r="FD10" s="35"/>
      <c r="FE10" s="35"/>
      <c r="FF10" s="35"/>
      <c r="FG10" s="35"/>
      <c r="FH10" s="35"/>
      <c r="FI10" s="35"/>
      <c r="FJ10" s="35"/>
      <c r="FK10" s="35"/>
      <c r="FL10" s="35"/>
      <c r="FM10" s="35"/>
      <c r="FN10" s="35"/>
      <c r="FO10" s="35"/>
      <c r="FP10" s="35"/>
      <c r="FQ10" s="35"/>
      <c r="FR10" s="35"/>
      <c r="FS10" s="35"/>
      <c r="FT10" s="35"/>
      <c r="FU10" s="35"/>
      <c r="FV10" s="35"/>
      <c r="FW10" s="35"/>
      <c r="FX10" s="35"/>
      <c r="FY10" s="35"/>
      <c r="FZ10" s="35"/>
      <c r="GA10" s="35"/>
      <c r="GB10" s="35"/>
      <c r="GC10" s="35"/>
      <c r="GD10" s="35"/>
      <c r="GE10" s="35"/>
      <c r="GF10" s="35"/>
      <c r="GG10" s="35"/>
      <c r="GH10" s="35"/>
      <c r="GI10" s="35"/>
      <c r="GJ10" s="35"/>
      <c r="GK10" s="35"/>
      <c r="GL10" s="35"/>
      <c r="GM10" s="35"/>
      <c r="GN10" s="35"/>
      <c r="GO10" s="35"/>
      <c r="GP10" s="35"/>
      <c r="GQ10" s="35"/>
      <c r="GR10" s="35"/>
      <c r="GS10" s="35"/>
      <c r="GT10" s="35"/>
      <c r="GU10" s="35"/>
      <c r="GV10" s="35"/>
      <c r="GW10" s="35"/>
      <c r="GX10" s="35"/>
      <c r="GY10" s="35"/>
      <c r="GZ10" s="35"/>
      <c r="HA10" s="35"/>
      <c r="HB10" s="35"/>
      <c r="HC10" s="35"/>
      <c r="HD10" s="35"/>
      <c r="HE10" s="35"/>
      <c r="HF10" s="35"/>
      <c r="HG10" s="35"/>
    </row>
    <row r="12" spans="1:215" ht="17" customHeight="1" x14ac:dyDescent="0.2"/>
    <row r="13" spans="1:215" s="49" customFormat="1" ht="21" customHeight="1" x14ac:dyDescent="0.25">
      <c r="E13" s="72"/>
      <c r="G13" s="72"/>
      <c r="I13" s="72"/>
      <c r="M13" s="70" t="s">
        <v>3</v>
      </c>
    </row>
    <row r="14" spans="1:215" x14ac:dyDescent="0.2">
      <c r="M14" s="71" t="s">
        <v>5</v>
      </c>
    </row>
    <row r="15" spans="1:215" x14ac:dyDescent="0.2">
      <c r="M15" s="71" t="s">
        <v>6</v>
      </c>
    </row>
    <row r="16" spans="1:215" x14ac:dyDescent="0.2">
      <c r="M16" s="71" t="s">
        <v>7</v>
      </c>
    </row>
    <row r="17" spans="13:13" x14ac:dyDescent="0.2">
      <c r="M17" s="71" t="s">
        <v>8</v>
      </c>
    </row>
    <row r="18" spans="13:13" x14ac:dyDescent="0.2">
      <c r="M18" s="71" t="s">
        <v>9</v>
      </c>
    </row>
    <row r="19" spans="13:13" x14ac:dyDescent="0.2">
      <c r="M19" s="71" t="s">
        <v>10</v>
      </c>
    </row>
    <row r="35" spans="1:215" ht="16" customHeight="1" x14ac:dyDescent="0.2">
      <c r="C35" s="77"/>
    </row>
    <row r="36" spans="1:215" ht="5" customHeight="1" x14ac:dyDescent="0.2">
      <c r="B36" s="77"/>
      <c r="C36" s="77"/>
    </row>
    <row r="37" spans="1:215" s="75" customFormat="1" ht="28" customHeight="1" thickBot="1" x14ac:dyDescent="0.3">
      <c r="A37" s="82" t="s">
        <v>11</v>
      </c>
      <c r="B37" s="90" t="s">
        <v>91</v>
      </c>
      <c r="C37" s="82"/>
      <c r="D37" s="82" t="s">
        <v>12</v>
      </c>
      <c r="E37" s="82"/>
      <c r="F37" s="83" t="s">
        <v>13</v>
      </c>
      <c r="G37" s="82"/>
      <c r="H37" s="83" t="s">
        <v>1</v>
      </c>
      <c r="I37" s="88"/>
      <c r="J37" s="204" t="s">
        <v>14</v>
      </c>
      <c r="K37" s="204"/>
      <c r="O37" s="35"/>
      <c r="P37" s="35"/>
      <c r="Q37" s="35"/>
      <c r="R37" s="35"/>
      <c r="S37" s="35"/>
      <c r="T37" s="35"/>
      <c r="U37" s="35"/>
      <c r="V37" s="35"/>
      <c r="W37" s="35"/>
      <c r="X37" s="35"/>
      <c r="Y37" s="35"/>
      <c r="Z37" s="35"/>
      <c r="AA37" s="35"/>
      <c r="AB37" s="35"/>
      <c r="AC37" s="35"/>
      <c r="AD37" s="35"/>
      <c r="AE37" s="35"/>
      <c r="AF37" s="35"/>
      <c r="AG37" s="35"/>
      <c r="AH37" s="35"/>
      <c r="AI37" s="35"/>
      <c r="AJ37" s="35"/>
      <c r="AK37" s="35"/>
      <c r="AL37" s="35"/>
      <c r="AM37" s="35"/>
      <c r="AN37" s="35"/>
      <c r="AO37" s="35"/>
      <c r="AP37" s="35"/>
      <c r="AQ37" s="35"/>
      <c r="AR37" s="35"/>
      <c r="AS37" s="35"/>
      <c r="AT37" s="35"/>
      <c r="AU37" s="35"/>
      <c r="AV37" s="35"/>
      <c r="AW37" s="35"/>
      <c r="AX37" s="35"/>
      <c r="AY37" s="35"/>
      <c r="AZ37" s="35"/>
      <c r="BA37" s="35"/>
      <c r="BB37" s="35"/>
      <c r="BC37" s="35"/>
      <c r="BD37" s="35"/>
      <c r="BE37" s="35"/>
      <c r="BF37" s="35"/>
      <c r="BG37" s="35"/>
      <c r="BH37" s="35"/>
      <c r="BI37" s="35"/>
      <c r="BJ37" s="35"/>
      <c r="BK37" s="35"/>
      <c r="BL37" s="35"/>
      <c r="BM37" s="35"/>
      <c r="BN37" s="35"/>
      <c r="BO37" s="35"/>
      <c r="BP37" s="35"/>
      <c r="BQ37" s="35"/>
      <c r="BR37" s="35"/>
      <c r="BS37" s="35"/>
      <c r="BT37" s="35"/>
      <c r="BU37" s="35"/>
      <c r="BV37" s="35"/>
      <c r="BW37" s="35"/>
      <c r="BX37" s="35"/>
      <c r="BY37" s="35"/>
      <c r="BZ37" s="35"/>
      <c r="CA37" s="35"/>
      <c r="CB37" s="35"/>
      <c r="CC37" s="35"/>
      <c r="CD37" s="35"/>
      <c r="CE37" s="35"/>
      <c r="CF37" s="35"/>
      <c r="CG37" s="35"/>
      <c r="CH37" s="35"/>
      <c r="CI37" s="35"/>
      <c r="CJ37" s="35"/>
      <c r="CK37" s="35"/>
      <c r="CL37" s="35"/>
      <c r="CM37" s="35"/>
      <c r="CN37" s="35"/>
      <c r="CO37" s="35"/>
      <c r="CP37" s="35"/>
      <c r="CQ37" s="35"/>
      <c r="CR37" s="35"/>
      <c r="CS37" s="35"/>
      <c r="CT37" s="35"/>
      <c r="CU37" s="35"/>
      <c r="CV37" s="35"/>
      <c r="CW37" s="35"/>
      <c r="CX37" s="35"/>
      <c r="CY37" s="35"/>
      <c r="CZ37" s="35"/>
      <c r="DA37" s="35"/>
      <c r="DB37" s="35"/>
      <c r="DC37" s="35"/>
      <c r="DD37" s="35"/>
      <c r="DE37" s="35"/>
      <c r="DF37" s="35"/>
      <c r="DG37" s="35"/>
      <c r="DH37" s="35"/>
      <c r="DI37" s="35"/>
      <c r="DJ37" s="35"/>
      <c r="DK37" s="35"/>
      <c r="DL37" s="35"/>
      <c r="DM37" s="35"/>
      <c r="DN37" s="35"/>
      <c r="DO37" s="35"/>
      <c r="DP37" s="35"/>
      <c r="DQ37" s="35"/>
      <c r="DR37" s="35"/>
      <c r="DS37" s="35"/>
      <c r="DT37" s="35"/>
      <c r="DU37" s="35"/>
      <c r="DV37" s="35"/>
      <c r="DW37" s="35"/>
      <c r="DX37" s="35"/>
      <c r="DY37" s="35"/>
      <c r="DZ37" s="35"/>
      <c r="EA37" s="35"/>
      <c r="EB37" s="35"/>
      <c r="EC37" s="35"/>
      <c r="ED37" s="35"/>
      <c r="EE37" s="35"/>
      <c r="EF37" s="35"/>
      <c r="EG37" s="35"/>
      <c r="EH37" s="35"/>
      <c r="EI37" s="35"/>
      <c r="EJ37" s="35"/>
      <c r="EK37" s="35"/>
      <c r="EL37" s="35"/>
      <c r="EM37" s="35"/>
      <c r="EN37" s="35"/>
      <c r="EO37" s="35"/>
      <c r="EP37" s="35"/>
      <c r="EQ37" s="35"/>
      <c r="ER37" s="35"/>
      <c r="ES37" s="35"/>
      <c r="ET37" s="35"/>
      <c r="EU37" s="35"/>
      <c r="EV37" s="35"/>
      <c r="EW37" s="35"/>
      <c r="EX37" s="35"/>
      <c r="EY37" s="35"/>
      <c r="EZ37" s="35"/>
      <c r="FA37" s="35"/>
      <c r="FB37" s="35"/>
      <c r="FC37" s="35"/>
      <c r="FD37" s="35"/>
      <c r="FE37" s="35"/>
      <c r="FF37" s="35"/>
      <c r="FG37" s="35"/>
      <c r="FH37" s="35"/>
      <c r="FI37" s="35"/>
      <c r="FJ37" s="35"/>
      <c r="FK37" s="35"/>
      <c r="FL37" s="35"/>
      <c r="FM37" s="35"/>
      <c r="FN37" s="35"/>
      <c r="FO37" s="35"/>
      <c r="FP37" s="35"/>
      <c r="FQ37" s="35"/>
      <c r="FR37" s="35"/>
      <c r="FS37" s="35"/>
      <c r="FT37" s="35"/>
      <c r="FU37" s="35"/>
      <c r="FV37" s="35"/>
      <c r="FW37" s="35"/>
      <c r="FX37" s="35"/>
      <c r="FY37" s="35"/>
      <c r="FZ37" s="35"/>
      <c r="GA37" s="35"/>
      <c r="GB37" s="35"/>
      <c r="GC37" s="35"/>
      <c r="GD37" s="35"/>
      <c r="GE37" s="35"/>
      <c r="GF37" s="35"/>
      <c r="GG37" s="35"/>
      <c r="GH37" s="35"/>
      <c r="GI37" s="35"/>
      <c r="GJ37" s="35"/>
      <c r="GK37" s="35"/>
      <c r="GL37" s="35"/>
      <c r="GM37" s="35"/>
      <c r="GN37" s="35"/>
      <c r="GO37" s="35"/>
      <c r="GP37" s="35"/>
      <c r="GQ37" s="35"/>
      <c r="GR37" s="35"/>
      <c r="GS37" s="35"/>
      <c r="GT37" s="35"/>
      <c r="GU37" s="35"/>
      <c r="GV37" s="35"/>
      <c r="GW37" s="35"/>
      <c r="GX37" s="35"/>
      <c r="GY37" s="35"/>
      <c r="GZ37" s="35"/>
      <c r="HA37" s="35"/>
      <c r="HB37" s="35"/>
      <c r="HC37" s="35"/>
      <c r="HD37" s="35"/>
      <c r="HE37" s="35"/>
      <c r="HF37" s="35"/>
      <c r="HG37" s="35"/>
    </row>
    <row r="38" spans="1:215" s="87" customFormat="1" ht="12" customHeight="1" x14ac:dyDescent="0.25">
      <c r="A38" s="78"/>
      <c r="B38" s="78"/>
      <c r="C38" s="78"/>
      <c r="D38" s="79"/>
      <c r="E38" s="78"/>
      <c r="F38" s="79"/>
      <c r="G38" s="78"/>
      <c r="H38" s="79"/>
      <c r="I38" s="84"/>
      <c r="O38" s="35"/>
      <c r="P38" s="35"/>
      <c r="Q38" s="35"/>
      <c r="R38" s="35"/>
      <c r="S38" s="35"/>
      <c r="T38" s="35"/>
      <c r="U38" s="35"/>
      <c r="V38" s="35"/>
      <c r="W38" s="35"/>
      <c r="X38" s="35"/>
      <c r="Y38" s="35"/>
      <c r="Z38" s="35"/>
      <c r="AA38" s="35"/>
      <c r="AB38" s="35"/>
      <c r="AC38" s="35"/>
      <c r="AD38" s="35"/>
      <c r="AE38" s="35"/>
      <c r="AF38" s="35"/>
      <c r="AG38" s="35"/>
      <c r="AH38" s="35"/>
      <c r="AI38" s="35"/>
      <c r="AJ38" s="35"/>
      <c r="AK38" s="35"/>
      <c r="AL38" s="35"/>
      <c r="AM38" s="35"/>
      <c r="AN38" s="35"/>
      <c r="AO38" s="35"/>
      <c r="AP38" s="35"/>
      <c r="AQ38" s="35"/>
      <c r="AR38" s="35"/>
      <c r="AS38" s="35"/>
      <c r="AT38" s="35"/>
      <c r="AU38" s="35"/>
      <c r="AV38" s="35"/>
      <c r="AW38" s="35"/>
      <c r="AX38" s="35"/>
      <c r="AY38" s="35"/>
      <c r="AZ38" s="35"/>
      <c r="BA38" s="35"/>
      <c r="BB38" s="35"/>
      <c r="BC38" s="35"/>
      <c r="BD38" s="35"/>
      <c r="BE38" s="35"/>
      <c r="BF38" s="35"/>
      <c r="BG38" s="35"/>
      <c r="BH38" s="35"/>
      <c r="BI38" s="35"/>
      <c r="BJ38" s="35"/>
      <c r="BK38" s="35"/>
      <c r="BL38" s="35"/>
      <c r="BM38" s="35"/>
      <c r="BN38" s="35"/>
      <c r="BO38" s="35"/>
      <c r="BP38" s="35"/>
      <c r="BQ38" s="35"/>
      <c r="BR38" s="35"/>
      <c r="BS38" s="35"/>
      <c r="BT38" s="35"/>
      <c r="BU38" s="35"/>
      <c r="BV38" s="35"/>
      <c r="BW38" s="35"/>
      <c r="BX38" s="35"/>
      <c r="BY38" s="35"/>
      <c r="BZ38" s="35"/>
      <c r="CA38" s="35"/>
      <c r="CB38" s="35"/>
      <c r="CC38" s="35"/>
      <c r="CD38" s="35"/>
      <c r="CE38" s="35"/>
      <c r="CF38" s="35"/>
      <c r="CG38" s="35"/>
      <c r="CH38" s="35"/>
      <c r="CI38" s="35"/>
      <c r="CJ38" s="35"/>
      <c r="CK38" s="35"/>
      <c r="CL38" s="35"/>
      <c r="CM38" s="35"/>
      <c r="CN38" s="35"/>
      <c r="CO38" s="35"/>
      <c r="CP38" s="35"/>
      <c r="CQ38" s="35"/>
      <c r="CR38" s="35"/>
      <c r="CS38" s="35"/>
      <c r="CT38" s="35"/>
      <c r="CU38" s="35"/>
      <c r="CV38" s="35"/>
      <c r="CW38" s="35"/>
      <c r="CX38" s="35"/>
      <c r="CY38" s="35"/>
      <c r="CZ38" s="35"/>
      <c r="DA38" s="35"/>
      <c r="DB38" s="35"/>
      <c r="DC38" s="35"/>
      <c r="DD38" s="35"/>
      <c r="DE38" s="35"/>
      <c r="DF38" s="35"/>
      <c r="DG38" s="35"/>
      <c r="DH38" s="35"/>
      <c r="DI38" s="35"/>
      <c r="DJ38" s="35"/>
      <c r="DK38" s="35"/>
      <c r="DL38" s="35"/>
      <c r="DM38" s="35"/>
      <c r="DN38" s="35"/>
      <c r="DO38" s="35"/>
      <c r="DP38" s="35"/>
      <c r="DQ38" s="35"/>
      <c r="DR38" s="35"/>
      <c r="DS38" s="35"/>
      <c r="DT38" s="35"/>
      <c r="DU38" s="35"/>
      <c r="DV38" s="35"/>
      <c r="DW38" s="35"/>
      <c r="DX38" s="35"/>
      <c r="DY38" s="35"/>
      <c r="DZ38" s="35"/>
      <c r="EA38" s="35"/>
      <c r="EB38" s="35"/>
      <c r="EC38" s="35"/>
      <c r="ED38" s="35"/>
      <c r="EE38" s="35"/>
      <c r="EF38" s="35"/>
      <c r="EG38" s="35"/>
      <c r="EH38" s="35"/>
      <c r="EI38" s="35"/>
      <c r="EJ38" s="35"/>
      <c r="EK38" s="35"/>
      <c r="EL38" s="35"/>
      <c r="EM38" s="35"/>
      <c r="EN38" s="35"/>
      <c r="EO38" s="35"/>
      <c r="EP38" s="35"/>
      <c r="EQ38" s="35"/>
      <c r="ER38" s="35"/>
      <c r="ES38" s="35"/>
      <c r="ET38" s="35"/>
      <c r="EU38" s="35"/>
      <c r="EV38" s="35"/>
      <c r="EW38" s="35"/>
      <c r="EX38" s="35"/>
      <c r="EY38" s="35"/>
      <c r="EZ38" s="35"/>
      <c r="FA38" s="35"/>
      <c r="FB38" s="35"/>
      <c r="FC38" s="35"/>
      <c r="FD38" s="35"/>
      <c r="FE38" s="35"/>
      <c r="FF38" s="35"/>
      <c r="FG38" s="35"/>
      <c r="FH38" s="35"/>
      <c r="FI38" s="35"/>
      <c r="FJ38" s="35"/>
      <c r="FK38" s="35"/>
      <c r="FL38" s="35"/>
      <c r="FM38" s="35"/>
      <c r="FN38" s="35"/>
      <c r="FO38" s="35"/>
      <c r="FP38" s="35"/>
      <c r="FQ38" s="35"/>
      <c r="FR38" s="35"/>
      <c r="FS38" s="35"/>
      <c r="FT38" s="35"/>
      <c r="FU38" s="35"/>
      <c r="FV38" s="35"/>
      <c r="FW38" s="35"/>
      <c r="FX38" s="35"/>
      <c r="FY38" s="35"/>
      <c r="FZ38" s="35"/>
      <c r="GA38" s="35"/>
      <c r="GB38" s="35"/>
      <c r="GC38" s="35"/>
      <c r="GD38" s="35"/>
      <c r="GE38" s="35"/>
      <c r="GF38" s="35"/>
      <c r="GG38" s="35"/>
      <c r="GH38" s="35"/>
      <c r="GI38" s="35"/>
      <c r="GJ38" s="35"/>
      <c r="GK38" s="35"/>
      <c r="GL38" s="35"/>
      <c r="GM38" s="35"/>
      <c r="GN38" s="35"/>
      <c r="GO38" s="35"/>
      <c r="GP38" s="35"/>
      <c r="GQ38" s="35"/>
      <c r="GR38" s="35"/>
      <c r="GS38" s="35"/>
      <c r="GT38" s="35"/>
      <c r="GU38" s="35"/>
      <c r="GV38" s="35"/>
      <c r="GW38" s="35"/>
      <c r="GX38" s="35"/>
      <c r="GY38" s="35"/>
      <c r="GZ38" s="35"/>
      <c r="HA38" s="35"/>
      <c r="HB38" s="35"/>
      <c r="HC38" s="35"/>
      <c r="HD38" s="35"/>
      <c r="HE38" s="35"/>
      <c r="HF38" s="35"/>
      <c r="HG38" s="35"/>
    </row>
    <row r="39" spans="1:215" s="87" customFormat="1" ht="25" x14ac:dyDescent="0.25">
      <c r="A39" s="80" t="str" cm="1">
        <f t="array" aca="1" ref="A39:A40" ca="1">_xlfn._xlws.FILTER(CURRENCY, (CURRENCY_VALUE &gt; 5))</f>
        <v>XRP</v>
      </c>
      <c r="B39" s="91" cm="1">
        <f t="array" aca="1" ref="B39:B40" ca="1">INDEX(PRICES,MATCH(_xlfn._xlws.FILTER(CURRENCY,(CURRENCY_VALUE&gt;5)),PRICES_SYMBOL,0))</f>
        <v>0.49872854</v>
      </c>
      <c r="C39" s="80"/>
      <c r="D39" s="89" cm="1">
        <f t="array" aca="1" ref="D39:D40" ca="1">_xlfn._xlws.FILTER(CURRENT_QUANTITY, (CURRENCY_VALUE &gt; 5))</f>
        <v>12273.445639000001</v>
      </c>
      <c r="E39" s="80"/>
      <c r="F39" s="81" cm="1">
        <f t="array" aca="1" ref="F39:F40" ca="1">_xlfn._xlws.FILTER(CURRENCY_VALUE, (CURRENCY_VALUE &gt; 5))</f>
        <v>6121.117624307838</v>
      </c>
      <c r="G39" s="80"/>
      <c r="H39" s="81" cm="1">
        <f t="array" aca="1" ref="H39:H40" ca="1">_xlfn._xlws.FILTER(CURRENT_COST_BASIS, (CURRENCY_VALUE &gt; 5))</f>
        <v>7082.42</v>
      </c>
      <c r="I39" s="84"/>
      <c r="J39" s="86" cm="1">
        <f t="array" aca="1" ref="J39:J40" ca="1">_xlfn._xlws.FILTER(UNREALIZED_RETURN, (CURRENCY_VALUE &gt; 5))</f>
        <v>-961.30237569216206</v>
      </c>
      <c r="K39" s="85" cm="1">
        <f t="array" aca="1" ref="K39:K40" ca="1">_xlfn._xlws.FILTER(UNREALIZED_RETURN, (CURRENCY_VALUE &gt; 5)) / _xlfn._xlws.FILTER(CURRENT_COST_BASIS, (CURRENCY_VALUE &gt; 5))</f>
        <v>-0.13573077785448506</v>
      </c>
      <c r="O39" s="35"/>
      <c r="P39" s="35"/>
      <c r="Q39" s="35"/>
      <c r="R39" s="35"/>
      <c r="S39" s="35"/>
      <c r="T39" s="35"/>
      <c r="U39" s="35"/>
      <c r="V39" s="35"/>
      <c r="W39" s="35"/>
      <c r="X39" s="35"/>
      <c r="Y39" s="35"/>
      <c r="Z39" s="35"/>
      <c r="AA39" s="35"/>
      <c r="AB39" s="35"/>
      <c r="AC39" s="35"/>
      <c r="AD39" s="35"/>
      <c r="AE39" s="35"/>
      <c r="AF39" s="35"/>
      <c r="AG39" s="35"/>
      <c r="AH39" s="35"/>
      <c r="AI39" s="35"/>
      <c r="AJ39" s="35"/>
      <c r="AK39" s="35"/>
      <c r="AL39" s="35"/>
      <c r="AM39" s="35"/>
      <c r="AN39" s="35"/>
      <c r="AO39" s="35"/>
      <c r="AP39" s="35"/>
      <c r="AQ39" s="35"/>
      <c r="AR39" s="35"/>
      <c r="AS39" s="35"/>
      <c r="AT39" s="35"/>
      <c r="AU39" s="35"/>
      <c r="AV39" s="35"/>
      <c r="AW39" s="35"/>
      <c r="AX39" s="35"/>
      <c r="AY39" s="35"/>
      <c r="AZ39" s="35"/>
      <c r="BA39" s="35"/>
      <c r="BB39" s="35"/>
      <c r="BC39" s="35"/>
      <c r="BD39" s="35"/>
      <c r="BE39" s="35"/>
      <c r="BF39" s="35"/>
      <c r="BG39" s="35"/>
      <c r="BH39" s="35"/>
      <c r="BI39" s="35"/>
      <c r="BJ39" s="35"/>
      <c r="BK39" s="35"/>
      <c r="BL39" s="35"/>
      <c r="BM39" s="35"/>
      <c r="BN39" s="35"/>
      <c r="BO39" s="35"/>
      <c r="BP39" s="35"/>
      <c r="BQ39" s="35"/>
      <c r="BR39" s="35"/>
      <c r="BS39" s="35"/>
      <c r="BT39" s="35"/>
      <c r="BU39" s="35"/>
      <c r="BV39" s="35"/>
      <c r="BW39" s="35"/>
      <c r="BX39" s="35"/>
      <c r="BY39" s="35"/>
      <c r="BZ39" s="35"/>
      <c r="CA39" s="35"/>
      <c r="CB39" s="35"/>
      <c r="CC39" s="35"/>
      <c r="CD39" s="35"/>
      <c r="CE39" s="35"/>
      <c r="CF39" s="35"/>
      <c r="CG39" s="35"/>
      <c r="CH39" s="35"/>
      <c r="CI39" s="35"/>
      <c r="CJ39" s="35"/>
      <c r="CK39" s="35"/>
      <c r="CL39" s="35"/>
      <c r="CM39" s="35"/>
      <c r="CN39" s="35"/>
      <c r="CO39" s="35"/>
      <c r="CP39" s="35"/>
      <c r="CQ39" s="35"/>
      <c r="CR39" s="35"/>
      <c r="CS39" s="35"/>
      <c r="CT39" s="35"/>
      <c r="CU39" s="35"/>
      <c r="CV39" s="35"/>
      <c r="CW39" s="35"/>
      <c r="CX39" s="35"/>
      <c r="CY39" s="35"/>
      <c r="CZ39" s="35"/>
      <c r="DA39" s="35"/>
      <c r="DB39" s="35"/>
      <c r="DC39" s="35"/>
      <c r="DD39" s="35"/>
      <c r="DE39" s="35"/>
      <c r="DF39" s="35"/>
      <c r="DG39" s="35"/>
      <c r="DH39" s="35"/>
      <c r="DI39" s="35"/>
      <c r="DJ39" s="35"/>
      <c r="DK39" s="35"/>
      <c r="DL39" s="35"/>
      <c r="DM39" s="35"/>
      <c r="DN39" s="35"/>
      <c r="DO39" s="35"/>
      <c r="DP39" s="35"/>
      <c r="DQ39" s="35"/>
      <c r="DR39" s="35"/>
      <c r="DS39" s="35"/>
      <c r="DT39" s="35"/>
      <c r="DU39" s="35"/>
      <c r="DV39" s="35"/>
      <c r="DW39" s="35"/>
      <c r="DX39" s="35"/>
      <c r="DY39" s="35"/>
      <c r="DZ39" s="35"/>
      <c r="EA39" s="35"/>
      <c r="EB39" s="35"/>
      <c r="EC39" s="35"/>
      <c r="ED39" s="35"/>
      <c r="EE39" s="35"/>
      <c r="EF39" s="35"/>
      <c r="EG39" s="35"/>
      <c r="EH39" s="35"/>
      <c r="EI39" s="35"/>
      <c r="EJ39" s="35"/>
      <c r="EK39" s="35"/>
      <c r="EL39" s="35"/>
      <c r="EM39" s="35"/>
      <c r="EN39" s="35"/>
      <c r="EO39" s="35"/>
      <c r="EP39" s="35"/>
      <c r="EQ39" s="35"/>
      <c r="ER39" s="35"/>
      <c r="ES39" s="35"/>
      <c r="ET39" s="35"/>
      <c r="EU39" s="35"/>
      <c r="EV39" s="35"/>
      <c r="EW39" s="35"/>
      <c r="EX39" s="35"/>
      <c r="EY39" s="35"/>
      <c r="EZ39" s="35"/>
      <c r="FA39" s="35"/>
      <c r="FB39" s="35"/>
      <c r="FC39" s="35"/>
      <c r="FD39" s="35"/>
      <c r="FE39" s="35"/>
      <c r="FF39" s="35"/>
      <c r="FG39" s="35"/>
      <c r="FH39" s="35"/>
      <c r="FI39" s="35"/>
      <c r="FJ39" s="35"/>
      <c r="FK39" s="35"/>
      <c r="FL39" s="35"/>
      <c r="FM39" s="35"/>
      <c r="FN39" s="35"/>
      <c r="FO39" s="35"/>
      <c r="FP39" s="35"/>
      <c r="FQ39" s="35"/>
      <c r="FR39" s="35"/>
      <c r="FS39" s="35"/>
      <c r="FT39" s="35"/>
      <c r="FU39" s="35"/>
      <c r="FV39" s="35"/>
      <c r="FW39" s="35"/>
      <c r="FX39" s="35"/>
      <c r="FY39" s="35"/>
      <c r="FZ39" s="35"/>
      <c r="GA39" s="35"/>
      <c r="GB39" s="35"/>
      <c r="GC39" s="35"/>
      <c r="GD39" s="35"/>
      <c r="GE39" s="35"/>
      <c r="GF39" s="35"/>
      <c r="GG39" s="35"/>
      <c r="GH39" s="35"/>
      <c r="GI39" s="35"/>
      <c r="GJ39" s="35"/>
      <c r="GK39" s="35"/>
      <c r="GL39" s="35"/>
      <c r="GM39" s="35"/>
      <c r="GN39" s="35"/>
      <c r="GO39" s="35"/>
      <c r="GP39" s="35"/>
      <c r="GQ39" s="35"/>
      <c r="GR39" s="35"/>
      <c r="GS39" s="35"/>
      <c r="GT39" s="35"/>
      <c r="GU39" s="35"/>
      <c r="GV39" s="35"/>
      <c r="GW39" s="35"/>
      <c r="GX39" s="35"/>
      <c r="GY39" s="35"/>
      <c r="GZ39" s="35"/>
      <c r="HA39" s="35"/>
      <c r="HB39" s="35"/>
      <c r="HC39" s="35"/>
      <c r="HD39" s="35"/>
      <c r="HE39" s="35"/>
      <c r="HF39" s="35"/>
      <c r="HG39" s="35"/>
    </row>
    <row r="40" spans="1:215" s="87" customFormat="1" ht="30" customHeight="1" x14ac:dyDescent="0.25">
      <c r="A40" s="80" t="str">
        <f ca="1"/>
        <v>HBAR</v>
      </c>
      <c r="B40" s="91">
        <f ca="1"/>
        <v>8.2537029999999997E-2</v>
      </c>
      <c r="C40" s="80"/>
      <c r="D40" s="89">
        <f ca="1"/>
        <v>81520.145294549991</v>
      </c>
      <c r="E40" s="80"/>
      <c r="F40" s="81">
        <f ca="1"/>
        <v>6728.4306777806314</v>
      </c>
      <c r="G40" s="80"/>
      <c r="H40" s="81">
        <f ca="1"/>
        <v>5000</v>
      </c>
      <c r="I40" s="84"/>
      <c r="J40" s="86">
        <f ca="1"/>
        <v>1728.4306777806314</v>
      </c>
      <c r="K40" s="85">
        <f ca="1"/>
        <v>0.34568613555612626</v>
      </c>
      <c r="O40" s="35"/>
      <c r="P40" s="35"/>
      <c r="Q40" s="35"/>
      <c r="R40" s="35"/>
      <c r="S40" s="35"/>
      <c r="T40" s="35"/>
      <c r="U40" s="35"/>
      <c r="V40" s="35"/>
      <c r="W40" s="35"/>
      <c r="X40" s="35"/>
      <c r="Y40" s="35"/>
      <c r="Z40" s="35"/>
      <c r="AA40" s="35"/>
      <c r="AB40" s="35"/>
      <c r="AC40" s="35"/>
      <c r="AD40" s="35"/>
      <c r="AE40" s="35"/>
      <c r="AF40" s="35"/>
      <c r="AG40" s="35"/>
      <c r="AH40" s="35"/>
      <c r="AI40" s="35"/>
      <c r="AJ40" s="35"/>
      <c r="AK40" s="35"/>
      <c r="AL40" s="35"/>
      <c r="AM40" s="35"/>
      <c r="AN40" s="35"/>
      <c r="AO40" s="35"/>
      <c r="AP40" s="35"/>
      <c r="AQ40" s="35"/>
      <c r="AR40" s="35"/>
      <c r="AS40" s="35"/>
      <c r="AT40" s="35"/>
      <c r="AU40" s="35"/>
      <c r="AV40" s="35"/>
      <c r="AW40" s="35"/>
      <c r="AX40" s="35"/>
      <c r="AY40" s="35"/>
      <c r="AZ40" s="35"/>
      <c r="BA40" s="35"/>
      <c r="BB40" s="35"/>
      <c r="BC40" s="35"/>
      <c r="BD40" s="35"/>
      <c r="BE40" s="35"/>
      <c r="BF40" s="35"/>
      <c r="BG40" s="35"/>
      <c r="BH40" s="35"/>
      <c r="BI40" s="35"/>
      <c r="BJ40" s="35"/>
      <c r="BK40" s="35"/>
      <c r="BL40" s="35"/>
      <c r="BM40" s="35"/>
      <c r="BN40" s="35"/>
      <c r="BO40" s="35"/>
      <c r="BP40" s="35"/>
      <c r="BQ40" s="35"/>
      <c r="BR40" s="35"/>
      <c r="BS40" s="35"/>
      <c r="BT40" s="35"/>
      <c r="BU40" s="35"/>
      <c r="BV40" s="35"/>
      <c r="BW40" s="35"/>
      <c r="BX40" s="35"/>
      <c r="BY40" s="35"/>
      <c r="BZ40" s="35"/>
      <c r="CA40" s="35"/>
      <c r="CB40" s="35"/>
      <c r="CC40" s="35"/>
      <c r="CD40" s="35"/>
      <c r="CE40" s="35"/>
      <c r="CF40" s="35"/>
      <c r="CG40" s="35"/>
      <c r="CH40" s="35"/>
      <c r="CI40" s="35"/>
      <c r="CJ40" s="35"/>
      <c r="CK40" s="35"/>
      <c r="CL40" s="35"/>
      <c r="CM40" s="35"/>
      <c r="CN40" s="35"/>
      <c r="CO40" s="35"/>
      <c r="CP40" s="35"/>
      <c r="CQ40" s="35"/>
      <c r="CR40" s="35"/>
      <c r="CS40" s="35"/>
      <c r="CT40" s="35"/>
      <c r="CU40" s="35"/>
      <c r="CV40" s="35"/>
      <c r="CW40" s="35"/>
      <c r="CX40" s="35"/>
      <c r="CY40" s="35"/>
      <c r="CZ40" s="35"/>
      <c r="DA40" s="35"/>
      <c r="DB40" s="35"/>
      <c r="DC40" s="35"/>
      <c r="DD40" s="35"/>
      <c r="DE40" s="35"/>
      <c r="DF40" s="35"/>
      <c r="DG40" s="35"/>
      <c r="DH40" s="35"/>
      <c r="DI40" s="35"/>
      <c r="DJ40" s="35"/>
      <c r="DK40" s="35"/>
      <c r="DL40" s="35"/>
      <c r="DM40" s="35"/>
      <c r="DN40" s="35"/>
      <c r="DO40" s="35"/>
      <c r="DP40" s="35"/>
      <c r="DQ40" s="35"/>
      <c r="DR40" s="35"/>
      <c r="DS40" s="35"/>
      <c r="DT40" s="35"/>
      <c r="DU40" s="35"/>
      <c r="DV40" s="35"/>
      <c r="DW40" s="35"/>
      <c r="DX40" s="35"/>
      <c r="DY40" s="35"/>
      <c r="DZ40" s="35"/>
      <c r="EA40" s="35"/>
      <c r="EB40" s="35"/>
      <c r="EC40" s="35"/>
      <c r="ED40" s="35"/>
      <c r="EE40" s="35"/>
      <c r="EF40" s="35"/>
      <c r="EG40" s="35"/>
      <c r="EH40" s="35"/>
      <c r="EI40" s="35"/>
      <c r="EJ40" s="35"/>
      <c r="EK40" s="35"/>
      <c r="EL40" s="35"/>
      <c r="EM40" s="35"/>
      <c r="EN40" s="35"/>
      <c r="EO40" s="35"/>
      <c r="EP40" s="35"/>
      <c r="EQ40" s="35"/>
      <c r="ER40" s="35"/>
      <c r="ES40" s="35"/>
      <c r="ET40" s="35"/>
      <c r="EU40" s="35"/>
      <c r="EV40" s="35"/>
      <c r="EW40" s="35"/>
      <c r="EX40" s="35"/>
      <c r="EY40" s="35"/>
      <c r="EZ40" s="35"/>
      <c r="FA40" s="35"/>
      <c r="FB40" s="35"/>
      <c r="FC40" s="35"/>
      <c r="FD40" s="35"/>
      <c r="FE40" s="35"/>
      <c r="FF40" s="35"/>
      <c r="FG40" s="35"/>
      <c r="FH40" s="35"/>
      <c r="FI40" s="35"/>
      <c r="FJ40" s="35"/>
      <c r="FK40" s="35"/>
      <c r="FL40" s="35"/>
      <c r="FM40" s="35"/>
      <c r="FN40" s="35"/>
      <c r="FO40" s="35"/>
      <c r="FP40" s="35"/>
      <c r="FQ40" s="35"/>
      <c r="FR40" s="35"/>
      <c r="FS40" s="35"/>
      <c r="FT40" s="35"/>
      <c r="FU40" s="35"/>
      <c r="FV40" s="35"/>
      <c r="FW40" s="35"/>
      <c r="FX40" s="35"/>
      <c r="FY40" s="35"/>
      <c r="FZ40" s="35"/>
      <c r="GA40" s="35"/>
      <c r="GB40" s="35"/>
      <c r="GC40" s="35"/>
      <c r="GD40" s="35"/>
      <c r="GE40" s="35"/>
      <c r="GF40" s="35"/>
      <c r="GG40" s="35"/>
      <c r="GH40" s="35"/>
      <c r="GI40" s="35"/>
      <c r="GJ40" s="35"/>
      <c r="GK40" s="35"/>
      <c r="GL40" s="35"/>
      <c r="GM40" s="35"/>
      <c r="GN40" s="35"/>
      <c r="GO40" s="35"/>
      <c r="GP40" s="35"/>
      <c r="GQ40" s="35"/>
      <c r="GR40" s="35"/>
      <c r="GS40" s="35"/>
      <c r="GT40" s="35"/>
      <c r="GU40" s="35"/>
      <c r="GV40" s="35"/>
      <c r="GW40" s="35"/>
      <c r="GX40" s="35"/>
      <c r="GY40" s="35"/>
      <c r="GZ40" s="35"/>
      <c r="HA40" s="35"/>
      <c r="HB40" s="35"/>
      <c r="HC40" s="35"/>
      <c r="HD40" s="35"/>
      <c r="HE40" s="35"/>
      <c r="HF40" s="35"/>
      <c r="HG40" s="35"/>
    </row>
  </sheetData>
  <mergeCells count="14">
    <mergeCell ref="J37:K37"/>
    <mergeCell ref="G5:H6"/>
    <mergeCell ref="I5:I6"/>
    <mergeCell ref="J5:J6"/>
    <mergeCell ref="A1:E3"/>
    <mergeCell ref="A5:B6"/>
    <mergeCell ref="A7:B9"/>
    <mergeCell ref="C5:E6"/>
    <mergeCell ref="C7:E9"/>
    <mergeCell ref="M9:N10"/>
    <mergeCell ref="G7:H9"/>
    <mergeCell ref="I7:I9"/>
    <mergeCell ref="G1:H3"/>
    <mergeCell ref="I1:J3"/>
  </mergeCells>
  <dataValidations count="1">
    <dataValidation type="list" showInputMessage="1" showErrorMessage="1" sqref="M9:N10" xr:uid="{00000000-0002-0000-0000-000000000000}">
      <formula1>$M$13:$M$19</formula1>
    </dataValidation>
  </dataValidations>
  <pageMargins left="0.7" right="0.7" top="0.75" bottom="0.75" header="0.3" footer="0.3"/>
  <pageSetup orientation="portrait" horizontalDpi="0" verticalDpi="0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N373"/>
  <sheetViews>
    <sheetView tabSelected="1" zoomScale="107" workbookViewId="0">
      <pane ySplit="1" topLeftCell="A125" activePane="bottomLeft" state="frozen"/>
      <selection activeCell="D1" sqref="D1"/>
      <selection pane="bottomLeft" activeCell="A140" sqref="A140"/>
    </sheetView>
  </sheetViews>
  <sheetFormatPr baseColWidth="10" defaultRowHeight="16" x14ac:dyDescent="0.2"/>
  <cols>
    <col min="1" max="1" width="20.28515625" style="351" customWidth="1"/>
    <col min="2" max="2" width="21.5703125" style="5" customWidth="1"/>
    <col min="3" max="3" width="20.85546875" style="3" customWidth="1"/>
    <col min="4" max="4" width="22.5703125" style="3" customWidth="1"/>
    <col min="5" max="5" width="22.5703125" style="346" customWidth="1"/>
    <col min="6" max="6" width="28.85546875" style="4" customWidth="1"/>
    <col min="7" max="7" width="17" style="6" customWidth="1"/>
    <col min="8" max="8" width="19" style="6" customWidth="1"/>
    <col min="9" max="9" width="23.7109375" style="7" customWidth="1"/>
    <col min="10" max="10" width="15.5703125" style="1" customWidth="1"/>
    <col min="11" max="11" width="16" style="1" customWidth="1"/>
    <col min="12" max="12" width="23" style="8" customWidth="1"/>
    <col min="13" max="13" width="24.28515625" style="2" customWidth="1"/>
    <col min="14" max="14" width="28.28515625" style="2" customWidth="1"/>
  </cols>
  <sheetData>
    <row r="1" spans="1:14" ht="19" customHeight="1" x14ac:dyDescent="0.2">
      <c r="A1" s="347" t="s">
        <v>17</v>
      </c>
      <c r="B1" s="26" t="s">
        <v>18</v>
      </c>
      <c r="C1" s="27" t="s">
        <v>19</v>
      </c>
      <c r="D1" s="27" t="s">
        <v>20</v>
      </c>
      <c r="E1" s="342" t="s">
        <v>327</v>
      </c>
      <c r="F1" s="28" t="s">
        <v>21</v>
      </c>
      <c r="G1" s="29" t="s">
        <v>22</v>
      </c>
      <c r="H1" s="29" t="s">
        <v>23</v>
      </c>
      <c r="I1" s="30" t="s">
        <v>24</v>
      </c>
      <c r="J1" s="31" t="s">
        <v>25</v>
      </c>
      <c r="K1" s="31" t="s">
        <v>26</v>
      </c>
      <c r="L1" s="32" t="s">
        <v>27</v>
      </c>
      <c r="M1" s="33" t="s">
        <v>28</v>
      </c>
      <c r="N1" s="34" t="s">
        <v>29</v>
      </c>
    </row>
    <row r="2" spans="1:14" s="36" customFormat="1" x14ac:dyDescent="0.2">
      <c r="A2" s="348">
        <v>45345.194444444453</v>
      </c>
      <c r="B2" s="37" t="s">
        <v>30</v>
      </c>
      <c r="C2" s="38">
        <v>3616.6573899999999</v>
      </c>
      <c r="D2" s="38" t="s">
        <v>15</v>
      </c>
      <c r="E2" s="343" cm="1">
        <f t="array" aca="1" ref="E2:E355" ca="1">IFERROR(IF(RECEIVED_COST_BASIS = 0, "", RECEIVED_COST_BASIS/RECEIVED_QUANTITY), "")</f>
        <v>0.54487881695644946</v>
      </c>
      <c r="F2" s="39">
        <v>1970.64</v>
      </c>
      <c r="G2" s="40">
        <v>3616.6573899999999</v>
      </c>
      <c r="H2" s="40" t="s">
        <v>15</v>
      </c>
      <c r="I2" s="41">
        <v>1970.64</v>
      </c>
      <c r="J2" s="42"/>
      <c r="K2" s="42"/>
      <c r="L2" s="43"/>
      <c r="M2" s="44"/>
      <c r="N2" s="45"/>
    </row>
    <row r="3" spans="1:14" s="36" customFormat="1" x14ac:dyDescent="0.2">
      <c r="A3" s="348">
        <v>45345.19027777778</v>
      </c>
      <c r="B3" s="37" t="s">
        <v>31</v>
      </c>
      <c r="C3" s="38">
        <v>3616.6573899999999</v>
      </c>
      <c r="D3" s="38" t="s">
        <v>15</v>
      </c>
      <c r="E3" s="343">
        <f ca="1"/>
        <v>0.54487881695644946</v>
      </c>
      <c r="F3" s="39">
        <v>1970.64</v>
      </c>
      <c r="G3" s="40"/>
      <c r="H3" s="40"/>
      <c r="I3" s="41"/>
      <c r="J3" s="42">
        <v>29.36</v>
      </c>
      <c r="K3" s="42" t="s">
        <v>32</v>
      </c>
      <c r="L3" s="43">
        <v>29.36</v>
      </c>
      <c r="M3" s="44"/>
      <c r="N3" s="45"/>
    </row>
    <row r="4" spans="1:14" x14ac:dyDescent="0.2">
      <c r="A4" s="349">
        <v>45327.971851851849</v>
      </c>
      <c r="B4" s="9" t="s">
        <v>31</v>
      </c>
      <c r="C4" s="10">
        <v>10.87677555</v>
      </c>
      <c r="D4" s="10" t="s">
        <v>16</v>
      </c>
      <c r="E4" s="344">
        <f ca="1"/>
        <v>6.8034869028808814E-2</v>
      </c>
      <c r="F4" s="11">
        <v>0.74</v>
      </c>
      <c r="G4" s="12"/>
      <c r="H4" s="12"/>
      <c r="I4" s="13"/>
      <c r="J4" s="14">
        <v>1.4769900000000001E-3</v>
      </c>
      <c r="K4" s="14" t="s">
        <v>16</v>
      </c>
      <c r="L4" s="15">
        <v>0</v>
      </c>
      <c r="M4" s="16"/>
      <c r="N4" s="17">
        <v>0</v>
      </c>
    </row>
    <row r="5" spans="1:14" x14ac:dyDescent="0.2">
      <c r="A5" s="349">
        <v>45320.480104166672</v>
      </c>
      <c r="B5" s="9" t="s">
        <v>31</v>
      </c>
      <c r="C5" s="10">
        <v>72.684001640000005</v>
      </c>
      <c r="D5" s="10" t="s">
        <v>16</v>
      </c>
      <c r="E5" s="344">
        <f ca="1"/>
        <v>7.333113036895253E-2</v>
      </c>
      <c r="F5" s="11">
        <v>5.33</v>
      </c>
      <c r="G5" s="12"/>
      <c r="H5" s="12"/>
      <c r="I5" s="13"/>
      <c r="J5" s="14">
        <v>1.38708E-3</v>
      </c>
      <c r="K5" s="14" t="s">
        <v>16</v>
      </c>
      <c r="L5" s="15">
        <v>0</v>
      </c>
      <c r="M5" s="16"/>
      <c r="N5" s="17">
        <v>0</v>
      </c>
    </row>
    <row r="6" spans="1:14" x14ac:dyDescent="0.2">
      <c r="A6" s="349">
        <v>45281.831469907411</v>
      </c>
      <c r="B6" s="9" t="s">
        <v>31</v>
      </c>
      <c r="C6" s="10">
        <v>34.129637819999999</v>
      </c>
      <c r="D6" s="10" t="s">
        <v>16</v>
      </c>
      <c r="E6" s="344">
        <f ca="1"/>
        <v>8.7021140267113453E-2</v>
      </c>
      <c r="F6" s="11">
        <v>2.97</v>
      </c>
      <c r="G6" s="12"/>
      <c r="H6" s="12"/>
      <c r="I6" s="13"/>
      <c r="J6" s="14">
        <v>1.12359E-3</v>
      </c>
      <c r="K6" s="14" t="s">
        <v>16</v>
      </c>
      <c r="L6" s="15">
        <v>0</v>
      </c>
      <c r="M6" s="16"/>
      <c r="N6" s="17">
        <v>0</v>
      </c>
    </row>
    <row r="7" spans="1:14" x14ac:dyDescent="0.2">
      <c r="A7" s="349">
        <v>45268.5000462963</v>
      </c>
      <c r="B7" s="9" t="s">
        <v>30</v>
      </c>
      <c r="C7" s="10">
        <v>2.5099999999999998E-4</v>
      </c>
      <c r="D7" s="10" t="s">
        <v>33</v>
      </c>
      <c r="E7" s="344" t="str">
        <f ca="1"/>
        <v/>
      </c>
      <c r="F7" s="11">
        <v>0</v>
      </c>
      <c r="G7" s="12">
        <v>2.5099999999999998E-4</v>
      </c>
      <c r="H7" s="12" t="s">
        <v>33</v>
      </c>
      <c r="I7" s="13">
        <v>0</v>
      </c>
      <c r="J7" s="14"/>
      <c r="K7" s="14"/>
      <c r="L7" s="15"/>
      <c r="M7" s="16">
        <v>0</v>
      </c>
      <c r="N7" s="17"/>
    </row>
    <row r="8" spans="1:14" x14ac:dyDescent="0.2">
      <c r="A8" s="349">
        <v>45266.919039351851</v>
      </c>
      <c r="B8" s="9" t="s">
        <v>31</v>
      </c>
      <c r="C8" s="10">
        <v>48.302981090000003</v>
      </c>
      <c r="D8" s="10" t="s">
        <v>16</v>
      </c>
      <c r="E8" s="344">
        <f ca="1"/>
        <v>6.583444599568089E-2</v>
      </c>
      <c r="F8" s="11">
        <v>3.18</v>
      </c>
      <c r="G8" s="12"/>
      <c r="H8" s="12"/>
      <c r="I8" s="13"/>
      <c r="J8" s="14">
        <v>1.4703800000000001E-3</v>
      </c>
      <c r="K8" s="14" t="s">
        <v>16</v>
      </c>
      <c r="L8" s="15">
        <v>0</v>
      </c>
      <c r="M8" s="16"/>
      <c r="N8" s="17">
        <v>0</v>
      </c>
    </row>
    <row r="9" spans="1:14" x14ac:dyDescent="0.2">
      <c r="A9" s="349">
        <v>45254.750219907408</v>
      </c>
      <c r="B9" s="9" t="s">
        <v>30</v>
      </c>
      <c r="C9" s="10">
        <v>3.4547000000000001E-2</v>
      </c>
      <c r="D9" s="10" t="s">
        <v>33</v>
      </c>
      <c r="E9" s="344" t="str">
        <f ca="1"/>
        <v/>
      </c>
      <c r="F9" s="11">
        <v>0</v>
      </c>
      <c r="G9" s="12">
        <v>3.4547000000000001E-2</v>
      </c>
      <c r="H9" s="12" t="s">
        <v>33</v>
      </c>
      <c r="I9" s="13">
        <v>0</v>
      </c>
      <c r="J9" s="14"/>
      <c r="K9" s="14"/>
      <c r="L9" s="15"/>
      <c r="M9" s="16">
        <v>0</v>
      </c>
      <c r="N9" s="17"/>
    </row>
    <row r="10" spans="1:14" x14ac:dyDescent="0.2">
      <c r="A10" s="349">
        <v>45250.833518518521</v>
      </c>
      <c r="B10" s="9" t="s">
        <v>30</v>
      </c>
      <c r="C10" s="10">
        <v>2.65E-6</v>
      </c>
      <c r="D10" s="10" t="s">
        <v>34</v>
      </c>
      <c r="E10" s="344" t="str">
        <f ca="1"/>
        <v/>
      </c>
      <c r="F10" s="11">
        <v>0</v>
      </c>
      <c r="G10" s="12">
        <v>2.65E-6</v>
      </c>
      <c r="H10" s="12" t="s">
        <v>34</v>
      </c>
      <c r="I10" s="13">
        <v>0</v>
      </c>
      <c r="J10" s="14"/>
      <c r="K10" s="14"/>
      <c r="L10" s="15"/>
      <c r="M10" s="16">
        <v>0</v>
      </c>
      <c r="N10" s="17"/>
    </row>
    <row r="11" spans="1:14" x14ac:dyDescent="0.2">
      <c r="A11" s="349">
        <v>45247.933171296303</v>
      </c>
      <c r="B11" s="9" t="s">
        <v>31</v>
      </c>
      <c r="C11" s="10">
        <v>10.96719865</v>
      </c>
      <c r="D11" s="10" t="s">
        <v>16</v>
      </c>
      <c r="E11" s="344">
        <f ca="1"/>
        <v>6.109126144076911E-2</v>
      </c>
      <c r="F11" s="11">
        <v>0.67</v>
      </c>
      <c r="G11" s="12"/>
      <c r="H11" s="12"/>
      <c r="I11" s="13"/>
      <c r="J11" s="14">
        <v>1.6597999999999999E-3</v>
      </c>
      <c r="K11" s="14" t="s">
        <v>16</v>
      </c>
      <c r="L11" s="15">
        <v>0</v>
      </c>
      <c r="M11" s="16"/>
      <c r="N11" s="17">
        <v>0</v>
      </c>
    </row>
    <row r="12" spans="1:14" x14ac:dyDescent="0.2">
      <c r="A12" s="349">
        <v>45246.916747685187</v>
      </c>
      <c r="B12" s="9" t="s">
        <v>30</v>
      </c>
      <c r="C12" s="10">
        <v>1.45E-4</v>
      </c>
      <c r="D12" s="10" t="s">
        <v>35</v>
      </c>
      <c r="E12" s="344" t="str">
        <f ca="1"/>
        <v/>
      </c>
      <c r="F12" s="11">
        <v>0</v>
      </c>
      <c r="G12" s="12">
        <v>1.45E-4</v>
      </c>
      <c r="H12" s="12" t="s">
        <v>35</v>
      </c>
      <c r="I12" s="13">
        <v>0</v>
      </c>
      <c r="J12" s="14"/>
      <c r="K12" s="14"/>
      <c r="L12" s="15"/>
      <c r="M12" s="16">
        <v>0</v>
      </c>
      <c r="N12" s="17"/>
    </row>
    <row r="13" spans="1:14" x14ac:dyDescent="0.2">
      <c r="A13" s="349">
        <v>45243.922037037039</v>
      </c>
      <c r="B13" s="9" t="s">
        <v>31</v>
      </c>
      <c r="C13" s="10">
        <v>55.782606919999999</v>
      </c>
      <c r="D13" s="10" t="s">
        <v>16</v>
      </c>
      <c r="E13" s="344">
        <f ca="1"/>
        <v>6.2205769711990364E-2</v>
      </c>
      <c r="F13" s="11">
        <v>3.47</v>
      </c>
      <c r="G13" s="12"/>
      <c r="H13" s="12"/>
      <c r="I13" s="13"/>
      <c r="J13" s="14">
        <v>1.68936E-3</v>
      </c>
      <c r="K13" s="14" t="s">
        <v>16</v>
      </c>
      <c r="L13" s="15">
        <v>0</v>
      </c>
      <c r="M13" s="16"/>
      <c r="N13" s="17">
        <v>0</v>
      </c>
    </row>
    <row r="14" spans="1:14" x14ac:dyDescent="0.2">
      <c r="A14" s="349">
        <v>45236.666921296302</v>
      </c>
      <c r="B14" s="9" t="s">
        <v>30</v>
      </c>
      <c r="C14" s="10">
        <v>1.1867399999999999E-3</v>
      </c>
      <c r="D14" s="10" t="s">
        <v>34</v>
      </c>
      <c r="E14" s="344" t="str">
        <f ca="1"/>
        <v/>
      </c>
      <c r="F14" s="11">
        <v>0</v>
      </c>
      <c r="G14" s="12">
        <v>1.1867399999999999E-3</v>
      </c>
      <c r="H14" s="12" t="s">
        <v>34</v>
      </c>
      <c r="I14" s="13">
        <v>0</v>
      </c>
      <c r="J14" s="14"/>
      <c r="K14" s="14"/>
      <c r="L14" s="15"/>
      <c r="M14" s="16">
        <v>0</v>
      </c>
      <c r="N14" s="17"/>
    </row>
    <row r="15" spans="1:14" x14ac:dyDescent="0.2">
      <c r="A15" s="349">
        <v>45234.106111111112</v>
      </c>
      <c r="B15" s="9" t="s">
        <v>30</v>
      </c>
      <c r="C15" s="10">
        <v>0.19414200000000001</v>
      </c>
      <c r="D15" s="10" t="s">
        <v>35</v>
      </c>
      <c r="E15" s="344" t="str">
        <f ca="1"/>
        <v/>
      </c>
      <c r="F15" s="11">
        <v>0</v>
      </c>
      <c r="G15" s="12">
        <v>0.19414200000000001</v>
      </c>
      <c r="H15" s="12" t="s">
        <v>35</v>
      </c>
      <c r="I15" s="13">
        <v>0</v>
      </c>
      <c r="J15" s="14"/>
      <c r="K15" s="14"/>
      <c r="L15" s="15"/>
      <c r="M15" s="16">
        <v>0</v>
      </c>
      <c r="N15" s="17"/>
    </row>
    <row r="16" spans="1:14" x14ac:dyDescent="0.2">
      <c r="A16" s="349">
        <v>45230.472326388888</v>
      </c>
      <c r="B16" s="9" t="s">
        <v>36</v>
      </c>
      <c r="C16" s="10">
        <v>0.15995400000000001</v>
      </c>
      <c r="D16" s="10" t="s">
        <v>37</v>
      </c>
      <c r="E16" s="344">
        <f ca="1"/>
        <v>1.0002875826800204</v>
      </c>
      <c r="F16" s="11">
        <v>0.16</v>
      </c>
      <c r="G16" s="12">
        <v>2.3085714300000002</v>
      </c>
      <c r="H16" s="12" t="s">
        <v>38</v>
      </c>
      <c r="I16" s="13">
        <v>0.16</v>
      </c>
      <c r="J16" s="14"/>
      <c r="K16" s="14"/>
      <c r="L16" s="15"/>
      <c r="M16" s="16">
        <v>0</v>
      </c>
      <c r="N16" s="17"/>
    </row>
    <row r="17" spans="1:14" x14ac:dyDescent="0.2">
      <c r="A17" s="349">
        <v>45224.691180555557</v>
      </c>
      <c r="B17" s="9" t="s">
        <v>31</v>
      </c>
      <c r="C17" s="10">
        <v>15.683454920000001</v>
      </c>
      <c r="D17" s="10" t="s">
        <v>16</v>
      </c>
      <c r="E17" s="344">
        <f ca="1"/>
        <v>5.1646783449931323E-2</v>
      </c>
      <c r="F17" s="11">
        <v>0.81</v>
      </c>
      <c r="G17" s="12"/>
      <c r="H17" s="12"/>
      <c r="I17" s="13"/>
      <c r="J17" s="14">
        <v>1.9652900000000002E-3</v>
      </c>
      <c r="K17" s="14" t="s">
        <v>16</v>
      </c>
      <c r="L17" s="15">
        <v>0</v>
      </c>
      <c r="M17" s="16"/>
      <c r="N17" s="17">
        <v>0</v>
      </c>
    </row>
    <row r="18" spans="1:14" x14ac:dyDescent="0.2">
      <c r="A18" s="349">
        <v>45219.758831018517</v>
      </c>
      <c r="B18" s="9" t="s">
        <v>31</v>
      </c>
      <c r="C18" s="10">
        <v>297.4689965</v>
      </c>
      <c r="D18" s="10" t="s">
        <v>16</v>
      </c>
      <c r="E18" s="344">
        <f ca="1"/>
        <v>4.5819901100180707E-2</v>
      </c>
      <c r="F18" s="11">
        <v>13.63</v>
      </c>
      <c r="G18" s="12"/>
      <c r="H18" s="12"/>
      <c r="I18" s="13"/>
      <c r="J18" s="14">
        <v>2.1617400000000001E-3</v>
      </c>
      <c r="K18" s="14" t="s">
        <v>16</v>
      </c>
      <c r="L18" s="15">
        <v>0</v>
      </c>
      <c r="M18" s="16"/>
      <c r="N18" s="17">
        <v>0</v>
      </c>
    </row>
    <row r="19" spans="1:14" x14ac:dyDescent="0.2">
      <c r="A19" s="349">
        <v>45146.037858796299</v>
      </c>
      <c r="B19" s="9" t="s">
        <v>30</v>
      </c>
      <c r="C19" s="10">
        <v>43801.362979999998</v>
      </c>
      <c r="D19" s="10" t="s">
        <v>16</v>
      </c>
      <c r="E19" s="344" t="str">
        <f ca="1"/>
        <v/>
      </c>
      <c r="F19" s="11">
        <v>0</v>
      </c>
      <c r="G19" s="12">
        <v>43801.36297917</v>
      </c>
      <c r="H19" s="12" t="s">
        <v>16</v>
      </c>
      <c r="I19" s="13">
        <v>0</v>
      </c>
      <c r="J19" s="14">
        <v>1.80624E-3</v>
      </c>
      <c r="K19" s="14" t="s">
        <v>16</v>
      </c>
      <c r="L19" s="15">
        <v>0</v>
      </c>
      <c r="M19" s="16">
        <v>0</v>
      </c>
      <c r="N19" s="17">
        <v>0</v>
      </c>
    </row>
    <row r="20" spans="1:14" x14ac:dyDescent="0.2">
      <c r="A20" s="349">
        <v>45146.037858796299</v>
      </c>
      <c r="B20" s="9" t="s">
        <v>30</v>
      </c>
      <c r="C20" s="10"/>
      <c r="D20" s="10"/>
      <c r="E20" s="344" t="str">
        <f ca="1"/>
        <v/>
      </c>
      <c r="F20" s="11"/>
      <c r="G20" s="12"/>
      <c r="H20" s="12"/>
      <c r="I20" s="13"/>
      <c r="J20" s="14">
        <v>1</v>
      </c>
      <c r="K20" s="14" t="s">
        <v>16</v>
      </c>
      <c r="L20" s="15">
        <v>0.06</v>
      </c>
      <c r="M20" s="16"/>
      <c r="N20" s="17">
        <v>0</v>
      </c>
    </row>
    <row r="21" spans="1:14" x14ac:dyDescent="0.2">
      <c r="A21" s="349">
        <v>45146.036030092589</v>
      </c>
      <c r="B21" s="9" t="s">
        <v>31</v>
      </c>
      <c r="C21" s="10">
        <v>470.261323</v>
      </c>
      <c r="D21" s="10" t="s">
        <v>16</v>
      </c>
      <c r="E21" s="344">
        <f ca="1"/>
        <v>5.6457970710042854E-2</v>
      </c>
      <c r="F21" s="11">
        <v>26.55</v>
      </c>
      <c r="G21" s="12"/>
      <c r="H21" s="12"/>
      <c r="I21" s="13"/>
      <c r="J21" s="14">
        <v>1.80624E-3</v>
      </c>
      <c r="K21" s="14" t="s">
        <v>16</v>
      </c>
      <c r="L21" s="15">
        <v>0</v>
      </c>
      <c r="M21" s="16"/>
      <c r="N21" s="17">
        <v>0</v>
      </c>
    </row>
    <row r="22" spans="1:14" x14ac:dyDescent="0.2">
      <c r="A22" s="349">
        <v>45146.03597222222</v>
      </c>
      <c r="B22" s="9" t="s">
        <v>39</v>
      </c>
      <c r="C22" s="10"/>
      <c r="D22" s="10" t="s">
        <v>32</v>
      </c>
      <c r="E22" s="344" t="str">
        <f ca="1"/>
        <v/>
      </c>
      <c r="F22" s="11"/>
      <c r="G22" s="12">
        <v>84.666836000000004</v>
      </c>
      <c r="H22" s="12" t="s">
        <v>16</v>
      </c>
      <c r="I22" s="13">
        <v>4.9800000000000004</v>
      </c>
      <c r="J22" s="14">
        <v>1</v>
      </c>
      <c r="K22" s="14" t="s">
        <v>16</v>
      </c>
      <c r="L22" s="15">
        <v>0.06</v>
      </c>
      <c r="M22" s="16">
        <v>0.01</v>
      </c>
      <c r="N22" s="17">
        <v>0</v>
      </c>
    </row>
    <row r="23" spans="1:14" x14ac:dyDescent="0.2">
      <c r="A23" s="349">
        <v>45146.032858796287</v>
      </c>
      <c r="B23" s="9" t="s">
        <v>36</v>
      </c>
      <c r="C23" s="10">
        <v>43834.383661319996</v>
      </c>
      <c r="D23" s="10" t="s">
        <v>16</v>
      </c>
      <c r="E23" s="344">
        <f ca="1"/>
        <v>5.8489929271262703E-2</v>
      </c>
      <c r="F23" s="11">
        <v>2563.87</v>
      </c>
      <c r="G23" s="12">
        <v>1.44312946</v>
      </c>
      <c r="H23" s="12" t="s">
        <v>40</v>
      </c>
      <c r="I23" s="13">
        <v>2055.84</v>
      </c>
      <c r="J23" s="14"/>
      <c r="K23" s="14"/>
      <c r="L23" s="15"/>
      <c r="M23" s="16">
        <v>508.03</v>
      </c>
      <c r="N23" s="17"/>
    </row>
    <row r="24" spans="1:14" x14ac:dyDescent="0.2">
      <c r="A24" s="349">
        <v>45146.030590277784</v>
      </c>
      <c r="B24" s="9" t="s">
        <v>31</v>
      </c>
      <c r="C24" s="10">
        <v>53.646153849999997</v>
      </c>
      <c r="D24" s="10" t="s">
        <v>16</v>
      </c>
      <c r="E24" s="344">
        <f ca="1"/>
        <v>5.9090909086672576E-2</v>
      </c>
      <c r="F24" s="11">
        <v>3.17</v>
      </c>
      <c r="G24" s="12">
        <v>3.17</v>
      </c>
      <c r="H24" s="12" t="s">
        <v>32</v>
      </c>
      <c r="I24" s="13"/>
      <c r="J24" s="14"/>
      <c r="K24" s="14"/>
      <c r="L24" s="15"/>
      <c r="M24" s="16"/>
      <c r="N24" s="17"/>
    </row>
    <row r="25" spans="1:14" x14ac:dyDescent="0.2">
      <c r="A25" s="349">
        <v>45146.027060185188</v>
      </c>
      <c r="B25" s="9" t="s">
        <v>30</v>
      </c>
      <c r="C25" s="10">
        <v>1.44312946</v>
      </c>
      <c r="D25" s="10" t="s">
        <v>40</v>
      </c>
      <c r="E25" s="344" t="str">
        <f ca="1"/>
        <v/>
      </c>
      <c r="F25" s="11">
        <v>0</v>
      </c>
      <c r="G25" s="12">
        <v>1.44312946</v>
      </c>
      <c r="H25" s="12" t="s">
        <v>40</v>
      </c>
      <c r="I25" s="13">
        <v>0</v>
      </c>
      <c r="J25" s="14">
        <v>3.0227999999999999E-4</v>
      </c>
      <c r="K25" s="14" t="s">
        <v>40</v>
      </c>
      <c r="L25" s="15">
        <v>0.36</v>
      </c>
      <c r="M25" s="16">
        <v>0</v>
      </c>
      <c r="N25" s="17">
        <v>0.2</v>
      </c>
    </row>
    <row r="26" spans="1:14" x14ac:dyDescent="0.2">
      <c r="A26" s="349">
        <v>45141.109305555547</v>
      </c>
      <c r="B26" s="9" t="s">
        <v>39</v>
      </c>
      <c r="C26" s="10">
        <v>3.17</v>
      </c>
      <c r="D26" s="10" t="s">
        <v>32</v>
      </c>
      <c r="E26" s="344" t="str">
        <f ca="1"/>
        <v/>
      </c>
      <c r="F26" s="11"/>
      <c r="G26" s="12">
        <v>1.1001E-4</v>
      </c>
      <c r="H26" s="12" t="s">
        <v>41</v>
      </c>
      <c r="I26" s="13">
        <v>3.24</v>
      </c>
      <c r="J26" s="14"/>
      <c r="K26" s="14"/>
      <c r="L26" s="15"/>
      <c r="M26" s="16">
        <v>-7.0000000000000007E-2</v>
      </c>
      <c r="N26" s="17"/>
    </row>
    <row r="27" spans="1:14" x14ac:dyDescent="0.2">
      <c r="A27" s="349">
        <v>45140.752222222232</v>
      </c>
      <c r="B27" s="9" t="s">
        <v>39</v>
      </c>
      <c r="C27" s="10"/>
      <c r="D27" s="10" t="s">
        <v>32</v>
      </c>
      <c r="E27" s="344" t="str">
        <f ca="1"/>
        <v/>
      </c>
      <c r="F27" s="11"/>
      <c r="G27" s="12">
        <v>3.2610999999999998E-3</v>
      </c>
      <c r="H27" s="12" t="s">
        <v>41</v>
      </c>
      <c r="I27" s="13">
        <v>95.98</v>
      </c>
      <c r="J27" s="14">
        <v>2.669E-5</v>
      </c>
      <c r="K27" s="14" t="s">
        <v>41</v>
      </c>
      <c r="L27" s="15">
        <v>0.79</v>
      </c>
      <c r="M27" s="16">
        <v>-1.02</v>
      </c>
      <c r="N27" s="17">
        <v>0</v>
      </c>
    </row>
    <row r="28" spans="1:14" x14ac:dyDescent="0.2">
      <c r="A28" s="349">
        <v>45140.749502314808</v>
      </c>
      <c r="B28" s="9" t="s">
        <v>31</v>
      </c>
      <c r="C28" s="10">
        <v>3.3977999999999999E-3</v>
      </c>
      <c r="D28" s="10" t="s">
        <v>41</v>
      </c>
      <c r="E28" s="344">
        <f ca="1"/>
        <v>29430.80816999235</v>
      </c>
      <c r="F28" s="11">
        <v>100</v>
      </c>
      <c r="G28" s="12">
        <v>100</v>
      </c>
      <c r="H28" s="12" t="s">
        <v>32</v>
      </c>
      <c r="I28" s="13"/>
      <c r="J28" s="14"/>
      <c r="K28" s="14"/>
      <c r="L28" s="15"/>
      <c r="M28" s="16"/>
      <c r="N28" s="17"/>
    </row>
    <row r="29" spans="1:14" x14ac:dyDescent="0.2">
      <c r="A29" s="349">
        <v>45131.465405092589</v>
      </c>
      <c r="B29" s="9" t="s">
        <v>30</v>
      </c>
      <c r="C29" s="10">
        <v>1418.7446259999999</v>
      </c>
      <c r="D29" s="10" t="s">
        <v>15</v>
      </c>
      <c r="E29" s="344" t="str">
        <f ca="1"/>
        <v/>
      </c>
      <c r="F29" s="11">
        <v>0</v>
      </c>
      <c r="G29" s="12">
        <v>1418.7446259999999</v>
      </c>
      <c r="H29" s="12" t="s">
        <v>15</v>
      </c>
      <c r="I29" s="13">
        <v>0</v>
      </c>
      <c r="J29" s="14"/>
      <c r="K29" s="14"/>
      <c r="L29" s="15"/>
      <c r="M29" s="16">
        <v>0</v>
      </c>
      <c r="N29" s="17"/>
    </row>
    <row r="30" spans="1:14" x14ac:dyDescent="0.2">
      <c r="A30" s="349">
        <v>45131.44159722222</v>
      </c>
      <c r="B30" s="9" t="s">
        <v>31</v>
      </c>
      <c r="C30" s="10">
        <v>1418.7446259999999</v>
      </c>
      <c r="D30" s="10" t="s">
        <v>15</v>
      </c>
      <c r="E30" s="344">
        <f ca="1"/>
        <v>0.70484848483225204</v>
      </c>
      <c r="F30" s="11">
        <v>1000</v>
      </c>
      <c r="G30" s="12">
        <v>1000</v>
      </c>
      <c r="H30" s="12" t="s">
        <v>32</v>
      </c>
      <c r="I30" s="13"/>
      <c r="J30" s="14"/>
      <c r="K30" s="14"/>
      <c r="L30" s="15"/>
      <c r="M30" s="16"/>
      <c r="N30" s="17"/>
    </row>
    <row r="31" spans="1:14" x14ac:dyDescent="0.2">
      <c r="A31" s="349">
        <v>45124.809259259258</v>
      </c>
      <c r="B31" s="9" t="s">
        <v>30</v>
      </c>
      <c r="C31" s="10">
        <v>922.76831300000003</v>
      </c>
      <c r="D31" s="10" t="s">
        <v>15</v>
      </c>
      <c r="E31" s="344" t="str">
        <f ca="1"/>
        <v/>
      </c>
      <c r="F31" s="11">
        <v>0</v>
      </c>
      <c r="G31" s="12">
        <v>922.76831300000003</v>
      </c>
      <c r="H31" s="12" t="s">
        <v>15</v>
      </c>
      <c r="I31" s="13">
        <v>0</v>
      </c>
      <c r="J31" s="14"/>
      <c r="K31" s="14"/>
      <c r="L31" s="15"/>
      <c r="M31" s="16">
        <v>0</v>
      </c>
      <c r="N31" s="17"/>
    </row>
    <row r="32" spans="1:14" x14ac:dyDescent="0.2">
      <c r="A32" s="349">
        <v>45124.807025462957</v>
      </c>
      <c r="B32" s="9" t="s">
        <v>36</v>
      </c>
      <c r="C32" s="10">
        <v>922.76831300000003</v>
      </c>
      <c r="D32" s="10" t="s">
        <v>15</v>
      </c>
      <c r="E32" s="344">
        <f ca="1"/>
        <v>0.73129949359238566</v>
      </c>
      <c r="F32" s="11">
        <v>674.82</v>
      </c>
      <c r="G32" s="12">
        <v>2236.4582850000002</v>
      </c>
      <c r="H32" s="12" t="s">
        <v>35</v>
      </c>
      <c r="I32" s="13">
        <v>784.86</v>
      </c>
      <c r="J32" s="14"/>
      <c r="K32" s="14"/>
      <c r="L32" s="15"/>
      <c r="M32" s="16">
        <v>-110.04</v>
      </c>
      <c r="N32" s="17"/>
    </row>
    <row r="33" spans="1:14" x14ac:dyDescent="0.2">
      <c r="A33" s="349">
        <v>45124.787141203713</v>
      </c>
      <c r="B33" s="9" t="s">
        <v>31</v>
      </c>
      <c r="C33" s="10">
        <v>32.43394</v>
      </c>
      <c r="D33" s="10" t="s">
        <v>35</v>
      </c>
      <c r="E33" s="344">
        <f ca="1"/>
        <v>0.3070857256318536</v>
      </c>
      <c r="F33" s="11">
        <v>9.9600000000000009</v>
      </c>
      <c r="G33" s="12"/>
      <c r="H33" s="12"/>
      <c r="I33" s="13"/>
      <c r="J33" s="14"/>
      <c r="K33" s="14"/>
      <c r="L33" s="15"/>
      <c r="M33" s="16"/>
      <c r="N33" s="17"/>
    </row>
    <row r="34" spans="1:14" x14ac:dyDescent="0.2">
      <c r="A34" s="349">
        <v>45124.787048611113</v>
      </c>
      <c r="B34" s="9" t="s">
        <v>30</v>
      </c>
      <c r="C34" s="10">
        <v>2204.0243150000001</v>
      </c>
      <c r="D34" s="10" t="s">
        <v>35</v>
      </c>
      <c r="E34" s="344" t="str">
        <f ca="1"/>
        <v/>
      </c>
      <c r="F34" s="11">
        <v>0</v>
      </c>
      <c r="G34" s="12">
        <v>2236.622304</v>
      </c>
      <c r="H34" s="12" t="s">
        <v>35</v>
      </c>
      <c r="I34" s="13">
        <v>0</v>
      </c>
      <c r="J34" s="14">
        <v>0.166909</v>
      </c>
      <c r="K34" s="14" t="s">
        <v>35</v>
      </c>
      <c r="L34" s="15">
        <v>0.06</v>
      </c>
      <c r="M34" s="16">
        <v>0</v>
      </c>
      <c r="N34" s="17">
        <v>0</v>
      </c>
    </row>
    <row r="35" spans="1:14" x14ac:dyDescent="0.2">
      <c r="A35" s="349">
        <v>45124.783113425918</v>
      </c>
      <c r="B35" s="9" t="s">
        <v>30</v>
      </c>
      <c r="C35" s="10">
        <v>919.04330900000002</v>
      </c>
      <c r="D35" s="10" t="s">
        <v>15</v>
      </c>
      <c r="E35" s="344" t="str">
        <f ca="1"/>
        <v/>
      </c>
      <c r="F35" s="11">
        <v>0</v>
      </c>
      <c r="G35" s="12">
        <v>919.04330900000002</v>
      </c>
      <c r="H35" s="12" t="s">
        <v>15</v>
      </c>
      <c r="I35" s="13">
        <v>0</v>
      </c>
      <c r="J35" s="14"/>
      <c r="K35" s="14"/>
      <c r="L35" s="15"/>
      <c r="M35" s="16">
        <v>0</v>
      </c>
      <c r="N35" s="17"/>
    </row>
    <row r="36" spans="1:14" x14ac:dyDescent="0.2">
      <c r="A36" s="349">
        <v>45124.777662037042</v>
      </c>
      <c r="B36" s="9" t="s">
        <v>30</v>
      </c>
      <c r="C36" s="10">
        <v>22</v>
      </c>
      <c r="D36" s="10" t="s">
        <v>15</v>
      </c>
      <c r="E36" s="344" t="str">
        <f ca="1"/>
        <v/>
      </c>
      <c r="F36" s="11">
        <v>0</v>
      </c>
      <c r="G36" s="12">
        <v>22</v>
      </c>
      <c r="H36" s="12" t="s">
        <v>15</v>
      </c>
      <c r="I36" s="13">
        <v>0</v>
      </c>
      <c r="J36" s="14"/>
      <c r="K36" s="14"/>
      <c r="L36" s="15"/>
      <c r="M36" s="16">
        <v>0</v>
      </c>
      <c r="N36" s="17"/>
    </row>
    <row r="37" spans="1:14" x14ac:dyDescent="0.2">
      <c r="A37" s="349">
        <v>45124.775393518517</v>
      </c>
      <c r="B37" s="9" t="s">
        <v>36</v>
      </c>
      <c r="C37" s="10">
        <v>941.04330900000002</v>
      </c>
      <c r="D37" s="10" t="s">
        <v>15</v>
      </c>
      <c r="E37" s="344">
        <f ca="1"/>
        <v>0.7241962123126896</v>
      </c>
      <c r="F37" s="11">
        <v>681.5</v>
      </c>
      <c r="G37" s="12">
        <v>75.606707</v>
      </c>
      <c r="H37" s="12" t="s">
        <v>33</v>
      </c>
      <c r="I37" s="13">
        <v>746.63</v>
      </c>
      <c r="J37" s="14"/>
      <c r="K37" s="14"/>
      <c r="L37" s="15"/>
      <c r="M37" s="16">
        <v>-65.13</v>
      </c>
      <c r="N37" s="17"/>
    </row>
    <row r="38" spans="1:14" x14ac:dyDescent="0.2">
      <c r="A38" s="349">
        <v>45124.773773148147</v>
      </c>
      <c r="B38" s="9" t="s">
        <v>30</v>
      </c>
      <c r="C38" s="10">
        <v>74.602784999999997</v>
      </c>
      <c r="D38" s="10" t="s">
        <v>33</v>
      </c>
      <c r="E38" s="344" t="str">
        <f ca="1"/>
        <v/>
      </c>
      <c r="F38" s="11">
        <v>0</v>
      </c>
      <c r="G38" s="12">
        <v>74.604799999999997</v>
      </c>
      <c r="H38" s="12" t="s">
        <v>33</v>
      </c>
      <c r="I38" s="13">
        <v>0</v>
      </c>
      <c r="J38" s="14">
        <v>2.065E-3</v>
      </c>
      <c r="K38" s="14" t="s">
        <v>33</v>
      </c>
      <c r="L38" s="15">
        <v>0</v>
      </c>
      <c r="M38" s="16">
        <v>0</v>
      </c>
      <c r="N38" s="17">
        <v>0</v>
      </c>
    </row>
    <row r="39" spans="1:14" x14ac:dyDescent="0.2">
      <c r="A39" s="349">
        <v>45124.773773148147</v>
      </c>
      <c r="B39" s="9" t="s">
        <v>30</v>
      </c>
      <c r="C39" s="10"/>
      <c r="D39" s="10"/>
      <c r="E39" s="344" t="str">
        <f ca="1"/>
        <v/>
      </c>
      <c r="F39" s="11"/>
      <c r="G39" s="12"/>
      <c r="H39" s="12"/>
      <c r="I39" s="13"/>
      <c r="J39" s="14">
        <v>2.065E-3</v>
      </c>
      <c r="K39" s="14" t="s">
        <v>33</v>
      </c>
      <c r="L39" s="15">
        <v>0.02</v>
      </c>
      <c r="M39" s="16"/>
      <c r="N39" s="17">
        <v>0</v>
      </c>
    </row>
    <row r="40" spans="1:14" x14ac:dyDescent="0.2">
      <c r="A40" s="349">
        <v>45124.772534722222</v>
      </c>
      <c r="B40" s="9" t="s">
        <v>30</v>
      </c>
      <c r="C40" s="10">
        <v>1</v>
      </c>
      <c r="D40" s="10" t="s">
        <v>33</v>
      </c>
      <c r="E40" s="344" t="str">
        <f ca="1"/>
        <v/>
      </c>
      <c r="F40" s="11">
        <v>0</v>
      </c>
      <c r="G40" s="12">
        <v>1.0025999999999999</v>
      </c>
      <c r="H40" s="12" t="s">
        <v>33</v>
      </c>
      <c r="I40" s="13">
        <v>0</v>
      </c>
      <c r="J40" s="14">
        <v>2.6050000000000001E-3</v>
      </c>
      <c r="K40" s="14" t="s">
        <v>33</v>
      </c>
      <c r="L40" s="15">
        <v>0</v>
      </c>
      <c r="M40" s="16">
        <v>0</v>
      </c>
      <c r="N40" s="17">
        <v>0</v>
      </c>
    </row>
    <row r="41" spans="1:14" x14ac:dyDescent="0.2">
      <c r="A41" s="349">
        <v>45124.772534722222</v>
      </c>
      <c r="B41" s="9" t="s">
        <v>30</v>
      </c>
      <c r="C41" s="10"/>
      <c r="D41" s="10"/>
      <c r="E41" s="344" t="str">
        <f ca="1"/>
        <v/>
      </c>
      <c r="F41" s="11"/>
      <c r="G41" s="12"/>
      <c r="H41" s="12"/>
      <c r="I41" s="13"/>
      <c r="J41" s="14">
        <v>2.6050000000000001E-3</v>
      </c>
      <c r="K41" s="14" t="s">
        <v>33</v>
      </c>
      <c r="L41" s="15">
        <v>0.03</v>
      </c>
      <c r="M41" s="16"/>
      <c r="N41" s="17">
        <v>0</v>
      </c>
    </row>
    <row r="42" spans="1:14" x14ac:dyDescent="0.2">
      <c r="A42" s="349">
        <v>45124.756597222222</v>
      </c>
      <c r="B42" s="9" t="s">
        <v>31</v>
      </c>
      <c r="C42" s="10">
        <v>971.85601499999996</v>
      </c>
      <c r="D42" s="10" t="s">
        <v>15</v>
      </c>
      <c r="E42" s="344">
        <f ca="1"/>
        <v>0.74696250143597664</v>
      </c>
      <c r="F42" s="11">
        <v>725.94</v>
      </c>
      <c r="G42" s="12"/>
      <c r="H42" s="12"/>
      <c r="I42" s="13"/>
      <c r="J42" s="14"/>
      <c r="K42" s="14"/>
      <c r="L42" s="15"/>
      <c r="M42" s="16"/>
      <c r="N42" s="17"/>
    </row>
    <row r="43" spans="1:14" x14ac:dyDescent="0.2">
      <c r="A43" s="349">
        <v>45124.755266203712</v>
      </c>
      <c r="B43" s="9" t="s">
        <v>39</v>
      </c>
      <c r="C43" s="10">
        <v>941.2</v>
      </c>
      <c r="D43" s="10" t="s">
        <v>32</v>
      </c>
      <c r="E43" s="344" t="str">
        <f ca="1"/>
        <v/>
      </c>
      <c r="F43" s="11"/>
      <c r="G43" s="12">
        <v>105.2927045</v>
      </c>
      <c r="H43" s="12" t="s">
        <v>42</v>
      </c>
      <c r="I43" s="13">
        <v>941.2</v>
      </c>
      <c r="J43" s="14">
        <v>1.3099100000000001E-3</v>
      </c>
      <c r="K43" s="14" t="s">
        <v>40</v>
      </c>
      <c r="L43" s="15">
        <v>3.53</v>
      </c>
      <c r="M43" s="16">
        <v>-247.1</v>
      </c>
      <c r="N43" s="17">
        <v>-1.01</v>
      </c>
    </row>
    <row r="44" spans="1:14" x14ac:dyDescent="0.2">
      <c r="A44" s="349">
        <v>45120.656944444447</v>
      </c>
      <c r="B44" s="9" t="s">
        <v>30</v>
      </c>
      <c r="C44" s="10">
        <v>41.127263999999997</v>
      </c>
      <c r="D44" s="10" t="s">
        <v>33</v>
      </c>
      <c r="E44" s="344" t="str">
        <f ca="1"/>
        <v/>
      </c>
      <c r="F44" s="11">
        <v>0</v>
      </c>
      <c r="G44" s="12">
        <v>41.127263999999997</v>
      </c>
      <c r="H44" s="12" t="s">
        <v>33</v>
      </c>
      <c r="I44" s="13">
        <v>0</v>
      </c>
      <c r="J44" s="14"/>
      <c r="K44" s="14"/>
      <c r="L44" s="15"/>
      <c r="M44" s="16">
        <v>0</v>
      </c>
      <c r="N44" s="17"/>
    </row>
    <row r="45" spans="1:14" x14ac:dyDescent="0.2">
      <c r="A45" s="349">
        <v>45120.615624999999</v>
      </c>
      <c r="B45" s="9" t="s">
        <v>36</v>
      </c>
      <c r="C45" s="10">
        <v>41.127263999999997</v>
      </c>
      <c r="D45" s="10" t="s">
        <v>33</v>
      </c>
      <c r="E45" s="344">
        <f ca="1"/>
        <v>9.0715978578103318</v>
      </c>
      <c r="F45" s="11">
        <v>373.09</v>
      </c>
      <c r="G45" s="12">
        <v>10480.330599770001</v>
      </c>
      <c r="H45" s="12" t="s">
        <v>43</v>
      </c>
      <c r="I45" s="13">
        <v>496.16</v>
      </c>
      <c r="J45" s="14">
        <v>28.193308819999999</v>
      </c>
      <c r="K45" s="14" t="s">
        <v>43</v>
      </c>
      <c r="L45" s="15">
        <v>1.33</v>
      </c>
      <c r="M45" s="16">
        <v>-124.07</v>
      </c>
      <c r="N45" s="17">
        <v>-0.33</v>
      </c>
    </row>
    <row r="46" spans="1:14" x14ac:dyDescent="0.2">
      <c r="A46" s="349">
        <v>45116.625775462962</v>
      </c>
      <c r="B46" s="9" t="s">
        <v>39</v>
      </c>
      <c r="C46" s="10"/>
      <c r="D46" s="10" t="s">
        <v>32</v>
      </c>
      <c r="E46" s="344" t="str">
        <f ca="1"/>
        <v/>
      </c>
      <c r="F46" s="11"/>
      <c r="G46" s="12">
        <v>22.76346173</v>
      </c>
      <c r="H46" s="12" t="s">
        <v>43</v>
      </c>
      <c r="I46" s="13">
        <v>1.36</v>
      </c>
      <c r="J46" s="14">
        <v>30.233383910000001</v>
      </c>
      <c r="K46" s="14" t="s">
        <v>43</v>
      </c>
      <c r="L46" s="15">
        <v>1.43</v>
      </c>
      <c r="M46" s="16">
        <v>-1.36</v>
      </c>
      <c r="N46" s="17">
        <v>-0.28000000000000003</v>
      </c>
    </row>
    <row r="47" spans="1:14" x14ac:dyDescent="0.2">
      <c r="A47" s="349">
        <v>45116.610625000001</v>
      </c>
      <c r="B47" s="9" t="s">
        <v>30</v>
      </c>
      <c r="C47" s="10">
        <v>0.16642000000000001</v>
      </c>
      <c r="D47" s="10" t="s">
        <v>33</v>
      </c>
      <c r="E47" s="344" t="str">
        <f ca="1"/>
        <v/>
      </c>
      <c r="F47" s="11">
        <v>0</v>
      </c>
      <c r="G47" s="12">
        <v>0.16642000000000001</v>
      </c>
      <c r="H47" s="12" t="s">
        <v>33</v>
      </c>
      <c r="I47" s="13">
        <v>0</v>
      </c>
      <c r="J47" s="14">
        <v>5.0000000000000001E-3</v>
      </c>
      <c r="K47" s="14" t="s">
        <v>33</v>
      </c>
      <c r="L47" s="15">
        <v>0.05</v>
      </c>
      <c r="M47" s="16">
        <v>0</v>
      </c>
      <c r="N47" s="17">
        <v>-0.01</v>
      </c>
    </row>
    <row r="48" spans="1:14" x14ac:dyDescent="0.2">
      <c r="A48" s="349">
        <v>45116.609988425917</v>
      </c>
      <c r="B48" s="9" t="s">
        <v>30</v>
      </c>
      <c r="C48" s="10">
        <v>34.313771000000003</v>
      </c>
      <c r="D48" s="10" t="s">
        <v>33</v>
      </c>
      <c r="E48" s="344" t="str">
        <f ca="1"/>
        <v/>
      </c>
      <c r="F48" s="11">
        <v>0</v>
      </c>
      <c r="G48" s="12">
        <v>34.313771000000003</v>
      </c>
      <c r="H48" s="12" t="s">
        <v>33</v>
      </c>
      <c r="I48" s="13">
        <v>0</v>
      </c>
      <c r="J48" s="14">
        <v>5.0000000000000001E-3</v>
      </c>
      <c r="K48" s="14" t="s">
        <v>33</v>
      </c>
      <c r="L48" s="15">
        <v>0.05</v>
      </c>
      <c r="M48" s="16">
        <v>0</v>
      </c>
      <c r="N48" s="17">
        <v>-0.01</v>
      </c>
    </row>
    <row r="49" spans="1:14" x14ac:dyDescent="0.2">
      <c r="A49" s="349">
        <v>45097.803483796299</v>
      </c>
      <c r="B49" s="9" t="s">
        <v>30</v>
      </c>
      <c r="C49" s="10">
        <v>44.590986000000001</v>
      </c>
      <c r="D49" s="10" t="s">
        <v>15</v>
      </c>
      <c r="E49" s="344" t="str">
        <f ca="1"/>
        <v/>
      </c>
      <c r="F49" s="11">
        <v>0</v>
      </c>
      <c r="G49" s="12">
        <v>44.590986000000001</v>
      </c>
      <c r="H49" s="12" t="s">
        <v>15</v>
      </c>
      <c r="I49" s="13">
        <v>0</v>
      </c>
      <c r="J49" s="14">
        <v>2.0316010000000002</v>
      </c>
      <c r="K49" s="14" t="s">
        <v>15</v>
      </c>
      <c r="L49" s="15">
        <v>0.87</v>
      </c>
      <c r="M49" s="16">
        <v>0</v>
      </c>
      <c r="N49" s="17">
        <v>0.13</v>
      </c>
    </row>
    <row r="50" spans="1:14" x14ac:dyDescent="0.2">
      <c r="A50" s="349">
        <v>45096.837106481478</v>
      </c>
      <c r="B50" s="9" t="s">
        <v>39</v>
      </c>
      <c r="C50" s="10"/>
      <c r="D50" s="10" t="s">
        <v>32</v>
      </c>
      <c r="E50" s="344" t="str">
        <f ca="1"/>
        <v/>
      </c>
      <c r="F50" s="11"/>
      <c r="G50" s="12">
        <v>11.674170999999999</v>
      </c>
      <c r="H50" s="12" t="s">
        <v>33</v>
      </c>
      <c r="I50" s="13">
        <v>126.43</v>
      </c>
      <c r="J50" s="14">
        <v>5.0000000000000001E-3</v>
      </c>
      <c r="K50" s="14" t="s">
        <v>33</v>
      </c>
      <c r="L50" s="15">
        <v>0.05</v>
      </c>
      <c r="M50" s="16">
        <v>-26.54</v>
      </c>
      <c r="N50" s="17">
        <v>-0.01</v>
      </c>
    </row>
    <row r="51" spans="1:14" x14ac:dyDescent="0.2">
      <c r="A51" s="349">
        <v>45087.117835648147</v>
      </c>
      <c r="B51" s="9" t="s">
        <v>31</v>
      </c>
      <c r="C51" s="10">
        <v>130.24433859999999</v>
      </c>
      <c r="D51" s="10" t="s">
        <v>16</v>
      </c>
      <c r="E51" s="344">
        <f ca="1"/>
        <v>4.8447403302334401E-2</v>
      </c>
      <c r="F51" s="11">
        <v>6.31</v>
      </c>
      <c r="G51" s="12"/>
      <c r="H51" s="12"/>
      <c r="I51" s="13"/>
      <c r="J51" s="14">
        <v>2.1522300000000002E-3</v>
      </c>
      <c r="K51" s="14" t="s">
        <v>16</v>
      </c>
      <c r="L51" s="15">
        <v>0</v>
      </c>
      <c r="M51" s="16"/>
      <c r="N51" s="17">
        <v>0</v>
      </c>
    </row>
    <row r="52" spans="1:14" x14ac:dyDescent="0.2">
      <c r="A52" s="349">
        <v>45080.62127314815</v>
      </c>
      <c r="B52" s="9" t="s">
        <v>31</v>
      </c>
      <c r="C52" s="10">
        <v>46.169621999999997</v>
      </c>
      <c r="D52" s="10" t="s">
        <v>33</v>
      </c>
      <c r="E52" s="344">
        <f ca="1"/>
        <v>10.829631656936677</v>
      </c>
      <c r="F52" s="11">
        <v>500</v>
      </c>
      <c r="G52" s="12">
        <v>500</v>
      </c>
      <c r="H52" s="12" t="s">
        <v>32</v>
      </c>
      <c r="I52" s="13"/>
      <c r="J52" s="14"/>
      <c r="K52" s="14"/>
      <c r="L52" s="15"/>
      <c r="M52" s="16"/>
      <c r="N52" s="17"/>
    </row>
    <row r="53" spans="1:14" x14ac:dyDescent="0.2">
      <c r="A53" s="349">
        <v>45080.620810185188</v>
      </c>
      <c r="B53" s="9" t="s">
        <v>31</v>
      </c>
      <c r="C53" s="10">
        <v>10561.52075424</v>
      </c>
      <c r="D53" s="10" t="s">
        <v>43</v>
      </c>
      <c r="E53" s="344">
        <f ca="1"/>
        <v>4.734166713626646E-2</v>
      </c>
      <c r="F53" s="11">
        <v>500</v>
      </c>
      <c r="G53" s="12">
        <v>500</v>
      </c>
      <c r="H53" s="12" t="s">
        <v>32</v>
      </c>
      <c r="I53" s="13"/>
      <c r="J53" s="14"/>
      <c r="K53" s="14"/>
      <c r="L53" s="15"/>
      <c r="M53" s="16"/>
      <c r="N53" s="17"/>
    </row>
    <row r="54" spans="1:14" x14ac:dyDescent="0.2">
      <c r="A54" s="349">
        <v>45067.315312500003</v>
      </c>
      <c r="B54" s="9" t="s">
        <v>31</v>
      </c>
      <c r="C54" s="10">
        <v>58.46972882</v>
      </c>
      <c r="D54" s="10" t="s">
        <v>16</v>
      </c>
      <c r="E54" s="344">
        <f ca="1"/>
        <v>5.3018887936754418E-2</v>
      </c>
      <c r="F54" s="11">
        <v>3.1</v>
      </c>
      <c r="G54" s="12"/>
      <c r="H54" s="12"/>
      <c r="I54" s="13"/>
      <c r="J54" s="14">
        <v>1.92783E-3</v>
      </c>
      <c r="K54" s="14" t="s">
        <v>16</v>
      </c>
      <c r="L54" s="15">
        <v>0</v>
      </c>
      <c r="M54" s="16"/>
      <c r="N54" s="17">
        <v>0</v>
      </c>
    </row>
    <row r="55" spans="1:14" x14ac:dyDescent="0.2">
      <c r="A55" s="349">
        <v>45062.631377314807</v>
      </c>
      <c r="B55" s="9" t="s">
        <v>31</v>
      </c>
      <c r="C55" s="10">
        <v>2.36</v>
      </c>
      <c r="D55" s="10" t="s">
        <v>38</v>
      </c>
      <c r="E55" s="344">
        <f ca="1"/>
        <v>6.7796610169491525E-2</v>
      </c>
      <c r="F55" s="11">
        <v>0.16</v>
      </c>
      <c r="G55" s="12"/>
      <c r="H55" s="12"/>
      <c r="I55" s="13"/>
      <c r="J55" s="14"/>
      <c r="K55" s="14"/>
      <c r="L55" s="15"/>
      <c r="M55" s="16"/>
      <c r="N55" s="17"/>
    </row>
    <row r="56" spans="1:14" x14ac:dyDescent="0.2">
      <c r="A56" s="349">
        <v>45058.339050925933</v>
      </c>
      <c r="B56" s="9" t="s">
        <v>31</v>
      </c>
      <c r="C56" s="10">
        <v>283.87965309999998</v>
      </c>
      <c r="D56" s="10" t="s">
        <v>16</v>
      </c>
      <c r="E56" s="344">
        <f ca="1"/>
        <v>5.1395018419514903E-2</v>
      </c>
      <c r="F56" s="11">
        <v>14.59</v>
      </c>
      <c r="G56" s="12"/>
      <c r="H56" s="12"/>
      <c r="I56" s="13"/>
      <c r="J56" s="14">
        <v>2.0073999999999999E-3</v>
      </c>
      <c r="K56" s="14" t="s">
        <v>16</v>
      </c>
      <c r="L56" s="15">
        <v>0</v>
      </c>
      <c r="M56" s="16"/>
      <c r="N56" s="17">
        <v>0</v>
      </c>
    </row>
    <row r="57" spans="1:14" x14ac:dyDescent="0.2">
      <c r="A57" s="349">
        <v>45058.196527777778</v>
      </c>
      <c r="B57" s="9" t="s">
        <v>31</v>
      </c>
      <c r="C57" s="10">
        <v>46.622587000000003</v>
      </c>
      <c r="D57" s="10" t="s">
        <v>15</v>
      </c>
      <c r="E57" s="344">
        <f ca="1"/>
        <v>0.42897662457040403</v>
      </c>
      <c r="F57" s="11">
        <v>20</v>
      </c>
      <c r="G57" s="12">
        <v>20</v>
      </c>
      <c r="H57" s="12" t="s">
        <v>32</v>
      </c>
      <c r="I57" s="13"/>
      <c r="J57" s="14"/>
      <c r="K57" s="14"/>
      <c r="L57" s="15"/>
      <c r="M57" s="16"/>
      <c r="N57" s="17"/>
    </row>
    <row r="58" spans="1:14" x14ac:dyDescent="0.2">
      <c r="A58" s="349">
        <v>45054.774907407409</v>
      </c>
      <c r="B58" s="9" t="s">
        <v>31</v>
      </c>
      <c r="C58" s="10">
        <v>113.28700000000001</v>
      </c>
      <c r="D58" s="10" t="s">
        <v>15</v>
      </c>
      <c r="E58" s="344">
        <f ca="1"/>
        <v>0.45036058859357209</v>
      </c>
      <c r="F58" s="11">
        <v>51.02</v>
      </c>
      <c r="G58" s="12"/>
      <c r="H58" s="12"/>
      <c r="I58" s="13"/>
      <c r="J58" s="14"/>
      <c r="K58" s="14"/>
      <c r="L58" s="15"/>
      <c r="M58" s="16"/>
      <c r="N58" s="17"/>
    </row>
    <row r="59" spans="1:14" x14ac:dyDescent="0.2">
      <c r="A59" s="349">
        <v>45034.605578703697</v>
      </c>
      <c r="B59" s="9" t="s">
        <v>30</v>
      </c>
      <c r="C59" s="10">
        <v>105.2927045</v>
      </c>
      <c r="D59" s="10" t="s">
        <v>42</v>
      </c>
      <c r="E59" s="344" t="str">
        <f ca="1"/>
        <v/>
      </c>
      <c r="F59" s="11">
        <v>0</v>
      </c>
      <c r="G59" s="12">
        <v>105.2927045</v>
      </c>
      <c r="H59" s="12" t="s">
        <v>42</v>
      </c>
      <c r="I59" s="13">
        <v>0</v>
      </c>
      <c r="J59" s="14">
        <v>0.60699495999999997</v>
      </c>
      <c r="K59" s="14" t="s">
        <v>42</v>
      </c>
      <c r="L59" s="15">
        <v>5.4</v>
      </c>
      <c r="M59" s="16">
        <v>0</v>
      </c>
      <c r="N59" s="17">
        <v>-0.14000000000000001</v>
      </c>
    </row>
    <row r="60" spans="1:14" x14ac:dyDescent="0.2">
      <c r="A60" s="349">
        <v>45034.600636574083</v>
      </c>
      <c r="B60" s="9" t="s">
        <v>36</v>
      </c>
      <c r="C60" s="10">
        <v>105.89969945999999</v>
      </c>
      <c r="D60" s="10" t="s">
        <v>42</v>
      </c>
      <c r="E60" s="344">
        <f ca="1"/>
        <v>8.8889770679241558</v>
      </c>
      <c r="F60" s="11">
        <v>941.34</v>
      </c>
      <c r="G60" s="12">
        <v>4215.5891810000003</v>
      </c>
      <c r="H60" s="12" t="s">
        <v>44</v>
      </c>
      <c r="I60" s="13">
        <v>941.58</v>
      </c>
      <c r="J60" s="14"/>
      <c r="K60" s="14"/>
      <c r="L60" s="15"/>
      <c r="M60" s="16">
        <v>-0.24</v>
      </c>
      <c r="N60" s="17"/>
    </row>
    <row r="61" spans="1:14" x14ac:dyDescent="0.2">
      <c r="A61" s="349">
        <v>45034.597361111111</v>
      </c>
      <c r="B61" s="9" t="s">
        <v>31</v>
      </c>
      <c r="C61" s="10">
        <v>4205.5225110000001</v>
      </c>
      <c r="D61" s="10" t="s">
        <v>44</v>
      </c>
      <c r="E61" s="344">
        <f ca="1"/>
        <v>0.22334917897672857</v>
      </c>
      <c r="F61" s="11">
        <v>939.3</v>
      </c>
      <c r="G61" s="12"/>
      <c r="H61" s="12"/>
      <c r="I61" s="13"/>
      <c r="J61" s="14"/>
      <c r="K61" s="14"/>
      <c r="L61" s="15"/>
      <c r="M61" s="16"/>
      <c r="N61" s="17"/>
    </row>
    <row r="62" spans="1:14" x14ac:dyDescent="0.2">
      <c r="A62" s="349">
        <v>45021.817060185182</v>
      </c>
      <c r="B62" s="9" t="s">
        <v>39</v>
      </c>
      <c r="C62" s="10"/>
      <c r="D62" s="10" t="s">
        <v>32</v>
      </c>
      <c r="E62" s="344" t="str">
        <f ca="1"/>
        <v/>
      </c>
      <c r="F62" s="11"/>
      <c r="G62" s="12">
        <v>452.25930699999998</v>
      </c>
      <c r="H62" s="12" t="s">
        <v>44</v>
      </c>
      <c r="I62" s="13">
        <v>100</v>
      </c>
      <c r="J62" s="14">
        <v>2E-3</v>
      </c>
      <c r="K62" s="14" t="s">
        <v>44</v>
      </c>
      <c r="L62" s="15">
        <v>0</v>
      </c>
      <c r="M62" s="16">
        <v>-1</v>
      </c>
      <c r="N62" s="17">
        <v>0</v>
      </c>
    </row>
    <row r="63" spans="1:14" x14ac:dyDescent="0.2">
      <c r="A63" s="349">
        <v>45021.816307870373</v>
      </c>
      <c r="B63" s="9" t="s">
        <v>31</v>
      </c>
      <c r="C63" s="10">
        <v>452.26130699999999</v>
      </c>
      <c r="D63" s="10" t="s">
        <v>44</v>
      </c>
      <c r="E63" s="344">
        <f ca="1"/>
        <v>0.22111111088262964</v>
      </c>
      <c r="F63" s="11">
        <v>100</v>
      </c>
      <c r="G63" s="12">
        <v>100</v>
      </c>
      <c r="H63" s="12" t="s">
        <v>32</v>
      </c>
      <c r="I63" s="13"/>
      <c r="J63" s="14"/>
      <c r="K63" s="14"/>
      <c r="L63" s="15"/>
      <c r="M63" s="16"/>
      <c r="N63" s="17"/>
    </row>
    <row r="64" spans="1:14" x14ac:dyDescent="0.2">
      <c r="A64" s="349">
        <v>45021.780960648153</v>
      </c>
      <c r="B64" s="9" t="s">
        <v>39</v>
      </c>
      <c r="C64" s="10">
        <v>108.45</v>
      </c>
      <c r="D64" s="10" t="s">
        <v>32</v>
      </c>
      <c r="E64" s="344" t="str">
        <f ca="1"/>
        <v/>
      </c>
      <c r="F64" s="11"/>
      <c r="G64" s="12">
        <v>218.05908600000001</v>
      </c>
      <c r="H64" s="12" t="s">
        <v>15</v>
      </c>
      <c r="I64" s="13">
        <v>95.33</v>
      </c>
      <c r="J64" s="14">
        <v>1.949411</v>
      </c>
      <c r="K64" s="14" t="s">
        <v>15</v>
      </c>
      <c r="L64" s="15">
        <v>0.85</v>
      </c>
      <c r="M64" s="16">
        <v>12.15</v>
      </c>
      <c r="N64" s="17">
        <v>0.12</v>
      </c>
    </row>
    <row r="65" spans="1:14" x14ac:dyDescent="0.2">
      <c r="A65" s="349">
        <v>45016.125775462962</v>
      </c>
      <c r="B65" s="9" t="s">
        <v>39</v>
      </c>
      <c r="C65" s="10"/>
      <c r="D65" s="10" t="s">
        <v>32</v>
      </c>
      <c r="E65" s="344" t="str">
        <f ca="1"/>
        <v/>
      </c>
      <c r="F65" s="11"/>
      <c r="G65" s="12">
        <v>232</v>
      </c>
      <c r="H65" s="12" t="s">
        <v>32</v>
      </c>
      <c r="I65" s="13"/>
      <c r="J65" s="14"/>
      <c r="K65" s="14"/>
      <c r="L65" s="15"/>
      <c r="M65" s="16"/>
      <c r="N65" s="17"/>
    </row>
    <row r="66" spans="1:14" x14ac:dyDescent="0.2">
      <c r="A66" s="349">
        <v>45014.83798611111</v>
      </c>
      <c r="B66" s="9" t="s">
        <v>39</v>
      </c>
      <c r="C66" s="10"/>
      <c r="D66" s="10" t="s">
        <v>32</v>
      </c>
      <c r="E66" s="344" t="str">
        <f ca="1"/>
        <v/>
      </c>
      <c r="F66" s="11"/>
      <c r="G66" s="12">
        <v>35.840000000000003</v>
      </c>
      <c r="H66" s="12" t="s">
        <v>32</v>
      </c>
      <c r="I66" s="13"/>
      <c r="J66" s="14"/>
      <c r="K66" s="14"/>
      <c r="L66" s="15"/>
      <c r="M66" s="16"/>
      <c r="N66" s="17"/>
    </row>
    <row r="67" spans="1:14" x14ac:dyDescent="0.2">
      <c r="A67" s="349">
        <v>45014.812800925924</v>
      </c>
      <c r="B67" s="9" t="s">
        <v>31</v>
      </c>
      <c r="C67" s="10">
        <v>6.4506019400000003</v>
      </c>
      <c r="D67" s="10" t="s">
        <v>16</v>
      </c>
      <c r="E67" s="344">
        <f ca="1"/>
        <v>5.8909231035266761E-2</v>
      </c>
      <c r="F67" s="11">
        <v>0.38</v>
      </c>
      <c r="G67" s="12"/>
      <c r="H67" s="12"/>
      <c r="I67" s="13"/>
      <c r="J67" s="14">
        <v>1.6043400000000001E-3</v>
      </c>
      <c r="K67" s="14" t="s">
        <v>16</v>
      </c>
      <c r="L67" s="15">
        <v>0</v>
      </c>
      <c r="M67" s="16"/>
      <c r="N67" s="17">
        <v>0</v>
      </c>
    </row>
    <row r="68" spans="1:14" x14ac:dyDescent="0.2">
      <c r="A68" s="349">
        <v>45014.775520833333</v>
      </c>
      <c r="B68" s="9" t="s">
        <v>39</v>
      </c>
      <c r="C68" s="10">
        <v>267.83999999999997</v>
      </c>
      <c r="D68" s="10" t="s">
        <v>32</v>
      </c>
      <c r="E68" s="344" t="str">
        <f ca="1"/>
        <v/>
      </c>
      <c r="F68" s="11"/>
      <c r="G68" s="12">
        <v>267.84058800000003</v>
      </c>
      <c r="H68" s="12" t="s">
        <v>37</v>
      </c>
      <c r="I68" s="13">
        <v>270.66000000000003</v>
      </c>
      <c r="J68" s="14"/>
      <c r="K68" s="14"/>
      <c r="L68" s="15"/>
      <c r="M68" s="16">
        <v>-2.82</v>
      </c>
      <c r="N68" s="17"/>
    </row>
    <row r="69" spans="1:14" x14ac:dyDescent="0.2">
      <c r="A69" s="349">
        <v>45014.774351851847</v>
      </c>
      <c r="B69" s="9" t="s">
        <v>36</v>
      </c>
      <c r="C69" s="10">
        <v>267.84058800000003</v>
      </c>
      <c r="D69" s="10" t="s">
        <v>37</v>
      </c>
      <c r="E69" s="344">
        <f ca="1"/>
        <v>1.0105264553854698</v>
      </c>
      <c r="F69" s="11">
        <v>270.66000000000003</v>
      </c>
      <c r="G69" s="12">
        <v>1151.259779</v>
      </c>
      <c r="H69" s="12" t="s">
        <v>44</v>
      </c>
      <c r="I69" s="13">
        <v>229.5</v>
      </c>
      <c r="J69" s="14"/>
      <c r="K69" s="14"/>
      <c r="L69" s="15"/>
      <c r="M69" s="16">
        <v>41.16</v>
      </c>
      <c r="N69" s="17"/>
    </row>
    <row r="70" spans="1:14" x14ac:dyDescent="0.2">
      <c r="A70" s="349">
        <v>45014.769108796303</v>
      </c>
      <c r="B70" s="9" t="s">
        <v>30</v>
      </c>
      <c r="C70" s="10">
        <v>2178.4989999999998</v>
      </c>
      <c r="D70" s="10" t="s">
        <v>15</v>
      </c>
      <c r="E70" s="344" t="str">
        <f ca="1"/>
        <v/>
      </c>
      <c r="F70" s="11">
        <v>0</v>
      </c>
      <c r="G70" s="12">
        <v>2178.4989999999998</v>
      </c>
      <c r="H70" s="12" t="s">
        <v>15</v>
      </c>
      <c r="I70" s="13">
        <v>0</v>
      </c>
      <c r="J70" s="14">
        <v>1E-3</v>
      </c>
      <c r="K70" s="14" t="s">
        <v>15</v>
      </c>
      <c r="L70" s="15">
        <v>0</v>
      </c>
      <c r="M70" s="16">
        <v>0</v>
      </c>
      <c r="N70" s="17">
        <v>0</v>
      </c>
    </row>
    <row r="71" spans="1:14" x14ac:dyDescent="0.2">
      <c r="A71" s="349">
        <v>45013.163495370369</v>
      </c>
      <c r="B71" s="9" t="s">
        <v>36</v>
      </c>
      <c r="C71" s="10">
        <v>1151.259779</v>
      </c>
      <c r="D71" s="10" t="s">
        <v>44</v>
      </c>
      <c r="E71" s="344">
        <f ca="1"/>
        <v>0.19934684090097096</v>
      </c>
      <c r="F71" s="11">
        <v>229.5</v>
      </c>
      <c r="G71" s="12">
        <v>231.88</v>
      </c>
      <c r="H71" s="12" t="s">
        <v>37</v>
      </c>
      <c r="I71" s="13">
        <v>231.88</v>
      </c>
      <c r="J71" s="14"/>
      <c r="K71" s="14"/>
      <c r="L71" s="15"/>
      <c r="M71" s="16">
        <v>-2.38</v>
      </c>
      <c r="N71" s="17"/>
    </row>
    <row r="72" spans="1:14" x14ac:dyDescent="0.2">
      <c r="A72" s="349">
        <v>45013.15766203704</v>
      </c>
      <c r="B72" s="9" t="s">
        <v>30</v>
      </c>
      <c r="C72" s="10">
        <v>2065.9989999999998</v>
      </c>
      <c r="D72" s="10" t="s">
        <v>15</v>
      </c>
      <c r="E72" s="344" t="str">
        <f ca="1"/>
        <v/>
      </c>
      <c r="F72" s="11">
        <v>0</v>
      </c>
      <c r="G72" s="12">
        <v>2065.9989999999998</v>
      </c>
      <c r="H72" s="12" t="s">
        <v>15</v>
      </c>
      <c r="I72" s="13">
        <v>0</v>
      </c>
      <c r="J72" s="14">
        <v>1E-3</v>
      </c>
      <c r="K72" s="14" t="s">
        <v>15</v>
      </c>
      <c r="L72" s="15">
        <v>0</v>
      </c>
      <c r="M72" s="16">
        <v>0</v>
      </c>
      <c r="N72" s="17">
        <v>0</v>
      </c>
    </row>
    <row r="73" spans="1:14" x14ac:dyDescent="0.2">
      <c r="A73" s="349">
        <v>45013.153425925928</v>
      </c>
      <c r="B73" s="9" t="s">
        <v>36</v>
      </c>
      <c r="C73" s="10">
        <v>2066.6995160000001</v>
      </c>
      <c r="D73" s="10" t="s">
        <v>15</v>
      </c>
      <c r="E73" s="344">
        <f ca="1"/>
        <v>0.48013752958173134</v>
      </c>
      <c r="F73" s="11">
        <v>992.3</v>
      </c>
      <c r="G73" s="12">
        <v>1000.12</v>
      </c>
      <c r="H73" s="12" t="s">
        <v>37</v>
      </c>
      <c r="I73" s="13">
        <v>1000.12</v>
      </c>
      <c r="J73" s="14"/>
      <c r="K73" s="14"/>
      <c r="L73" s="15"/>
      <c r="M73" s="16">
        <v>-7.95</v>
      </c>
      <c r="N73" s="17"/>
    </row>
    <row r="74" spans="1:14" x14ac:dyDescent="0.2">
      <c r="A74" s="349">
        <v>45013.012407407397</v>
      </c>
      <c r="B74" s="9" t="s">
        <v>30</v>
      </c>
      <c r="C74" s="10">
        <v>1000.12</v>
      </c>
      <c r="D74" s="10" t="s">
        <v>37</v>
      </c>
      <c r="E74" s="344" t="str">
        <f ca="1"/>
        <v/>
      </c>
      <c r="F74" s="11">
        <v>0</v>
      </c>
      <c r="G74" s="12">
        <v>1000.12</v>
      </c>
      <c r="H74" s="12" t="s">
        <v>37</v>
      </c>
      <c r="I74" s="13">
        <v>0</v>
      </c>
      <c r="J74" s="14"/>
      <c r="K74" s="14"/>
      <c r="L74" s="15"/>
      <c r="M74" s="16">
        <v>0</v>
      </c>
      <c r="N74" s="17"/>
    </row>
    <row r="75" spans="1:14" x14ac:dyDescent="0.2">
      <c r="A75" s="349">
        <v>45013.009166666663</v>
      </c>
      <c r="B75" s="9" t="s">
        <v>31</v>
      </c>
      <c r="C75" s="10">
        <v>1232</v>
      </c>
      <c r="D75" s="10" t="s">
        <v>37</v>
      </c>
      <c r="E75" s="344">
        <f ca="1"/>
        <v>1</v>
      </c>
      <c r="F75" s="11">
        <v>1232</v>
      </c>
      <c r="G75" s="12">
        <v>1232</v>
      </c>
      <c r="H75" s="12" t="s">
        <v>32</v>
      </c>
      <c r="I75" s="13"/>
      <c r="J75" s="14"/>
      <c r="K75" s="14"/>
      <c r="L75" s="15"/>
      <c r="M75" s="16"/>
      <c r="N75" s="17"/>
    </row>
    <row r="76" spans="1:14" x14ac:dyDescent="0.2">
      <c r="A76" s="349">
        <v>45012.985312500001</v>
      </c>
      <c r="B76" s="9" t="s">
        <v>39</v>
      </c>
      <c r="C76" s="10"/>
      <c r="D76" s="10" t="s">
        <v>32</v>
      </c>
      <c r="E76" s="344" t="str">
        <f ca="1"/>
        <v/>
      </c>
      <c r="F76" s="11"/>
      <c r="G76" s="12">
        <v>3510.7833270000001</v>
      </c>
      <c r="H76" s="12" t="s">
        <v>44</v>
      </c>
      <c r="I76" s="13">
        <v>795.03</v>
      </c>
      <c r="J76" s="14">
        <v>2E-3</v>
      </c>
      <c r="K76" s="14" t="s">
        <v>44</v>
      </c>
      <c r="L76" s="15">
        <v>0</v>
      </c>
      <c r="M76" s="16">
        <v>-90.77</v>
      </c>
      <c r="N76" s="17">
        <v>0</v>
      </c>
    </row>
    <row r="77" spans="1:14" x14ac:dyDescent="0.2">
      <c r="A77" s="349">
        <v>45012.983819444453</v>
      </c>
      <c r="B77" s="9" t="s">
        <v>39</v>
      </c>
      <c r="C77" s="10"/>
      <c r="D77" s="10" t="s">
        <v>32</v>
      </c>
      <c r="E77" s="344" t="str">
        <f ca="1"/>
        <v/>
      </c>
      <c r="F77" s="11"/>
      <c r="G77" s="12">
        <v>49.862876999999997</v>
      </c>
      <c r="H77" s="12" t="s">
        <v>44</v>
      </c>
      <c r="I77" s="13">
        <v>12.49</v>
      </c>
      <c r="J77" s="14">
        <v>2E-3</v>
      </c>
      <c r="K77" s="14" t="s">
        <v>44</v>
      </c>
      <c r="L77" s="15">
        <v>0</v>
      </c>
      <c r="M77" s="16">
        <v>-2.4900000000000002</v>
      </c>
      <c r="N77" s="17">
        <v>0</v>
      </c>
    </row>
    <row r="78" spans="1:14" x14ac:dyDescent="0.2">
      <c r="A78" s="349">
        <v>45012.979745370372</v>
      </c>
      <c r="B78" s="9" t="s">
        <v>30</v>
      </c>
      <c r="C78" s="10">
        <v>2236.789213</v>
      </c>
      <c r="D78" s="10" t="s">
        <v>35</v>
      </c>
      <c r="E78" s="344" t="str">
        <f ca="1"/>
        <v/>
      </c>
      <c r="F78" s="11">
        <v>0</v>
      </c>
      <c r="G78" s="12">
        <v>2236.789213</v>
      </c>
      <c r="H78" s="12" t="s">
        <v>35</v>
      </c>
      <c r="I78" s="13">
        <v>0</v>
      </c>
      <c r="J78" s="14">
        <v>0.18002099999999999</v>
      </c>
      <c r="K78" s="14" t="s">
        <v>35</v>
      </c>
      <c r="L78" s="15">
        <v>0.06</v>
      </c>
      <c r="M78" s="16">
        <v>0</v>
      </c>
      <c r="N78" s="17">
        <v>0</v>
      </c>
    </row>
    <row r="79" spans="1:14" x14ac:dyDescent="0.2">
      <c r="A79" s="349">
        <v>45012.976747685178</v>
      </c>
      <c r="B79" s="9" t="s">
        <v>36</v>
      </c>
      <c r="C79" s="10">
        <v>559.04847700000005</v>
      </c>
      <c r="D79" s="10" t="s">
        <v>35</v>
      </c>
      <c r="E79" s="344">
        <f ca="1"/>
        <v>0.34508635286023681</v>
      </c>
      <c r="F79" s="11">
        <v>192.92</v>
      </c>
      <c r="G79" s="12">
        <v>2140.2126904000002</v>
      </c>
      <c r="H79" s="12" t="s">
        <v>45</v>
      </c>
      <c r="I79" s="13">
        <v>200</v>
      </c>
      <c r="J79" s="14"/>
      <c r="K79" s="14"/>
      <c r="L79" s="15"/>
      <c r="M79" s="16">
        <v>-7.08</v>
      </c>
      <c r="N79" s="17"/>
    </row>
    <row r="80" spans="1:14" x14ac:dyDescent="0.2">
      <c r="A80" s="349">
        <v>45012.975914351853</v>
      </c>
      <c r="B80" s="9" t="s">
        <v>36</v>
      </c>
      <c r="C80" s="10">
        <v>1770.1630250000001</v>
      </c>
      <c r="D80" s="10" t="s">
        <v>44</v>
      </c>
      <c r="E80" s="344">
        <f ca="1"/>
        <v>0.20519578980585701</v>
      </c>
      <c r="F80" s="11">
        <v>363.23</v>
      </c>
      <c r="G80" s="12">
        <v>314.03690116000001</v>
      </c>
      <c r="H80" s="12" t="s">
        <v>46</v>
      </c>
      <c r="I80" s="13">
        <v>389.68</v>
      </c>
      <c r="J80" s="14"/>
      <c r="K80" s="14"/>
      <c r="L80" s="15"/>
      <c r="M80" s="16">
        <v>-26.45</v>
      </c>
      <c r="N80" s="17"/>
    </row>
    <row r="81" spans="1:14" x14ac:dyDescent="0.2">
      <c r="A81" s="349">
        <v>45012.975208333337</v>
      </c>
      <c r="B81" s="9" t="s">
        <v>36</v>
      </c>
      <c r="C81" s="10">
        <f>1677.920757-32.6</f>
        <v>1645.3207570000002</v>
      </c>
      <c r="D81" s="10" t="s">
        <v>35</v>
      </c>
      <c r="E81" s="344">
        <f ca="1"/>
        <v>0.35379119695868516</v>
      </c>
      <c r="F81" s="11">
        <f>593.23-11.13</f>
        <v>582.1</v>
      </c>
      <c r="G81" s="12">
        <v>288.75017883999999</v>
      </c>
      <c r="H81" s="12" t="s">
        <v>47</v>
      </c>
      <c r="I81" s="13">
        <v>765.76</v>
      </c>
      <c r="J81" s="14"/>
      <c r="K81" s="14"/>
      <c r="L81" s="15"/>
      <c r="M81" s="16">
        <v>-172.53</v>
      </c>
      <c r="N81" s="17"/>
    </row>
    <row r="82" spans="1:14" x14ac:dyDescent="0.2">
      <c r="A82" s="349">
        <v>45012.952685185177</v>
      </c>
      <c r="B82" s="9" t="s">
        <v>30</v>
      </c>
      <c r="C82" s="10">
        <v>36189.670160000001</v>
      </c>
      <c r="D82" s="10" t="s">
        <v>16</v>
      </c>
      <c r="E82" s="344" t="str">
        <f ca="1"/>
        <v/>
      </c>
      <c r="F82" s="11">
        <v>0</v>
      </c>
      <c r="G82" s="12">
        <v>36189.670155619999</v>
      </c>
      <c r="H82" s="12" t="s">
        <v>16</v>
      </c>
      <c r="I82" s="13">
        <v>0</v>
      </c>
      <c r="J82" s="14">
        <v>1.7383399999999999E-3</v>
      </c>
      <c r="K82" s="14" t="s">
        <v>16</v>
      </c>
      <c r="L82" s="15">
        <v>0</v>
      </c>
      <c r="M82" s="16">
        <v>0</v>
      </c>
      <c r="N82" s="17">
        <v>0</v>
      </c>
    </row>
    <row r="83" spans="1:14" x14ac:dyDescent="0.2">
      <c r="A83" s="349">
        <v>45012.952685185177</v>
      </c>
      <c r="B83" s="9" t="s">
        <v>30</v>
      </c>
      <c r="C83" s="10"/>
      <c r="D83" s="10"/>
      <c r="E83" s="344" t="str">
        <f ca="1"/>
        <v/>
      </c>
      <c r="F83" s="11"/>
      <c r="G83" s="12"/>
      <c r="H83" s="12"/>
      <c r="I83" s="13"/>
      <c r="J83" s="14">
        <v>1</v>
      </c>
      <c r="K83" s="14" t="s">
        <v>16</v>
      </c>
      <c r="L83" s="15">
        <v>0.04</v>
      </c>
      <c r="M83" s="16"/>
      <c r="N83" s="17">
        <v>0.01</v>
      </c>
    </row>
    <row r="84" spans="1:14" x14ac:dyDescent="0.2">
      <c r="A84" s="349">
        <v>45012.951249999998</v>
      </c>
      <c r="B84" s="9" t="s">
        <v>30</v>
      </c>
      <c r="C84" s="10">
        <v>33.938571189999998</v>
      </c>
      <c r="D84" s="10" t="s">
        <v>16</v>
      </c>
      <c r="E84" s="344" t="str">
        <f ca="1"/>
        <v/>
      </c>
      <c r="F84" s="11">
        <v>0</v>
      </c>
      <c r="G84" s="12">
        <v>33.938571189999998</v>
      </c>
      <c r="H84" s="12" t="s">
        <v>16</v>
      </c>
      <c r="I84" s="13">
        <v>0</v>
      </c>
      <c r="J84" s="14">
        <v>1.7383399999999999E-3</v>
      </c>
      <c r="K84" s="14" t="s">
        <v>16</v>
      </c>
      <c r="L84" s="15">
        <v>0</v>
      </c>
      <c r="M84" s="16">
        <v>0</v>
      </c>
      <c r="N84" s="17">
        <v>0</v>
      </c>
    </row>
    <row r="85" spans="1:14" x14ac:dyDescent="0.2">
      <c r="A85" s="349">
        <v>45012.951249999998</v>
      </c>
      <c r="B85" s="9" t="s">
        <v>30</v>
      </c>
      <c r="C85" s="10"/>
      <c r="D85" s="10"/>
      <c r="E85" s="344" t="str">
        <f ca="1"/>
        <v/>
      </c>
      <c r="F85" s="11"/>
      <c r="G85" s="12"/>
      <c r="H85" s="12"/>
      <c r="I85" s="13"/>
      <c r="J85" s="14">
        <v>1</v>
      </c>
      <c r="K85" s="14" t="s">
        <v>16</v>
      </c>
      <c r="L85" s="15">
        <v>0.08</v>
      </c>
      <c r="M85" s="16"/>
      <c r="N85" s="17">
        <v>-0.02</v>
      </c>
    </row>
    <row r="86" spans="1:14" x14ac:dyDescent="0.2">
      <c r="A86" s="349">
        <v>45012.942002314812</v>
      </c>
      <c r="B86" s="9" t="s">
        <v>30</v>
      </c>
      <c r="C86" s="10">
        <v>1.44405183</v>
      </c>
      <c r="D86" s="10" t="s">
        <v>40</v>
      </c>
      <c r="E86" s="344" t="str">
        <f ca="1"/>
        <v/>
      </c>
      <c r="F86" s="11">
        <v>0</v>
      </c>
      <c r="G86" s="12">
        <v>1.44405183</v>
      </c>
      <c r="H86" s="12" t="s">
        <v>40</v>
      </c>
      <c r="I86" s="13">
        <v>0</v>
      </c>
      <c r="J86" s="14">
        <v>5.2499999999999997E-4</v>
      </c>
      <c r="K86" s="14" t="s">
        <v>40</v>
      </c>
      <c r="L86" s="15">
        <v>0.62</v>
      </c>
      <c r="M86" s="16">
        <v>0</v>
      </c>
      <c r="N86" s="17">
        <v>0.28000000000000003</v>
      </c>
    </row>
    <row r="87" spans="1:14" x14ac:dyDescent="0.2">
      <c r="A87" s="349">
        <v>45012.936249999999</v>
      </c>
      <c r="B87" s="9" t="s">
        <v>30</v>
      </c>
      <c r="C87" s="10">
        <v>1.0055999999999999E-3</v>
      </c>
      <c r="D87" s="10" t="s">
        <v>40</v>
      </c>
      <c r="E87" s="344" t="str">
        <f ca="1"/>
        <v/>
      </c>
      <c r="F87" s="11">
        <v>0</v>
      </c>
      <c r="G87" s="12">
        <v>1.0055999999999999E-3</v>
      </c>
      <c r="H87" s="12" t="s">
        <v>40</v>
      </c>
      <c r="I87" s="13">
        <v>0</v>
      </c>
      <c r="J87" s="14">
        <v>5.04E-4</v>
      </c>
      <c r="K87" s="14" t="s">
        <v>40</v>
      </c>
      <c r="L87" s="15">
        <v>0.86</v>
      </c>
      <c r="M87" s="16">
        <v>0</v>
      </c>
      <c r="N87" s="17">
        <v>0.43</v>
      </c>
    </row>
    <row r="88" spans="1:14" x14ac:dyDescent="0.2">
      <c r="A88" s="349">
        <v>45012.126516203702</v>
      </c>
      <c r="B88" s="9" t="s">
        <v>36</v>
      </c>
      <c r="C88" s="10">
        <v>805.48410699999999</v>
      </c>
      <c r="D88" s="10" t="s">
        <v>15</v>
      </c>
      <c r="E88" s="344">
        <f ca="1"/>
        <v>0.44883567144050424</v>
      </c>
      <c r="F88" s="11">
        <v>361.53</v>
      </c>
      <c r="G88" s="12">
        <v>10581.61742294</v>
      </c>
      <c r="H88" s="12" t="s">
        <v>43</v>
      </c>
      <c r="I88" s="13">
        <v>400</v>
      </c>
      <c r="J88" s="14"/>
      <c r="K88" s="14"/>
      <c r="L88" s="15"/>
      <c r="M88" s="16">
        <v>-38.47</v>
      </c>
      <c r="N88" s="17"/>
    </row>
    <row r="89" spans="1:14" x14ac:dyDescent="0.2">
      <c r="A89" s="349">
        <v>45010.526365740741</v>
      </c>
      <c r="B89" s="9" t="s">
        <v>36</v>
      </c>
      <c r="C89" s="10">
        <v>314.03690116000001</v>
      </c>
      <c r="D89" s="10" t="s">
        <v>46</v>
      </c>
      <c r="E89" s="344">
        <f ca="1"/>
        <v>1.2408732813264522</v>
      </c>
      <c r="F89" s="11">
        <v>389.68</v>
      </c>
      <c r="G89" s="12">
        <v>0.22934595999999999</v>
      </c>
      <c r="H89" s="12" t="s">
        <v>40</v>
      </c>
      <c r="I89" s="13">
        <v>401.05</v>
      </c>
      <c r="J89" s="14"/>
      <c r="K89" s="14"/>
      <c r="L89" s="15"/>
      <c r="M89" s="16">
        <v>-11.37</v>
      </c>
      <c r="N89" s="17"/>
    </row>
    <row r="90" spans="1:14" x14ac:dyDescent="0.2">
      <c r="A90" s="349">
        <v>45010.509675925918</v>
      </c>
      <c r="B90" s="9" t="s">
        <v>31</v>
      </c>
      <c r="C90" s="10">
        <v>219.93842599999999</v>
      </c>
      <c r="D90" s="10" t="s">
        <v>15</v>
      </c>
      <c r="E90" s="344">
        <f ca="1"/>
        <v>0.45467270916997471</v>
      </c>
      <c r="F90" s="11">
        <v>100</v>
      </c>
      <c r="G90" s="12">
        <v>100</v>
      </c>
      <c r="H90" s="12" t="s">
        <v>32</v>
      </c>
      <c r="I90" s="13"/>
      <c r="J90" s="14"/>
      <c r="K90" s="14"/>
      <c r="L90" s="15"/>
      <c r="M90" s="16"/>
      <c r="N90" s="17"/>
    </row>
    <row r="91" spans="1:14" x14ac:dyDescent="0.2">
      <c r="A91" s="349">
        <v>45010.299270833333</v>
      </c>
      <c r="B91" s="9" t="s">
        <v>31</v>
      </c>
      <c r="C91" s="10">
        <v>5.6839099999999997E-2</v>
      </c>
      <c r="D91" s="10" t="s">
        <v>40</v>
      </c>
      <c r="E91" s="344">
        <f ca="1"/>
        <v>1759.3522768657492</v>
      </c>
      <c r="F91" s="11">
        <v>100</v>
      </c>
      <c r="G91" s="12">
        <v>100</v>
      </c>
      <c r="H91" s="12" t="s">
        <v>32</v>
      </c>
      <c r="I91" s="13"/>
      <c r="J91" s="14"/>
      <c r="K91" s="14"/>
      <c r="L91" s="15"/>
      <c r="M91" s="16"/>
      <c r="N91" s="17"/>
    </row>
    <row r="92" spans="1:14" x14ac:dyDescent="0.2">
      <c r="A92" s="349">
        <v>45010.036354166667</v>
      </c>
      <c r="B92" s="9" t="s">
        <v>30</v>
      </c>
      <c r="C92" s="10">
        <v>3.613E-4</v>
      </c>
      <c r="D92" s="10" t="s">
        <v>34</v>
      </c>
      <c r="E92" s="344" t="str">
        <f ca="1"/>
        <v/>
      </c>
      <c r="F92" s="11">
        <v>0</v>
      </c>
      <c r="G92" s="12">
        <v>3.613E-4</v>
      </c>
      <c r="H92" s="12" t="s">
        <v>34</v>
      </c>
      <c r="I92" s="13">
        <v>0</v>
      </c>
      <c r="J92" s="14"/>
      <c r="K92" s="14"/>
      <c r="L92" s="15"/>
      <c r="M92" s="16">
        <v>0</v>
      </c>
      <c r="N92" s="17"/>
    </row>
    <row r="93" spans="1:14" x14ac:dyDescent="0.2">
      <c r="A93" s="349">
        <v>45010.036319444444</v>
      </c>
      <c r="B93" s="9" t="s">
        <v>30</v>
      </c>
      <c r="C93" s="10">
        <v>0.19140599999999999</v>
      </c>
      <c r="D93" s="10" t="s">
        <v>35</v>
      </c>
      <c r="E93" s="344" t="str">
        <f ca="1"/>
        <v/>
      </c>
      <c r="F93" s="11">
        <v>0</v>
      </c>
      <c r="G93" s="12">
        <v>0.19140599999999999</v>
      </c>
      <c r="H93" s="12" t="s">
        <v>35</v>
      </c>
      <c r="I93" s="13">
        <v>0</v>
      </c>
      <c r="J93" s="14"/>
      <c r="K93" s="14"/>
      <c r="L93" s="15"/>
      <c r="M93" s="16">
        <v>0</v>
      </c>
      <c r="N93" s="17"/>
    </row>
    <row r="94" spans="1:14" x14ac:dyDescent="0.2">
      <c r="A94" s="349">
        <v>45009.832152777781</v>
      </c>
      <c r="B94" s="9" t="s">
        <v>30</v>
      </c>
      <c r="C94" s="10">
        <v>4.1019999999999997E-3</v>
      </c>
      <c r="D94" s="10" t="s">
        <v>33</v>
      </c>
      <c r="E94" s="344" t="str">
        <f ca="1"/>
        <v/>
      </c>
      <c r="F94" s="11">
        <v>0</v>
      </c>
      <c r="G94" s="12">
        <v>4.1019999999999997E-3</v>
      </c>
      <c r="H94" s="12" t="s">
        <v>33</v>
      </c>
      <c r="I94" s="13">
        <v>0</v>
      </c>
      <c r="J94" s="14"/>
      <c r="K94" s="14"/>
      <c r="L94" s="15"/>
      <c r="M94" s="16">
        <v>0</v>
      </c>
      <c r="N94" s="17"/>
    </row>
    <row r="95" spans="1:14" x14ac:dyDescent="0.2">
      <c r="A95" s="349">
        <v>45006.881168981483</v>
      </c>
      <c r="B95" s="9" t="s">
        <v>36</v>
      </c>
      <c r="C95" s="10">
        <v>215.65512081</v>
      </c>
      <c r="D95" s="10" t="s">
        <v>47</v>
      </c>
      <c r="E95" s="344">
        <f ca="1"/>
        <v>2.6494617788529018</v>
      </c>
      <c r="F95" s="11">
        <v>571.37</v>
      </c>
      <c r="G95" s="12">
        <v>79.47655039</v>
      </c>
      <c r="H95" s="12" t="s">
        <v>42</v>
      </c>
      <c r="I95" s="13">
        <v>549.34</v>
      </c>
      <c r="J95" s="14"/>
      <c r="K95" s="14"/>
      <c r="L95" s="15"/>
      <c r="M95" s="16">
        <v>22.03</v>
      </c>
      <c r="N95" s="17"/>
    </row>
    <row r="96" spans="1:14" x14ac:dyDescent="0.2">
      <c r="A96" s="349">
        <v>45006.659201388888</v>
      </c>
      <c r="B96" s="9" t="s">
        <v>31</v>
      </c>
      <c r="C96" s="10">
        <v>10581.617422920001</v>
      </c>
      <c r="D96" s="10" t="s">
        <v>43</v>
      </c>
      <c r="E96" s="344">
        <f ca="1"/>
        <v>3.7827865438886998E-2</v>
      </c>
      <c r="F96" s="11">
        <v>400.28</v>
      </c>
      <c r="G96" s="12">
        <v>400</v>
      </c>
      <c r="H96" s="12" t="s">
        <v>32</v>
      </c>
      <c r="I96" s="13"/>
      <c r="J96" s="14"/>
      <c r="K96" s="14"/>
      <c r="L96" s="15"/>
      <c r="M96" s="16"/>
      <c r="N96" s="17"/>
    </row>
    <row r="97" spans="1:14" x14ac:dyDescent="0.2">
      <c r="A97" s="349">
        <v>45006.657962962963</v>
      </c>
      <c r="B97" s="9" t="s">
        <v>36</v>
      </c>
      <c r="C97" s="10">
        <v>73.095058030000004</v>
      </c>
      <c r="D97" s="10" t="s">
        <v>47</v>
      </c>
      <c r="E97" s="344">
        <f ca="1"/>
        <v>2.6594137174118879</v>
      </c>
      <c r="F97" s="11">
        <v>194.39</v>
      </c>
      <c r="G97" s="12">
        <v>33.367037410000002</v>
      </c>
      <c r="H97" s="12" t="s">
        <v>48</v>
      </c>
      <c r="I97" s="13">
        <v>200</v>
      </c>
      <c r="J97" s="14"/>
      <c r="K97" s="14"/>
      <c r="L97" s="15"/>
      <c r="M97" s="16">
        <v>-5.61</v>
      </c>
      <c r="N97" s="17"/>
    </row>
    <row r="98" spans="1:14" x14ac:dyDescent="0.2">
      <c r="A98" s="349">
        <v>45006.656597222223</v>
      </c>
      <c r="B98" s="9" t="s">
        <v>31</v>
      </c>
      <c r="C98" s="10">
        <v>1372.386448</v>
      </c>
      <c r="D98" s="10" t="s">
        <v>15</v>
      </c>
      <c r="E98" s="344">
        <f ca="1"/>
        <v>0.43719464067456315</v>
      </c>
      <c r="F98" s="11">
        <v>600</v>
      </c>
      <c r="G98" s="12">
        <v>600</v>
      </c>
      <c r="H98" s="12" t="s">
        <v>32</v>
      </c>
      <c r="I98" s="13"/>
      <c r="J98" s="14"/>
      <c r="K98" s="14"/>
      <c r="L98" s="15"/>
      <c r="M98" s="16"/>
      <c r="N98" s="17"/>
    </row>
    <row r="99" spans="1:14" x14ac:dyDescent="0.2">
      <c r="A99" s="349">
        <v>45006.644641203697</v>
      </c>
      <c r="B99" s="9" t="s">
        <v>31</v>
      </c>
      <c r="C99" s="10">
        <v>33.367037410000002</v>
      </c>
      <c r="D99" s="10" t="s">
        <v>48</v>
      </c>
      <c r="E99" s="344">
        <f ca="1"/>
        <v>5.9939393942136618</v>
      </c>
      <c r="F99" s="11">
        <v>200</v>
      </c>
      <c r="G99" s="12">
        <v>200</v>
      </c>
      <c r="H99" s="12" t="s">
        <v>32</v>
      </c>
      <c r="I99" s="13"/>
      <c r="J99" s="14"/>
      <c r="K99" s="14"/>
      <c r="L99" s="15"/>
      <c r="M99" s="16"/>
      <c r="N99" s="17"/>
    </row>
    <row r="100" spans="1:14" x14ac:dyDescent="0.2">
      <c r="A100" s="349">
        <v>45006.643321759257</v>
      </c>
      <c r="B100" s="9" t="s">
        <v>31</v>
      </c>
      <c r="C100" s="10">
        <v>2140.2126904000002</v>
      </c>
      <c r="D100" s="10" t="s">
        <v>45</v>
      </c>
      <c r="E100" s="344">
        <f ca="1"/>
        <v>9.3448656246693185E-2</v>
      </c>
      <c r="F100" s="11">
        <v>200</v>
      </c>
      <c r="G100" s="12">
        <v>200</v>
      </c>
      <c r="H100" s="12" t="s">
        <v>32</v>
      </c>
      <c r="I100" s="13"/>
      <c r="J100" s="14"/>
      <c r="K100" s="14"/>
      <c r="L100" s="15"/>
      <c r="M100" s="16"/>
      <c r="N100" s="17"/>
    </row>
    <row r="101" spans="1:14" x14ac:dyDescent="0.2">
      <c r="A101" s="349">
        <v>45005.719236111108</v>
      </c>
      <c r="B101" s="9" t="s">
        <v>31</v>
      </c>
      <c r="C101" s="10">
        <v>317.43499760999998</v>
      </c>
      <c r="D101" s="10" t="s">
        <v>16</v>
      </c>
      <c r="E101" s="344">
        <f ca="1"/>
        <v>6.3005025125087058E-2</v>
      </c>
      <c r="F101" s="11">
        <v>20</v>
      </c>
      <c r="G101" s="12">
        <v>20</v>
      </c>
      <c r="H101" s="12" t="s">
        <v>32</v>
      </c>
      <c r="I101" s="13"/>
      <c r="J101" s="14"/>
      <c r="K101" s="14"/>
      <c r="L101" s="15"/>
      <c r="M101" s="16"/>
      <c r="N101" s="17"/>
    </row>
    <row r="102" spans="1:14" x14ac:dyDescent="0.2">
      <c r="A102" s="349">
        <v>45003.275046296287</v>
      </c>
      <c r="B102" s="9" t="s">
        <v>31</v>
      </c>
      <c r="C102" s="10">
        <v>5.483242E-2</v>
      </c>
      <c r="D102" s="10" t="s">
        <v>40</v>
      </c>
      <c r="E102" s="344">
        <f ca="1"/>
        <v>1823.7385838523996</v>
      </c>
      <c r="F102" s="11">
        <v>100</v>
      </c>
      <c r="G102" s="12">
        <v>100</v>
      </c>
      <c r="H102" s="12" t="s">
        <v>32</v>
      </c>
      <c r="I102" s="13"/>
      <c r="J102" s="14"/>
      <c r="K102" s="14"/>
      <c r="L102" s="15"/>
      <c r="M102" s="16"/>
      <c r="N102" s="17"/>
    </row>
    <row r="103" spans="1:14" x14ac:dyDescent="0.2">
      <c r="A103" s="349">
        <v>44998.836458333331</v>
      </c>
      <c r="B103" s="9" t="s">
        <v>31</v>
      </c>
      <c r="C103" s="10">
        <v>309.67942733000001</v>
      </c>
      <c r="D103" s="10" t="s">
        <v>16</v>
      </c>
      <c r="E103" s="344">
        <f ca="1"/>
        <v>6.4582914572131514E-2</v>
      </c>
      <c r="F103" s="11">
        <v>20</v>
      </c>
      <c r="G103" s="12">
        <v>20</v>
      </c>
      <c r="H103" s="12" t="s">
        <v>32</v>
      </c>
      <c r="I103" s="13"/>
      <c r="J103" s="14"/>
      <c r="K103" s="14"/>
      <c r="L103" s="15"/>
      <c r="M103" s="16"/>
      <c r="N103" s="17"/>
    </row>
    <row r="104" spans="1:14" x14ac:dyDescent="0.2">
      <c r="A104" s="349">
        <v>44996.272118055553</v>
      </c>
      <c r="B104" s="9" t="s">
        <v>31</v>
      </c>
      <c r="C104" s="10">
        <v>6.8026279999999995E-2</v>
      </c>
      <c r="D104" s="10" t="s">
        <v>40</v>
      </c>
      <c r="E104" s="344">
        <f ca="1"/>
        <v>1470.0201157552642</v>
      </c>
      <c r="F104" s="11">
        <v>100</v>
      </c>
      <c r="G104" s="12">
        <v>100</v>
      </c>
      <c r="H104" s="12" t="s">
        <v>32</v>
      </c>
      <c r="I104" s="13"/>
      <c r="J104" s="14"/>
      <c r="K104" s="14"/>
      <c r="L104" s="15"/>
      <c r="M104" s="16"/>
      <c r="N104" s="17"/>
    </row>
    <row r="105" spans="1:14" x14ac:dyDescent="0.2">
      <c r="A105" s="349">
        <v>44995.768275462957</v>
      </c>
      <c r="B105" s="9" t="s">
        <v>31</v>
      </c>
      <c r="C105" s="10">
        <v>10127.87723785</v>
      </c>
      <c r="D105" s="10" t="s">
        <v>16</v>
      </c>
      <c r="E105" s="344">
        <f ca="1"/>
        <v>5.9242424242433971E-2</v>
      </c>
      <c r="F105" s="11">
        <v>600</v>
      </c>
      <c r="G105" s="12">
        <v>600</v>
      </c>
      <c r="H105" s="12" t="s">
        <v>32</v>
      </c>
      <c r="I105" s="13"/>
      <c r="J105" s="14"/>
      <c r="K105" s="14"/>
      <c r="L105" s="15"/>
      <c r="M105" s="16"/>
      <c r="N105" s="17"/>
    </row>
    <row r="106" spans="1:14" x14ac:dyDescent="0.2">
      <c r="A106" s="349">
        <v>44991.707337962973</v>
      </c>
      <c r="B106" s="9" t="s">
        <v>31</v>
      </c>
      <c r="C106" s="10">
        <v>311.96112242999999</v>
      </c>
      <c r="D106" s="10" t="s">
        <v>16</v>
      </c>
      <c r="E106" s="344">
        <f ca="1"/>
        <v>6.4110552764432172E-2</v>
      </c>
      <c r="F106" s="11">
        <v>20</v>
      </c>
      <c r="G106" s="12">
        <v>20</v>
      </c>
      <c r="H106" s="12" t="s">
        <v>32</v>
      </c>
      <c r="I106" s="13"/>
      <c r="J106" s="14"/>
      <c r="K106" s="14"/>
      <c r="L106" s="15"/>
      <c r="M106" s="16"/>
      <c r="N106" s="17"/>
    </row>
    <row r="107" spans="1:14" x14ac:dyDescent="0.2">
      <c r="A107" s="349">
        <v>44989.183298611111</v>
      </c>
      <c r="B107" s="9" t="s">
        <v>31</v>
      </c>
      <c r="C107" s="10">
        <v>6.3290739999999998E-2</v>
      </c>
      <c r="D107" s="10" t="s">
        <v>40</v>
      </c>
      <c r="E107" s="344">
        <f ca="1"/>
        <v>1580.0099667028701</v>
      </c>
      <c r="F107" s="11">
        <v>100</v>
      </c>
      <c r="G107" s="12">
        <v>100</v>
      </c>
      <c r="H107" s="12" t="s">
        <v>32</v>
      </c>
      <c r="I107" s="13"/>
      <c r="J107" s="14"/>
      <c r="K107" s="14"/>
      <c r="L107" s="15"/>
      <c r="M107" s="16"/>
      <c r="N107" s="17"/>
    </row>
    <row r="108" spans="1:14" x14ac:dyDescent="0.2">
      <c r="A108" s="349">
        <v>44988.631215277783</v>
      </c>
      <c r="B108" s="9" t="s">
        <v>36</v>
      </c>
      <c r="C108" s="10">
        <v>26.008521089999999</v>
      </c>
      <c r="D108" s="10" t="s">
        <v>42</v>
      </c>
      <c r="E108" s="344">
        <f ca="1"/>
        <v>6.9111965027920013</v>
      </c>
      <c r="F108" s="11">
        <v>179.75</v>
      </c>
      <c r="G108" s="12">
        <v>15.414179000000001</v>
      </c>
      <c r="H108" s="12" t="s">
        <v>33</v>
      </c>
      <c r="I108" s="13">
        <v>200.34</v>
      </c>
      <c r="J108" s="14"/>
      <c r="K108" s="14"/>
      <c r="L108" s="15"/>
      <c r="M108" s="16">
        <v>-20.59</v>
      </c>
      <c r="N108" s="17"/>
    </row>
    <row r="109" spans="1:14" x14ac:dyDescent="0.2">
      <c r="A109" s="349">
        <v>44988.630995370368</v>
      </c>
      <c r="B109" s="9" t="s">
        <v>36</v>
      </c>
      <c r="C109" s="10">
        <v>53.468029299999998</v>
      </c>
      <c r="D109" s="10" t="s">
        <v>42</v>
      </c>
      <c r="E109" s="344">
        <f ca="1"/>
        <v>6.9123550061344785</v>
      </c>
      <c r="F109" s="11">
        <v>369.59</v>
      </c>
      <c r="G109" s="12">
        <v>3.07045689</v>
      </c>
      <c r="H109" s="12" t="s">
        <v>49</v>
      </c>
      <c r="I109" s="13">
        <v>400.08</v>
      </c>
      <c r="J109" s="14"/>
      <c r="K109" s="14"/>
      <c r="L109" s="15"/>
      <c r="M109" s="16">
        <v>-30.49</v>
      </c>
      <c r="N109" s="17"/>
    </row>
    <row r="110" spans="1:14" x14ac:dyDescent="0.2">
      <c r="A110" s="349">
        <v>44987.098090277781</v>
      </c>
      <c r="B110" s="9" t="s">
        <v>36</v>
      </c>
      <c r="C110" s="10">
        <v>15.381562000000001</v>
      </c>
      <c r="D110" s="10" t="s">
        <v>33</v>
      </c>
      <c r="E110" s="344">
        <f ca="1"/>
        <v>12.999329977020539</v>
      </c>
      <c r="F110" s="11">
        <v>199.95</v>
      </c>
      <c r="G110" s="12">
        <v>2900.6526468500001</v>
      </c>
      <c r="H110" s="12" t="s">
        <v>16</v>
      </c>
      <c r="I110" s="13">
        <v>226.11</v>
      </c>
      <c r="J110" s="14"/>
      <c r="K110" s="14"/>
      <c r="L110" s="15"/>
      <c r="M110" s="16">
        <v>-26.16</v>
      </c>
      <c r="N110" s="17"/>
    </row>
    <row r="111" spans="1:14" x14ac:dyDescent="0.2">
      <c r="A111" s="349">
        <v>44987.096597222233</v>
      </c>
      <c r="B111" s="9" t="s">
        <v>36</v>
      </c>
      <c r="C111" s="10">
        <v>3.07045689</v>
      </c>
      <c r="D111" s="10" t="s">
        <v>49</v>
      </c>
      <c r="E111" s="344">
        <f ca="1"/>
        <v>130.29982648608365</v>
      </c>
      <c r="F111" s="11">
        <v>400.08</v>
      </c>
      <c r="G111" s="12">
        <v>1628.001628</v>
      </c>
      <c r="H111" s="12" t="s">
        <v>44</v>
      </c>
      <c r="I111" s="13">
        <v>421.22</v>
      </c>
      <c r="J111" s="14"/>
      <c r="K111" s="14"/>
      <c r="L111" s="15"/>
      <c r="M111" s="16">
        <v>-21.14</v>
      </c>
      <c r="N111" s="17"/>
    </row>
    <row r="112" spans="1:14" x14ac:dyDescent="0.2">
      <c r="A112" s="349">
        <v>44987.095312500001</v>
      </c>
      <c r="B112" s="9" t="s">
        <v>36</v>
      </c>
      <c r="C112" s="10">
        <v>12639.46303323</v>
      </c>
      <c r="D112" s="10" t="s">
        <v>16</v>
      </c>
      <c r="E112" s="344">
        <f ca="1"/>
        <v>6.9024293018328603E-2</v>
      </c>
      <c r="F112" s="11">
        <v>872.43</v>
      </c>
      <c r="G112" s="12">
        <v>120.123239</v>
      </c>
      <c r="H112" s="12" t="s">
        <v>42</v>
      </c>
      <c r="I112" s="13">
        <v>863.24</v>
      </c>
      <c r="J112" s="14"/>
      <c r="K112" s="14"/>
      <c r="L112" s="15"/>
      <c r="M112" s="16">
        <v>9.19</v>
      </c>
      <c r="N112" s="17"/>
    </row>
    <row r="113" spans="1:14" x14ac:dyDescent="0.2">
      <c r="A113" s="349">
        <v>44984.694976851853</v>
      </c>
      <c r="B113" s="9" t="s">
        <v>31</v>
      </c>
      <c r="C113" s="10">
        <v>274.33140336000002</v>
      </c>
      <c r="D113" s="10" t="s">
        <v>16</v>
      </c>
      <c r="E113" s="344">
        <f ca="1"/>
        <v>7.2904522614038361E-2</v>
      </c>
      <c r="F113" s="11">
        <v>20</v>
      </c>
      <c r="G113" s="12">
        <v>20</v>
      </c>
      <c r="H113" s="12" t="s">
        <v>32</v>
      </c>
      <c r="I113" s="13"/>
      <c r="J113" s="14"/>
      <c r="K113" s="14"/>
      <c r="L113" s="15"/>
      <c r="M113" s="16"/>
      <c r="N113" s="17"/>
    </row>
    <row r="114" spans="1:14" x14ac:dyDescent="0.2">
      <c r="A114" s="349">
        <v>44983.002835648149</v>
      </c>
      <c r="B114" s="9" t="s">
        <v>36</v>
      </c>
      <c r="C114" s="10">
        <v>9.3259999999999998E-5</v>
      </c>
      <c r="D114" s="10" t="s">
        <v>40</v>
      </c>
      <c r="E114" s="344">
        <f ca="1"/>
        <v>1608.4066051897919</v>
      </c>
      <c r="F114" s="11">
        <v>0.15</v>
      </c>
      <c r="G114" s="12">
        <v>0.42198000000000002</v>
      </c>
      <c r="H114" s="12" t="s">
        <v>35</v>
      </c>
      <c r="I114" s="13">
        <v>0.14000000000000001</v>
      </c>
      <c r="J114" s="14"/>
      <c r="K114" s="14"/>
      <c r="L114" s="15"/>
      <c r="M114" s="16">
        <v>0.01</v>
      </c>
      <c r="N114" s="17"/>
    </row>
    <row r="115" spans="1:14" x14ac:dyDescent="0.2">
      <c r="A115" s="349">
        <v>44983.002500000002</v>
      </c>
      <c r="B115" s="9" t="s">
        <v>36</v>
      </c>
      <c r="C115" s="10">
        <v>985.44249100000002</v>
      </c>
      <c r="D115" s="10" t="s">
        <v>44</v>
      </c>
      <c r="E115" s="344">
        <f ca="1"/>
        <v>0.250395129349055</v>
      </c>
      <c r="F115" s="11">
        <v>246.75</v>
      </c>
      <c r="G115" s="12">
        <v>1.9211087099999999</v>
      </c>
      <c r="H115" s="12" t="s">
        <v>49</v>
      </c>
      <c r="I115" s="13">
        <v>242.27</v>
      </c>
      <c r="J115" s="14"/>
      <c r="K115" s="14"/>
      <c r="L115" s="15"/>
      <c r="M115" s="16">
        <v>4.4800000000000004</v>
      </c>
      <c r="N115" s="17"/>
    </row>
    <row r="116" spans="1:14" x14ac:dyDescent="0.2">
      <c r="A116" s="349">
        <v>44982.996921296297</v>
      </c>
      <c r="B116" s="9" t="s">
        <v>36</v>
      </c>
      <c r="C116" s="10">
        <v>838.19814699999995</v>
      </c>
      <c r="D116" s="10" t="s">
        <v>44</v>
      </c>
      <c r="E116" s="344">
        <f ca="1"/>
        <v>0.25048969715749086</v>
      </c>
      <c r="F116" s="11">
        <v>209.96</v>
      </c>
      <c r="G116" s="12">
        <v>16.782613999999999</v>
      </c>
      <c r="H116" s="12" t="s">
        <v>33</v>
      </c>
      <c r="I116" s="13">
        <v>225.21</v>
      </c>
      <c r="J116" s="14"/>
      <c r="K116" s="14"/>
      <c r="L116" s="15"/>
      <c r="M116" s="16">
        <v>-15.25</v>
      </c>
      <c r="N116" s="17"/>
    </row>
    <row r="117" spans="1:14" x14ac:dyDescent="0.2">
      <c r="A117" s="349">
        <v>44982.6640625</v>
      </c>
      <c r="B117" s="9" t="s">
        <v>31</v>
      </c>
      <c r="C117" s="10">
        <v>1.5312399999999999</v>
      </c>
      <c r="D117" s="10" t="s">
        <v>33</v>
      </c>
      <c r="E117" s="344">
        <f ca="1"/>
        <v>13.061309788145556</v>
      </c>
      <c r="F117" s="11">
        <v>20</v>
      </c>
      <c r="G117" s="12">
        <v>20</v>
      </c>
      <c r="H117" s="12" t="s">
        <v>32</v>
      </c>
      <c r="I117" s="13"/>
      <c r="J117" s="14"/>
      <c r="K117" s="14"/>
      <c r="L117" s="15"/>
      <c r="M117" s="16"/>
      <c r="N117" s="17"/>
    </row>
    <row r="118" spans="1:14" x14ac:dyDescent="0.2">
      <c r="A118" s="349">
        <v>44982.663055555553</v>
      </c>
      <c r="B118" s="9" t="s">
        <v>31</v>
      </c>
      <c r="C118" s="10">
        <v>0.15222214000000001</v>
      </c>
      <c r="D118" s="10" t="s">
        <v>49</v>
      </c>
      <c r="E118" s="344">
        <f ca="1"/>
        <v>131.38693228199261</v>
      </c>
      <c r="F118" s="11">
        <v>20</v>
      </c>
      <c r="G118" s="12">
        <v>20</v>
      </c>
      <c r="H118" s="12" t="s">
        <v>32</v>
      </c>
      <c r="I118" s="13"/>
      <c r="J118" s="14"/>
      <c r="K118" s="14"/>
      <c r="L118" s="15"/>
      <c r="M118" s="16"/>
      <c r="N118" s="17"/>
    </row>
    <row r="119" spans="1:14" x14ac:dyDescent="0.2">
      <c r="A119" s="349">
        <v>44982.243877314817</v>
      </c>
      <c r="B119" s="9" t="s">
        <v>31</v>
      </c>
      <c r="C119" s="10">
        <v>6.234141E-2</v>
      </c>
      <c r="D119" s="10" t="s">
        <v>40</v>
      </c>
      <c r="E119" s="344">
        <f ca="1"/>
        <v>1604.0702319694085</v>
      </c>
      <c r="F119" s="11">
        <v>100</v>
      </c>
      <c r="G119" s="12">
        <v>100</v>
      </c>
      <c r="H119" s="12" t="s">
        <v>32</v>
      </c>
      <c r="I119" s="13"/>
      <c r="J119" s="14"/>
      <c r="K119" s="14"/>
      <c r="L119" s="15"/>
      <c r="M119" s="16"/>
      <c r="N119" s="17"/>
    </row>
    <row r="120" spans="1:14" x14ac:dyDescent="0.2">
      <c r="A120" s="349">
        <v>44981.204039351847</v>
      </c>
      <c r="B120" s="9" t="s">
        <v>31</v>
      </c>
      <c r="C120" s="10">
        <v>12.42352354</v>
      </c>
      <c r="D120" s="10" t="s">
        <v>42</v>
      </c>
      <c r="E120" s="344">
        <f ca="1"/>
        <v>8.0492462285784026</v>
      </c>
      <c r="F120" s="11">
        <v>100</v>
      </c>
      <c r="G120" s="12">
        <v>100</v>
      </c>
      <c r="H120" s="12" t="s">
        <v>32</v>
      </c>
      <c r="I120" s="13"/>
      <c r="J120" s="14"/>
      <c r="K120" s="14"/>
      <c r="L120" s="15"/>
      <c r="M120" s="16"/>
      <c r="N120" s="17"/>
    </row>
    <row r="121" spans="1:14" x14ac:dyDescent="0.2">
      <c r="A121" s="349">
        <v>44977.752233796287</v>
      </c>
      <c r="B121" s="9" t="s">
        <v>31</v>
      </c>
      <c r="C121" s="10">
        <v>227.92349100999999</v>
      </c>
      <c r="D121" s="10" t="s">
        <v>16</v>
      </c>
      <c r="E121" s="344">
        <f ca="1"/>
        <v>8.7748743718226538E-2</v>
      </c>
      <c r="F121" s="11">
        <v>20</v>
      </c>
      <c r="G121" s="12">
        <v>20</v>
      </c>
      <c r="H121" s="12" t="s">
        <v>32</v>
      </c>
      <c r="I121" s="13"/>
      <c r="J121" s="14"/>
      <c r="K121" s="14"/>
      <c r="L121" s="15"/>
      <c r="M121" s="16"/>
      <c r="N121" s="17"/>
    </row>
    <row r="122" spans="1:14" x14ac:dyDescent="0.2">
      <c r="A122" s="349">
        <v>44976.512546296297</v>
      </c>
      <c r="B122" s="9" t="s">
        <v>31</v>
      </c>
      <c r="C122" s="10">
        <v>0.11851100000000001</v>
      </c>
      <c r="D122" s="10" t="s">
        <v>40</v>
      </c>
      <c r="E122" s="344">
        <f ca="1"/>
        <v>1695.8763321548208</v>
      </c>
      <c r="F122" s="11">
        <v>200.98</v>
      </c>
      <c r="G122" s="12"/>
      <c r="H122" s="12"/>
      <c r="I122" s="13"/>
      <c r="J122" s="14"/>
      <c r="K122" s="14"/>
      <c r="L122" s="15"/>
      <c r="M122" s="16"/>
      <c r="N122" s="17"/>
    </row>
    <row r="123" spans="1:14" x14ac:dyDescent="0.2">
      <c r="A123" s="349">
        <v>44975.981064814812</v>
      </c>
      <c r="B123" s="9" t="s">
        <v>39</v>
      </c>
      <c r="C123" s="10"/>
      <c r="D123" s="10" t="s">
        <v>32</v>
      </c>
      <c r="E123" s="344" t="str">
        <f ca="1"/>
        <v/>
      </c>
      <c r="F123" s="11"/>
      <c r="G123" s="12">
        <v>2.9593999999999999E-2</v>
      </c>
      <c r="H123" s="12" t="s">
        <v>40</v>
      </c>
      <c r="I123" s="13">
        <v>52.49</v>
      </c>
      <c r="J123" s="14">
        <v>8.8209999999999997E-5</v>
      </c>
      <c r="K123" s="14" t="s">
        <v>40</v>
      </c>
      <c r="L123" s="15">
        <v>0.16</v>
      </c>
      <c r="M123" s="16">
        <v>-2.48</v>
      </c>
      <c r="N123" s="17">
        <v>-0.01</v>
      </c>
    </row>
    <row r="124" spans="1:14" x14ac:dyDescent="0.2">
      <c r="A124" s="349">
        <v>44975.27003472222</v>
      </c>
      <c r="B124" s="9" t="s">
        <v>31</v>
      </c>
      <c r="C124" s="10">
        <v>5.859031E-2</v>
      </c>
      <c r="D124" s="10" t="s">
        <v>40</v>
      </c>
      <c r="E124" s="344">
        <f ca="1"/>
        <v>1706.7668698117488</v>
      </c>
      <c r="F124" s="11">
        <v>100</v>
      </c>
      <c r="G124" s="12">
        <v>100</v>
      </c>
      <c r="H124" s="12" t="s">
        <v>32</v>
      </c>
      <c r="I124" s="13"/>
      <c r="J124" s="14"/>
      <c r="K124" s="14"/>
      <c r="L124" s="15"/>
      <c r="M124" s="16"/>
      <c r="N124" s="17"/>
    </row>
    <row r="125" spans="1:14" x14ac:dyDescent="0.2">
      <c r="A125" s="349">
        <v>44974.826979166668</v>
      </c>
      <c r="B125" s="9" t="s">
        <v>31</v>
      </c>
      <c r="C125" s="10">
        <v>0.12271883</v>
      </c>
      <c r="D125" s="10" t="s">
        <v>40</v>
      </c>
      <c r="E125" s="344">
        <f ca="1"/>
        <v>1706.0951444859766</v>
      </c>
      <c r="F125" s="11">
        <v>209.37</v>
      </c>
      <c r="G125" s="12"/>
      <c r="H125" s="12"/>
      <c r="I125" s="13"/>
      <c r="J125" s="14"/>
      <c r="K125" s="14"/>
      <c r="L125" s="15"/>
      <c r="M125" s="16"/>
      <c r="N125" s="17"/>
    </row>
    <row r="126" spans="1:14" x14ac:dyDescent="0.2">
      <c r="A126" s="349">
        <v>44974.197002314817</v>
      </c>
      <c r="B126" s="9" t="s">
        <v>31</v>
      </c>
      <c r="C126" s="10">
        <v>13.840589789999999</v>
      </c>
      <c r="D126" s="10" t="s">
        <v>42</v>
      </c>
      <c r="E126" s="344">
        <f ca="1"/>
        <v>7.2251256281181933</v>
      </c>
      <c r="F126" s="11">
        <v>100</v>
      </c>
      <c r="G126" s="12">
        <v>100</v>
      </c>
      <c r="H126" s="12" t="s">
        <v>32</v>
      </c>
      <c r="I126" s="13"/>
      <c r="J126" s="14"/>
      <c r="K126" s="14"/>
      <c r="L126" s="15"/>
      <c r="M126" s="16"/>
      <c r="N126" s="17"/>
    </row>
    <row r="127" spans="1:14" x14ac:dyDescent="0.2">
      <c r="A127" s="349">
        <v>44970.813946759263</v>
      </c>
      <c r="B127" s="9" t="s">
        <v>31</v>
      </c>
      <c r="C127" s="10">
        <v>226.59986336</v>
      </c>
      <c r="D127" s="10" t="s">
        <v>16</v>
      </c>
      <c r="E127" s="344">
        <f ca="1"/>
        <v>8.8261306531442735E-2</v>
      </c>
      <c r="F127" s="11">
        <v>20</v>
      </c>
      <c r="G127" s="12">
        <v>20</v>
      </c>
      <c r="H127" s="12" t="s">
        <v>32</v>
      </c>
      <c r="I127" s="13"/>
      <c r="J127" s="14"/>
      <c r="K127" s="14"/>
      <c r="L127" s="15"/>
      <c r="M127" s="16"/>
      <c r="N127" s="17"/>
    </row>
    <row r="128" spans="1:14" x14ac:dyDescent="0.2">
      <c r="A128" s="349">
        <v>44968.093576388892</v>
      </c>
      <c r="B128" s="9" t="s">
        <v>36</v>
      </c>
      <c r="C128" s="10">
        <v>5.7539899999999999</v>
      </c>
      <c r="D128" s="10" t="s">
        <v>33</v>
      </c>
      <c r="E128" s="344">
        <f ca="1"/>
        <v>13.995505727330078</v>
      </c>
      <c r="F128" s="11">
        <v>80.53</v>
      </c>
      <c r="G128" s="12">
        <v>4.5437105100000004</v>
      </c>
      <c r="H128" s="12" t="s">
        <v>50</v>
      </c>
      <c r="I128" s="13">
        <v>60</v>
      </c>
      <c r="J128" s="14"/>
      <c r="K128" s="14"/>
      <c r="L128" s="15"/>
      <c r="M128" s="16">
        <v>20.53</v>
      </c>
      <c r="N128" s="17"/>
    </row>
    <row r="129" spans="1:14" x14ac:dyDescent="0.2">
      <c r="A129" s="349">
        <v>44968.091805555552</v>
      </c>
      <c r="B129" s="9" t="s">
        <v>36</v>
      </c>
      <c r="C129" s="10">
        <v>353.71018700000002</v>
      </c>
      <c r="D129" s="10" t="s">
        <v>44</v>
      </c>
      <c r="E129" s="344">
        <f ca="1"/>
        <v>0.24952631630029926</v>
      </c>
      <c r="F129" s="11">
        <v>88.26</v>
      </c>
      <c r="G129" s="12">
        <v>4.4627800799999999</v>
      </c>
      <c r="H129" s="12" t="s">
        <v>34</v>
      </c>
      <c r="I129" s="13">
        <v>100.01</v>
      </c>
      <c r="J129" s="14"/>
      <c r="K129" s="14"/>
      <c r="L129" s="15"/>
      <c r="M129" s="16">
        <v>-11.75</v>
      </c>
      <c r="N129" s="17"/>
    </row>
    <row r="130" spans="1:14" x14ac:dyDescent="0.2">
      <c r="A130" s="349">
        <v>44968.091365740736</v>
      </c>
      <c r="B130" s="9" t="s">
        <v>36</v>
      </c>
      <c r="C130" s="10">
        <v>570.41654500000004</v>
      </c>
      <c r="D130" s="10" t="s">
        <v>44</v>
      </c>
      <c r="E130" s="344">
        <f ca="1"/>
        <v>0.24969472089909314</v>
      </c>
      <c r="F130" s="11">
        <v>142.43</v>
      </c>
      <c r="G130" s="12">
        <v>119.36914477000001</v>
      </c>
      <c r="H130" s="12" t="s">
        <v>51</v>
      </c>
      <c r="I130" s="13">
        <v>150</v>
      </c>
      <c r="J130" s="14"/>
      <c r="K130" s="14"/>
      <c r="L130" s="15"/>
      <c r="M130" s="16">
        <v>-7.57</v>
      </c>
      <c r="N130" s="17"/>
    </row>
    <row r="131" spans="1:14" x14ac:dyDescent="0.2">
      <c r="A131" s="349">
        <v>44968.090486111112</v>
      </c>
      <c r="B131" s="9" t="s">
        <v>36</v>
      </c>
      <c r="C131" s="10">
        <v>23.956347149999999</v>
      </c>
      <c r="D131" s="10" t="s">
        <v>42</v>
      </c>
      <c r="E131" s="344">
        <f ca="1"/>
        <v>6.8962934526518582</v>
      </c>
      <c r="F131" s="11">
        <v>165.21</v>
      </c>
      <c r="G131" s="12">
        <v>472.56975499999999</v>
      </c>
      <c r="H131" s="12" t="s">
        <v>35</v>
      </c>
      <c r="I131" s="13">
        <v>178.89</v>
      </c>
      <c r="J131" s="14"/>
      <c r="K131" s="14"/>
      <c r="L131" s="15"/>
      <c r="M131" s="16">
        <v>-13.68</v>
      </c>
      <c r="N131" s="17"/>
    </row>
    <row r="132" spans="1:14" x14ac:dyDescent="0.2">
      <c r="A132" s="349">
        <v>44968.089733796303</v>
      </c>
      <c r="B132" s="9" t="s">
        <v>36</v>
      </c>
      <c r="C132" s="10">
        <v>28.723336209999999</v>
      </c>
      <c r="D132" s="10" t="s">
        <v>42</v>
      </c>
      <c r="E132" s="344">
        <f ca="1"/>
        <v>6.8943941104952868</v>
      </c>
      <c r="F132" s="11">
        <v>198.03</v>
      </c>
      <c r="G132" s="12">
        <v>2353.6324543000001</v>
      </c>
      <c r="H132" s="12" t="s">
        <v>45</v>
      </c>
      <c r="I132" s="13">
        <v>213.33</v>
      </c>
      <c r="J132" s="14"/>
      <c r="K132" s="14"/>
      <c r="L132" s="15"/>
      <c r="M132" s="16">
        <v>-15.3</v>
      </c>
      <c r="N132" s="17"/>
    </row>
    <row r="133" spans="1:14" x14ac:dyDescent="0.2">
      <c r="A133" s="349">
        <v>44968.077048611107</v>
      </c>
      <c r="B133" s="9" t="s">
        <v>31</v>
      </c>
      <c r="C133" s="10">
        <v>6.5716040000000003E-2</v>
      </c>
      <c r="D133" s="10" t="s">
        <v>40</v>
      </c>
      <c r="E133" s="344">
        <f ca="1"/>
        <v>1521.6985077007073</v>
      </c>
      <c r="F133" s="11">
        <v>100</v>
      </c>
      <c r="G133" s="12">
        <v>100</v>
      </c>
      <c r="H133" s="12" t="s">
        <v>32</v>
      </c>
      <c r="I133" s="13"/>
      <c r="J133" s="14"/>
      <c r="K133" s="14"/>
      <c r="L133" s="15"/>
      <c r="M133" s="16"/>
      <c r="N133" s="17"/>
    </row>
    <row r="134" spans="1:14" x14ac:dyDescent="0.2">
      <c r="A134" s="349">
        <v>44967.088020833333</v>
      </c>
      <c r="B134" s="9" t="s">
        <v>31</v>
      </c>
      <c r="C134" s="10">
        <v>13.799135100000001</v>
      </c>
      <c r="D134" s="10" t="s">
        <v>42</v>
      </c>
      <c r="E134" s="344">
        <f ca="1"/>
        <v>7.0301507519844488</v>
      </c>
      <c r="F134" s="11">
        <v>97.01</v>
      </c>
      <c r="G134" s="12">
        <v>97.01</v>
      </c>
      <c r="H134" s="12" t="s">
        <v>32</v>
      </c>
      <c r="I134" s="13"/>
      <c r="J134" s="14">
        <v>2.99</v>
      </c>
      <c r="K134" s="14" t="s">
        <v>32</v>
      </c>
      <c r="L134" s="15">
        <v>2.99</v>
      </c>
      <c r="M134" s="16"/>
      <c r="N134" s="17"/>
    </row>
    <row r="135" spans="1:14" x14ac:dyDescent="0.2">
      <c r="A135" s="349">
        <v>44966.559907407413</v>
      </c>
      <c r="B135" s="9" t="s">
        <v>31</v>
      </c>
      <c r="C135" s="10">
        <v>345.467266</v>
      </c>
      <c r="D135" s="10" t="s">
        <v>44</v>
      </c>
      <c r="E135" s="344">
        <f ca="1"/>
        <v>0.280808080960122</v>
      </c>
      <c r="F135" s="11">
        <v>97.01</v>
      </c>
      <c r="G135" s="12">
        <v>97.01</v>
      </c>
      <c r="H135" s="12" t="s">
        <v>32</v>
      </c>
      <c r="I135" s="13"/>
      <c r="J135" s="14">
        <v>2.99</v>
      </c>
      <c r="K135" s="14" t="s">
        <v>32</v>
      </c>
      <c r="L135" s="15">
        <v>2.99</v>
      </c>
      <c r="M135" s="16"/>
      <c r="N135" s="17"/>
    </row>
    <row r="136" spans="1:14" x14ac:dyDescent="0.2">
      <c r="A136" s="349">
        <v>44966.1406712963</v>
      </c>
      <c r="B136" s="9" t="s">
        <v>31</v>
      </c>
      <c r="C136" s="10">
        <v>2.63709192</v>
      </c>
      <c r="D136" s="10" t="s">
        <v>42</v>
      </c>
      <c r="E136" s="344">
        <f ca="1"/>
        <v>7.0190954890946697</v>
      </c>
      <c r="F136" s="11">
        <v>18.510000000000002</v>
      </c>
      <c r="G136" s="12">
        <v>18.510000000000002</v>
      </c>
      <c r="H136" s="12" t="s">
        <v>32</v>
      </c>
      <c r="I136" s="13"/>
      <c r="J136" s="14">
        <v>1.49</v>
      </c>
      <c r="K136" s="14" t="s">
        <v>32</v>
      </c>
      <c r="L136" s="15">
        <v>1.49</v>
      </c>
      <c r="M136" s="16"/>
      <c r="N136" s="17"/>
    </row>
    <row r="137" spans="1:14" x14ac:dyDescent="0.2">
      <c r="A137" s="349">
        <v>44966.117291666669</v>
      </c>
      <c r="B137" s="9" t="s">
        <v>31</v>
      </c>
      <c r="C137" s="10">
        <v>13.39468619</v>
      </c>
      <c r="D137" s="10" t="s">
        <v>42</v>
      </c>
      <c r="E137" s="344">
        <f ca="1"/>
        <v>7.2424242437590101</v>
      </c>
      <c r="F137" s="11">
        <v>97.01</v>
      </c>
      <c r="G137" s="12">
        <v>97.01</v>
      </c>
      <c r="H137" s="12" t="s">
        <v>32</v>
      </c>
      <c r="I137" s="13"/>
      <c r="J137" s="14">
        <v>2.99</v>
      </c>
      <c r="K137" s="14" t="s">
        <v>32</v>
      </c>
      <c r="L137" s="15">
        <v>2.99</v>
      </c>
      <c r="M137" s="16"/>
      <c r="N137" s="17"/>
    </row>
    <row r="138" spans="1:14" x14ac:dyDescent="0.2">
      <c r="A138" s="349">
        <v>44966.116851851853</v>
      </c>
      <c r="B138" s="9" t="s">
        <v>31</v>
      </c>
      <c r="C138" s="10">
        <v>1062.7997565000001</v>
      </c>
      <c r="D138" s="10" t="s">
        <v>45</v>
      </c>
      <c r="E138" s="344">
        <f ca="1"/>
        <v>9.127777778146301E-2</v>
      </c>
      <c r="F138" s="11">
        <v>97.01</v>
      </c>
      <c r="G138" s="12">
        <v>97.01</v>
      </c>
      <c r="H138" s="12" t="s">
        <v>32</v>
      </c>
      <c r="I138" s="13"/>
      <c r="J138" s="14">
        <v>2.99</v>
      </c>
      <c r="K138" s="14" t="s">
        <v>32</v>
      </c>
      <c r="L138" s="15">
        <v>2.99</v>
      </c>
      <c r="M138" s="16"/>
      <c r="N138" s="17"/>
    </row>
    <row r="139" spans="1:14" x14ac:dyDescent="0.2">
      <c r="A139" s="349">
        <v>44963.714803240742</v>
      </c>
      <c r="B139" s="9" t="s">
        <v>31</v>
      </c>
      <c r="C139" s="10">
        <v>264.01674599</v>
      </c>
      <c r="D139" s="10" t="s">
        <v>16</v>
      </c>
      <c r="E139" s="344">
        <f ca="1"/>
        <v>7.0109189212948994E-2</v>
      </c>
      <c r="F139" s="11">
        <v>18.510000000000002</v>
      </c>
      <c r="G139" s="12">
        <v>18.510000000000002</v>
      </c>
      <c r="H139" s="12" t="s">
        <v>32</v>
      </c>
      <c r="I139" s="13"/>
      <c r="J139" s="14">
        <v>1.49</v>
      </c>
      <c r="K139" s="14" t="s">
        <v>32</v>
      </c>
      <c r="L139" s="15">
        <v>1.49</v>
      </c>
      <c r="M139" s="16"/>
      <c r="N139" s="17"/>
    </row>
    <row r="140" spans="1:14" x14ac:dyDescent="0.2">
      <c r="A140" s="349">
        <v>44963.270439814813</v>
      </c>
      <c r="B140" s="9" t="s">
        <v>31</v>
      </c>
      <c r="C140" s="10">
        <v>1.132712E-2</v>
      </c>
      <c r="D140" s="10" t="s">
        <v>40</v>
      </c>
      <c r="E140" s="344">
        <f ca="1"/>
        <v>1634.1311825071159</v>
      </c>
      <c r="F140" s="11">
        <v>18.510000000000002</v>
      </c>
      <c r="G140" s="12">
        <v>18.510000000000002</v>
      </c>
      <c r="H140" s="12" t="s">
        <v>32</v>
      </c>
      <c r="I140" s="13"/>
      <c r="J140" s="14">
        <v>1.49</v>
      </c>
      <c r="K140" s="14" t="s">
        <v>32</v>
      </c>
      <c r="L140" s="15">
        <v>1.49</v>
      </c>
      <c r="M140" s="16"/>
      <c r="N140" s="17"/>
    </row>
    <row r="141" spans="1:14" x14ac:dyDescent="0.2">
      <c r="A141" s="349">
        <v>44958.88108796296</v>
      </c>
      <c r="B141" s="9" t="s">
        <v>31</v>
      </c>
      <c r="C141" s="10">
        <v>2.5693987200000001</v>
      </c>
      <c r="D141" s="10" t="s">
        <v>42</v>
      </c>
      <c r="E141" s="344">
        <f ca="1"/>
        <v>7.2040200907393617</v>
      </c>
      <c r="F141" s="11">
        <v>18.510000000000002</v>
      </c>
      <c r="G141" s="12">
        <v>18.510000000000002</v>
      </c>
      <c r="H141" s="12" t="s">
        <v>32</v>
      </c>
      <c r="I141" s="13"/>
      <c r="J141" s="14">
        <v>1.49</v>
      </c>
      <c r="K141" s="14" t="s">
        <v>32</v>
      </c>
      <c r="L141" s="15">
        <v>1.49</v>
      </c>
      <c r="M141" s="16"/>
      <c r="N141" s="17"/>
    </row>
    <row r="142" spans="1:14" x14ac:dyDescent="0.2">
      <c r="A142" s="349">
        <v>44956.843090277784</v>
      </c>
      <c r="B142" s="9" t="s">
        <v>31</v>
      </c>
      <c r="C142" s="10">
        <v>288.44870791</v>
      </c>
      <c r="D142" s="10" t="s">
        <v>16</v>
      </c>
      <c r="E142" s="344">
        <f ca="1"/>
        <v>6.4170854271170377E-2</v>
      </c>
      <c r="F142" s="11">
        <v>18.510000000000002</v>
      </c>
      <c r="G142" s="12">
        <v>18.510000000000002</v>
      </c>
      <c r="H142" s="12" t="s">
        <v>32</v>
      </c>
      <c r="I142" s="13"/>
      <c r="J142" s="14">
        <v>1.49</v>
      </c>
      <c r="K142" s="14" t="s">
        <v>32</v>
      </c>
      <c r="L142" s="15">
        <v>1.49</v>
      </c>
      <c r="M142" s="16"/>
      <c r="N142" s="17"/>
    </row>
    <row r="143" spans="1:14" x14ac:dyDescent="0.2">
      <c r="A143" s="349">
        <v>44956.273356481477</v>
      </c>
      <c r="B143" s="9" t="s">
        <v>31</v>
      </c>
      <c r="C143" s="10">
        <v>1.127567E-2</v>
      </c>
      <c r="D143" s="10" t="s">
        <v>40</v>
      </c>
      <c r="E143" s="344">
        <f ca="1"/>
        <v>1641.5875952382432</v>
      </c>
      <c r="F143" s="11">
        <v>18.510000000000002</v>
      </c>
      <c r="G143" s="12">
        <v>18.510000000000002</v>
      </c>
      <c r="H143" s="12" t="s">
        <v>32</v>
      </c>
      <c r="I143" s="13"/>
      <c r="J143" s="14">
        <v>1.49</v>
      </c>
      <c r="K143" s="14" t="s">
        <v>32</v>
      </c>
      <c r="L143" s="15">
        <v>1.49</v>
      </c>
      <c r="M143" s="16"/>
      <c r="N143" s="17"/>
    </row>
    <row r="144" spans="1:14" x14ac:dyDescent="0.2">
      <c r="A144" s="349">
        <v>44949.780578703707</v>
      </c>
      <c r="B144" s="9" t="s">
        <v>31</v>
      </c>
      <c r="C144" s="10">
        <v>265.38112391999999</v>
      </c>
      <c r="D144" s="10" t="s">
        <v>16</v>
      </c>
      <c r="E144" s="344">
        <f ca="1"/>
        <v>6.9748743718411194E-2</v>
      </c>
      <c r="F144" s="11">
        <v>18.510000000000002</v>
      </c>
      <c r="G144" s="12">
        <v>18.510000000000002</v>
      </c>
      <c r="H144" s="12" t="s">
        <v>32</v>
      </c>
      <c r="I144" s="13"/>
      <c r="J144" s="14">
        <v>1.49</v>
      </c>
      <c r="K144" s="14" t="s">
        <v>32</v>
      </c>
      <c r="L144" s="15">
        <v>1.49</v>
      </c>
      <c r="M144" s="16"/>
      <c r="N144" s="17"/>
    </row>
    <row r="145" spans="1:14" x14ac:dyDescent="0.2">
      <c r="A145" s="349">
        <v>44949.285208333327</v>
      </c>
      <c r="B145" s="9" t="s">
        <v>31</v>
      </c>
      <c r="C145" s="10">
        <v>1.1246539999999999E-2</v>
      </c>
      <c r="D145" s="10" t="s">
        <v>40</v>
      </c>
      <c r="E145" s="344">
        <f ca="1"/>
        <v>1645.8395204213921</v>
      </c>
      <c r="F145" s="11">
        <v>18.510000000000002</v>
      </c>
      <c r="G145" s="12">
        <v>18.510000000000002</v>
      </c>
      <c r="H145" s="12" t="s">
        <v>32</v>
      </c>
      <c r="I145" s="13"/>
      <c r="J145" s="14">
        <v>1.49</v>
      </c>
      <c r="K145" s="14" t="s">
        <v>32</v>
      </c>
      <c r="L145" s="15">
        <v>1.49</v>
      </c>
      <c r="M145" s="16"/>
      <c r="N145" s="17"/>
    </row>
    <row r="146" spans="1:14" x14ac:dyDescent="0.2">
      <c r="A146" s="349">
        <v>44946.915717592587</v>
      </c>
      <c r="B146" s="9" t="s">
        <v>36</v>
      </c>
      <c r="C146" s="10">
        <v>3.5688500000000001E-3</v>
      </c>
      <c r="D146" s="10" t="s">
        <v>40</v>
      </c>
      <c r="E146" s="344">
        <f ca="1"/>
        <v>1678.4118133292236</v>
      </c>
      <c r="F146" s="11">
        <v>5.99</v>
      </c>
      <c r="G146" s="12">
        <v>16.625104</v>
      </c>
      <c r="H146" s="12" t="s">
        <v>35</v>
      </c>
      <c r="I146" s="13">
        <v>7.23</v>
      </c>
      <c r="J146" s="14"/>
      <c r="K146" s="14"/>
      <c r="L146" s="15"/>
      <c r="M146" s="16">
        <v>-1.24</v>
      </c>
      <c r="N146" s="17"/>
    </row>
    <row r="147" spans="1:14" x14ac:dyDescent="0.2">
      <c r="A147" s="349">
        <v>44946.915196759262</v>
      </c>
      <c r="B147" s="9" t="s">
        <v>36</v>
      </c>
      <c r="C147" s="10">
        <v>7.1284349999999996E-2</v>
      </c>
      <c r="D147" s="10" t="s">
        <v>40</v>
      </c>
      <c r="E147" s="344">
        <f ca="1"/>
        <v>1682.5572513461932</v>
      </c>
      <c r="F147" s="11">
        <v>119.94</v>
      </c>
      <c r="G147" s="12">
        <v>0.83455038999999998</v>
      </c>
      <c r="H147" s="12" t="s">
        <v>49</v>
      </c>
      <c r="I147" s="13">
        <v>137.72999999999999</v>
      </c>
      <c r="J147" s="14"/>
      <c r="K147" s="14"/>
      <c r="L147" s="15"/>
      <c r="M147" s="16">
        <v>-17.79</v>
      </c>
      <c r="N147" s="17"/>
    </row>
    <row r="148" spans="1:14" x14ac:dyDescent="0.2">
      <c r="A148" s="349">
        <v>44946.914641203701</v>
      </c>
      <c r="B148" s="9" t="s">
        <v>36</v>
      </c>
      <c r="C148" s="10">
        <v>0.17811527999999999</v>
      </c>
      <c r="D148" s="10" t="s">
        <v>40</v>
      </c>
      <c r="E148" s="344">
        <f ca="1"/>
        <v>1683.2918545786752</v>
      </c>
      <c r="F148" s="11">
        <v>299.82</v>
      </c>
      <c r="G148" s="12">
        <v>3950.2304147499999</v>
      </c>
      <c r="H148" s="12" t="s">
        <v>16</v>
      </c>
      <c r="I148" s="13">
        <v>300.55</v>
      </c>
      <c r="J148" s="14"/>
      <c r="K148" s="14"/>
      <c r="L148" s="15"/>
      <c r="M148" s="16">
        <v>-0.73</v>
      </c>
      <c r="N148" s="17"/>
    </row>
    <row r="149" spans="1:14" x14ac:dyDescent="0.2">
      <c r="A149" s="349">
        <v>44946.913668981477</v>
      </c>
      <c r="B149" s="9" t="s">
        <v>31</v>
      </c>
      <c r="C149" s="10">
        <v>13143.4273417</v>
      </c>
      <c r="D149" s="10" t="s">
        <v>16</v>
      </c>
      <c r="E149" s="344">
        <f ca="1"/>
        <v>7.6083655655577107E-2</v>
      </c>
      <c r="F149" s="11">
        <v>1000</v>
      </c>
      <c r="G149" s="12">
        <v>1000</v>
      </c>
      <c r="H149" s="12" t="s">
        <v>32</v>
      </c>
      <c r="I149" s="13"/>
      <c r="J149" s="14"/>
      <c r="K149" s="14"/>
      <c r="L149" s="15"/>
      <c r="M149" s="16"/>
      <c r="N149" s="17"/>
    </row>
    <row r="150" spans="1:14" x14ac:dyDescent="0.2">
      <c r="A150" s="349">
        <v>44946.740925925929</v>
      </c>
      <c r="B150" s="9" t="s">
        <v>31</v>
      </c>
      <c r="C150" s="10">
        <v>4.4574515999999997</v>
      </c>
      <c r="D150" s="10" t="s">
        <v>34</v>
      </c>
      <c r="E150" s="344">
        <f ca="1"/>
        <v>22.434343426185492</v>
      </c>
      <c r="F150" s="11">
        <v>100</v>
      </c>
      <c r="G150" s="12">
        <v>100</v>
      </c>
      <c r="H150" s="12" t="s">
        <v>32</v>
      </c>
      <c r="I150" s="13"/>
      <c r="J150" s="14"/>
      <c r="K150" s="14"/>
      <c r="L150" s="15"/>
      <c r="M150" s="16"/>
      <c r="N150" s="17"/>
    </row>
    <row r="151" spans="1:14" x14ac:dyDescent="0.2">
      <c r="A151" s="349">
        <v>44942.810347222221</v>
      </c>
      <c r="B151" s="9" t="s">
        <v>31</v>
      </c>
      <c r="C151" s="10">
        <v>372.58940273000002</v>
      </c>
      <c r="D151" s="10" t="s">
        <v>16</v>
      </c>
      <c r="E151" s="344">
        <f ca="1"/>
        <v>5.367839196031339E-2</v>
      </c>
      <c r="F151" s="11">
        <v>20</v>
      </c>
      <c r="G151" s="12">
        <v>20</v>
      </c>
      <c r="H151" s="12" t="s">
        <v>32</v>
      </c>
      <c r="I151" s="13"/>
      <c r="J151" s="14"/>
      <c r="K151" s="14"/>
      <c r="L151" s="15"/>
      <c r="M151" s="16"/>
      <c r="N151" s="17"/>
    </row>
    <row r="152" spans="1:14" x14ac:dyDescent="0.2">
      <c r="A152" s="349">
        <v>44942.33761574074</v>
      </c>
      <c r="B152" s="9" t="s">
        <v>31</v>
      </c>
      <c r="C152" s="10">
        <v>1.27051E-2</v>
      </c>
      <c r="D152" s="10" t="s">
        <v>40</v>
      </c>
      <c r="E152" s="344">
        <f ca="1"/>
        <v>1574.1710021959684</v>
      </c>
      <c r="F152" s="11">
        <v>20</v>
      </c>
      <c r="G152" s="12">
        <v>20</v>
      </c>
      <c r="H152" s="12" t="s">
        <v>32</v>
      </c>
      <c r="I152" s="13"/>
      <c r="J152" s="14"/>
      <c r="K152" s="14"/>
      <c r="L152" s="15"/>
      <c r="M152" s="16"/>
      <c r="N152" s="17"/>
    </row>
    <row r="153" spans="1:14" x14ac:dyDescent="0.2">
      <c r="A153" s="349">
        <v>44938.640636574077</v>
      </c>
      <c r="B153" s="9" t="s">
        <v>31</v>
      </c>
      <c r="C153" s="10">
        <v>3.00987E-3</v>
      </c>
      <c r="D153" s="10" t="s">
        <v>40</v>
      </c>
      <c r="E153" s="344">
        <f ca="1"/>
        <v>1382.1194935329434</v>
      </c>
      <c r="F153" s="11">
        <v>4.16</v>
      </c>
      <c r="G153" s="12"/>
      <c r="H153" s="12"/>
      <c r="I153" s="13"/>
      <c r="J153" s="14"/>
      <c r="K153" s="14"/>
      <c r="L153" s="15"/>
      <c r="M153" s="16"/>
      <c r="N153" s="17"/>
    </row>
    <row r="154" spans="1:14" x14ac:dyDescent="0.2">
      <c r="A154" s="349">
        <v>44938.639490740738</v>
      </c>
      <c r="B154" s="9" t="s">
        <v>39</v>
      </c>
      <c r="C154" s="10"/>
      <c r="D154" s="10" t="s">
        <v>32</v>
      </c>
      <c r="E154" s="344" t="str">
        <f ca="1"/>
        <v/>
      </c>
      <c r="F154" s="11"/>
      <c r="G154" s="12">
        <v>1.44287E-3</v>
      </c>
      <c r="H154" s="12" t="s">
        <v>40</v>
      </c>
      <c r="I154" s="13">
        <v>1.9</v>
      </c>
      <c r="J154" s="14">
        <v>3.7800000000000003E-4</v>
      </c>
      <c r="K154" s="14" t="s">
        <v>40</v>
      </c>
      <c r="L154" s="15">
        <v>0.5</v>
      </c>
      <c r="M154" s="16">
        <v>-0.04</v>
      </c>
      <c r="N154" s="17">
        <v>0.16</v>
      </c>
    </row>
    <row r="155" spans="1:14" x14ac:dyDescent="0.2">
      <c r="A155" s="349">
        <v>44938.635694444441</v>
      </c>
      <c r="B155" s="9" t="s">
        <v>39</v>
      </c>
      <c r="C155" s="10"/>
      <c r="D155" s="10" t="s">
        <v>32</v>
      </c>
      <c r="E155" s="344" t="str">
        <f ca="1"/>
        <v/>
      </c>
      <c r="F155" s="11"/>
      <c r="G155" s="12">
        <v>3.6103799999999998E-3</v>
      </c>
      <c r="H155" s="12" t="s">
        <v>40</v>
      </c>
      <c r="I155" s="13">
        <v>4.76</v>
      </c>
      <c r="J155" s="14">
        <v>4.6200000000000001E-4</v>
      </c>
      <c r="K155" s="14" t="s">
        <v>40</v>
      </c>
      <c r="L155" s="15">
        <v>0.61</v>
      </c>
      <c r="M155" s="16">
        <v>0.16</v>
      </c>
      <c r="N155" s="17">
        <v>0.11</v>
      </c>
    </row>
    <row r="156" spans="1:14" x14ac:dyDescent="0.2">
      <c r="A156" s="349">
        <v>44937.765243055554</v>
      </c>
      <c r="B156" s="9" t="s">
        <v>36</v>
      </c>
      <c r="C156" s="10">
        <v>873.76772683000002</v>
      </c>
      <c r="D156" s="10" t="s">
        <v>16</v>
      </c>
      <c r="E156" s="344">
        <f ca="1"/>
        <v>4.459995351554337E-2</v>
      </c>
      <c r="F156" s="11">
        <v>38.97</v>
      </c>
      <c r="G156" s="12">
        <v>128.04097300000001</v>
      </c>
      <c r="H156" s="12" t="s">
        <v>35</v>
      </c>
      <c r="I156" s="13">
        <v>55.65</v>
      </c>
      <c r="J156" s="14"/>
      <c r="K156" s="14"/>
      <c r="L156" s="15"/>
      <c r="M156" s="16">
        <v>-16.68</v>
      </c>
      <c r="N156" s="17"/>
    </row>
    <row r="157" spans="1:14" x14ac:dyDescent="0.2">
      <c r="A157" s="349">
        <v>44937.765011574083</v>
      </c>
      <c r="B157" s="9" t="s">
        <v>36</v>
      </c>
      <c r="C157" s="10">
        <v>655.50684043000001</v>
      </c>
      <c r="D157" s="10" t="s">
        <v>16</v>
      </c>
      <c r="E157" s="344">
        <f ca="1"/>
        <v>4.4591449237700823E-2</v>
      </c>
      <c r="F157" s="11">
        <v>29.23</v>
      </c>
      <c r="G157" s="12">
        <v>2.6812049999999998</v>
      </c>
      <c r="H157" s="12" t="s">
        <v>33</v>
      </c>
      <c r="I157" s="13">
        <v>35.47</v>
      </c>
      <c r="J157" s="14"/>
      <c r="K157" s="14"/>
      <c r="L157" s="15"/>
      <c r="M157" s="16">
        <v>-6.24</v>
      </c>
      <c r="N157" s="17"/>
    </row>
    <row r="158" spans="1:14" x14ac:dyDescent="0.2">
      <c r="A158" s="349">
        <v>44937.764467592591</v>
      </c>
      <c r="B158" s="9" t="s">
        <v>36</v>
      </c>
      <c r="C158" s="10">
        <v>656.21331996000004</v>
      </c>
      <c r="D158" s="10" t="s">
        <v>16</v>
      </c>
      <c r="E158" s="344">
        <f ca="1"/>
        <v>4.4558681012117136E-2</v>
      </c>
      <c r="F158" s="11">
        <v>29.24</v>
      </c>
      <c r="G158" s="12">
        <v>374.7470457</v>
      </c>
      <c r="H158" s="12" t="s">
        <v>45</v>
      </c>
      <c r="I158" s="13">
        <v>32.9</v>
      </c>
      <c r="J158" s="14"/>
      <c r="K158" s="14"/>
      <c r="L158" s="15"/>
      <c r="M158" s="16">
        <v>-3.66</v>
      </c>
      <c r="N158" s="17"/>
    </row>
    <row r="159" spans="1:14" x14ac:dyDescent="0.2">
      <c r="A159" s="349">
        <v>44935.668703703697</v>
      </c>
      <c r="B159" s="9" t="s">
        <v>31</v>
      </c>
      <c r="C159" s="10">
        <v>443.1084391</v>
      </c>
      <c r="D159" s="10" t="s">
        <v>16</v>
      </c>
      <c r="E159" s="344">
        <f ca="1"/>
        <v>4.5135678392002894E-2</v>
      </c>
      <c r="F159" s="11">
        <v>20</v>
      </c>
      <c r="G159" s="12">
        <v>20</v>
      </c>
      <c r="H159" s="12" t="s">
        <v>32</v>
      </c>
      <c r="I159" s="13"/>
      <c r="J159" s="14"/>
      <c r="K159" s="14"/>
      <c r="L159" s="15"/>
      <c r="M159" s="16"/>
      <c r="N159" s="17"/>
    </row>
    <row r="160" spans="1:14" x14ac:dyDescent="0.2">
      <c r="A160" s="349">
        <v>44935.279189814813</v>
      </c>
      <c r="B160" s="9" t="s">
        <v>31</v>
      </c>
      <c r="C160" s="10">
        <v>1.5181109999999999E-2</v>
      </c>
      <c r="D160" s="10" t="s">
        <v>40</v>
      </c>
      <c r="E160" s="344">
        <f ca="1"/>
        <v>1317.4267230788789</v>
      </c>
      <c r="F160" s="11">
        <v>20</v>
      </c>
      <c r="G160" s="12">
        <v>20</v>
      </c>
      <c r="H160" s="12" t="s">
        <v>32</v>
      </c>
      <c r="I160" s="13"/>
      <c r="J160" s="14"/>
      <c r="K160" s="14"/>
      <c r="L160" s="15"/>
      <c r="M160" s="16"/>
      <c r="N160" s="17"/>
    </row>
    <row r="161" spans="1:14" x14ac:dyDescent="0.2">
      <c r="A161" s="349">
        <v>44935.196388888893</v>
      </c>
      <c r="B161" s="9" t="s">
        <v>31</v>
      </c>
      <c r="C161" s="10">
        <v>0.16864407000000001</v>
      </c>
      <c r="D161" s="10" t="s">
        <v>49</v>
      </c>
      <c r="E161" s="344">
        <f ca="1"/>
        <v>118.5929632746648</v>
      </c>
      <c r="F161" s="11">
        <v>20</v>
      </c>
      <c r="G161" s="12">
        <v>20</v>
      </c>
      <c r="H161" s="12" t="s">
        <v>32</v>
      </c>
      <c r="I161" s="13"/>
      <c r="J161" s="14"/>
      <c r="K161" s="14"/>
      <c r="L161" s="15"/>
      <c r="M161" s="16"/>
      <c r="N161" s="17"/>
    </row>
    <row r="162" spans="1:14" x14ac:dyDescent="0.2">
      <c r="A162" s="349">
        <v>44928.243923611109</v>
      </c>
      <c r="B162" s="9" t="s">
        <v>31</v>
      </c>
      <c r="C162" s="10">
        <v>5.8256000000000002E-2</v>
      </c>
      <c r="D162" s="10" t="s">
        <v>40</v>
      </c>
      <c r="E162" s="344">
        <f ca="1"/>
        <v>1202.1079373798407</v>
      </c>
      <c r="F162" s="11">
        <v>70.03</v>
      </c>
      <c r="G162" s="12"/>
      <c r="H162" s="12"/>
      <c r="I162" s="13"/>
      <c r="J162" s="14"/>
      <c r="K162" s="14"/>
      <c r="L162" s="15"/>
      <c r="M162" s="16"/>
      <c r="N162" s="17"/>
    </row>
    <row r="163" spans="1:14" x14ac:dyDescent="0.2">
      <c r="A163" s="349">
        <v>44928.23741898148</v>
      </c>
      <c r="B163" s="9" t="s">
        <v>31</v>
      </c>
      <c r="C163" s="10">
        <v>0.18579030999999999</v>
      </c>
      <c r="D163" s="10" t="s">
        <v>49</v>
      </c>
      <c r="E163" s="344">
        <f ca="1"/>
        <v>107.64824064290545</v>
      </c>
      <c r="F163" s="11">
        <v>20</v>
      </c>
      <c r="G163" s="12">
        <v>20</v>
      </c>
      <c r="H163" s="12" t="s">
        <v>32</v>
      </c>
      <c r="I163" s="13"/>
      <c r="J163" s="14"/>
      <c r="K163" s="14"/>
      <c r="L163" s="15"/>
      <c r="M163" s="16"/>
      <c r="N163" s="17"/>
    </row>
    <row r="164" spans="1:14" x14ac:dyDescent="0.2">
      <c r="A164" s="349">
        <v>44928.206944444442</v>
      </c>
      <c r="B164" s="9" t="s">
        <v>31</v>
      </c>
      <c r="C164" s="10">
        <v>1.6572420000000001E-2</v>
      </c>
      <c r="D164" s="10" t="s">
        <v>40</v>
      </c>
      <c r="E164" s="344">
        <f ca="1"/>
        <v>1206.8243503362814</v>
      </c>
      <c r="F164" s="11">
        <v>20</v>
      </c>
      <c r="G164" s="12">
        <v>20</v>
      </c>
      <c r="H164" s="12" t="s">
        <v>32</v>
      </c>
      <c r="I164" s="13"/>
      <c r="J164" s="14"/>
      <c r="K164" s="14"/>
      <c r="L164" s="15"/>
      <c r="M164" s="16"/>
      <c r="N164" s="17"/>
    </row>
    <row r="165" spans="1:14" x14ac:dyDescent="0.2">
      <c r="A165" s="349">
        <v>44926.193657407413</v>
      </c>
      <c r="B165" s="9" t="s">
        <v>31</v>
      </c>
      <c r="C165" s="10">
        <v>8.3765999999999993E-2</v>
      </c>
      <c r="D165" s="10" t="s">
        <v>40</v>
      </c>
      <c r="E165" s="344">
        <f ca="1"/>
        <v>1194.1599216866032</v>
      </c>
      <c r="F165" s="11">
        <v>100.03</v>
      </c>
      <c r="G165" s="12"/>
      <c r="H165" s="12"/>
      <c r="I165" s="13"/>
      <c r="J165" s="14"/>
      <c r="K165" s="14"/>
      <c r="L165" s="15"/>
      <c r="M165" s="16"/>
      <c r="N165" s="17"/>
    </row>
    <row r="166" spans="1:14" x14ac:dyDescent="0.2">
      <c r="A166" s="349">
        <v>44925.771817129629</v>
      </c>
      <c r="B166" s="9" t="s">
        <v>39</v>
      </c>
      <c r="C166" s="10"/>
      <c r="D166" s="10" t="s">
        <v>32</v>
      </c>
      <c r="E166" s="344" t="str">
        <f ca="1"/>
        <v/>
      </c>
      <c r="F166" s="11"/>
      <c r="G166" s="12">
        <v>8.3696000000000007E-2</v>
      </c>
      <c r="H166" s="12" t="s">
        <v>40</v>
      </c>
      <c r="I166" s="13">
        <v>103.37</v>
      </c>
      <c r="J166" s="14">
        <v>6.3239999999999998E-5</v>
      </c>
      <c r="K166" s="14" t="s">
        <v>40</v>
      </c>
      <c r="L166" s="15">
        <v>0.08</v>
      </c>
      <c r="M166" s="16">
        <v>-3.37</v>
      </c>
      <c r="N166" s="17">
        <v>0</v>
      </c>
    </row>
    <row r="167" spans="1:14" x14ac:dyDescent="0.2">
      <c r="A167" s="349">
        <v>44925.218368055554</v>
      </c>
      <c r="B167" s="9" t="s">
        <v>39</v>
      </c>
      <c r="C167" s="10"/>
      <c r="D167" s="10" t="s">
        <v>32</v>
      </c>
      <c r="E167" s="344" t="str">
        <f ca="1"/>
        <v/>
      </c>
      <c r="F167" s="11"/>
      <c r="G167" s="12">
        <v>4.1825000000000001E-2</v>
      </c>
      <c r="H167" s="12" t="s">
        <v>40</v>
      </c>
      <c r="I167" s="13">
        <v>51.66</v>
      </c>
      <c r="J167" s="14">
        <v>6.3810000000000001E-5</v>
      </c>
      <c r="K167" s="14" t="s">
        <v>40</v>
      </c>
      <c r="L167" s="15">
        <v>0.08</v>
      </c>
      <c r="M167" s="16">
        <v>-1.68</v>
      </c>
      <c r="N167" s="17">
        <v>0</v>
      </c>
    </row>
    <row r="168" spans="1:14" x14ac:dyDescent="0.2">
      <c r="A168" s="349">
        <v>44922.081736111111</v>
      </c>
      <c r="B168" s="9" t="s">
        <v>31</v>
      </c>
      <c r="C168" s="10">
        <v>0.16192743000000001</v>
      </c>
      <c r="D168" s="10" t="s">
        <v>40</v>
      </c>
      <c r="E168" s="344">
        <f ca="1"/>
        <v>1235.1211897823612</v>
      </c>
      <c r="F168" s="11">
        <v>200</v>
      </c>
      <c r="G168" s="12">
        <v>200</v>
      </c>
      <c r="H168" s="12" t="s">
        <v>32</v>
      </c>
      <c r="I168" s="13"/>
      <c r="J168" s="14"/>
      <c r="K168" s="14"/>
      <c r="L168" s="15"/>
      <c r="M168" s="16"/>
      <c r="N168" s="17"/>
    </row>
    <row r="169" spans="1:14" x14ac:dyDescent="0.2">
      <c r="A169" s="349">
        <v>44922.032222222217</v>
      </c>
      <c r="B169" s="9" t="s">
        <v>39</v>
      </c>
      <c r="C169" s="10"/>
      <c r="D169" s="10" t="s">
        <v>32</v>
      </c>
      <c r="E169" s="344" t="str">
        <f ca="1"/>
        <v/>
      </c>
      <c r="F169" s="11"/>
      <c r="G169" s="12">
        <v>8.1725000000000006E-2</v>
      </c>
      <c r="H169" s="12" t="s">
        <v>40</v>
      </c>
      <c r="I169" s="13">
        <v>100.74</v>
      </c>
      <c r="J169" s="14">
        <v>6.622E-5</v>
      </c>
      <c r="K169" s="14" t="s">
        <v>40</v>
      </c>
      <c r="L169" s="15">
        <v>0.08</v>
      </c>
      <c r="M169" s="16">
        <v>-0.81</v>
      </c>
      <c r="N169" s="17">
        <v>0</v>
      </c>
    </row>
    <row r="170" spans="1:14" x14ac:dyDescent="0.2">
      <c r="A170" s="349">
        <v>44922.010659722233</v>
      </c>
      <c r="B170" s="9" t="s">
        <v>39</v>
      </c>
      <c r="C170" s="10"/>
      <c r="D170" s="10" t="s">
        <v>32</v>
      </c>
      <c r="E170" s="344" t="str">
        <f ca="1"/>
        <v/>
      </c>
      <c r="F170" s="11"/>
      <c r="G170" s="12">
        <v>4.0683999999999998E-2</v>
      </c>
      <c r="H170" s="12" t="s">
        <v>40</v>
      </c>
      <c r="I170" s="13">
        <v>50.15</v>
      </c>
      <c r="J170" s="14">
        <v>6.6379999999999998E-5</v>
      </c>
      <c r="K170" s="14" t="s">
        <v>40</v>
      </c>
      <c r="L170" s="15">
        <v>0.08</v>
      </c>
      <c r="M170" s="16">
        <v>-0.16</v>
      </c>
      <c r="N170" s="17">
        <v>0</v>
      </c>
    </row>
    <row r="171" spans="1:14" x14ac:dyDescent="0.2">
      <c r="A171" s="349">
        <v>44921.241469907407</v>
      </c>
      <c r="B171" s="9" t="s">
        <v>31</v>
      </c>
      <c r="C171" s="10">
        <v>0.18544404</v>
      </c>
      <c r="D171" s="10" t="s">
        <v>49</v>
      </c>
      <c r="E171" s="344">
        <f ca="1"/>
        <v>107.84924659751805</v>
      </c>
      <c r="F171" s="11">
        <v>20</v>
      </c>
      <c r="G171" s="12">
        <v>20</v>
      </c>
      <c r="H171" s="12" t="s">
        <v>32</v>
      </c>
      <c r="I171" s="13"/>
      <c r="J171" s="14"/>
      <c r="K171" s="14"/>
      <c r="L171" s="15"/>
      <c r="M171" s="16"/>
      <c r="N171" s="17"/>
    </row>
    <row r="172" spans="1:14" x14ac:dyDescent="0.2">
      <c r="A172" s="349">
        <v>44921.197256944448</v>
      </c>
      <c r="B172" s="9" t="s">
        <v>31</v>
      </c>
      <c r="C172" s="10">
        <v>1.631107E-2</v>
      </c>
      <c r="D172" s="10" t="s">
        <v>40</v>
      </c>
      <c r="E172" s="344">
        <f ca="1"/>
        <v>1226.1611286077491</v>
      </c>
      <c r="F172" s="11">
        <v>20</v>
      </c>
      <c r="G172" s="12">
        <v>20</v>
      </c>
      <c r="H172" s="12" t="s">
        <v>32</v>
      </c>
      <c r="I172" s="13"/>
      <c r="J172" s="14"/>
      <c r="K172" s="14"/>
      <c r="L172" s="15"/>
      <c r="M172" s="16"/>
      <c r="N172" s="17"/>
    </row>
    <row r="173" spans="1:14" x14ac:dyDescent="0.2">
      <c r="A173" s="349">
        <v>44917.569907407407</v>
      </c>
      <c r="B173" s="9" t="s">
        <v>31</v>
      </c>
      <c r="C173" s="10">
        <v>0.12354800000000001</v>
      </c>
      <c r="D173" s="10" t="s">
        <v>40</v>
      </c>
      <c r="E173" s="344">
        <f ca="1"/>
        <v>1214.2649010910739</v>
      </c>
      <c r="F173" s="11">
        <v>150.02000000000001</v>
      </c>
      <c r="G173" s="12"/>
      <c r="H173" s="12"/>
      <c r="I173" s="13"/>
      <c r="J173" s="14"/>
      <c r="K173" s="14"/>
      <c r="L173" s="15"/>
      <c r="M173" s="16"/>
      <c r="N173" s="17"/>
    </row>
    <row r="174" spans="1:14" x14ac:dyDescent="0.2">
      <c r="A174" s="349">
        <v>44916.661793981482</v>
      </c>
      <c r="B174" s="9" t="s">
        <v>39</v>
      </c>
      <c r="C174" s="10"/>
      <c r="D174" s="10" t="s">
        <v>32</v>
      </c>
      <c r="E174" s="344" t="str">
        <f ca="1"/>
        <v/>
      </c>
      <c r="F174" s="11"/>
      <c r="G174" s="12">
        <v>8.2324999999999995E-2</v>
      </c>
      <c r="H174" s="12" t="s">
        <v>40</v>
      </c>
      <c r="I174" s="13">
        <v>101.48</v>
      </c>
      <c r="J174" s="14">
        <v>6.5539999999999999E-5</v>
      </c>
      <c r="K174" s="14" t="s">
        <v>40</v>
      </c>
      <c r="L174" s="15">
        <v>0.08</v>
      </c>
      <c r="M174" s="16">
        <v>-1.48</v>
      </c>
      <c r="N174" s="17">
        <v>0</v>
      </c>
    </row>
    <row r="175" spans="1:14" x14ac:dyDescent="0.2">
      <c r="A175" s="349">
        <v>44916.62090277778</v>
      </c>
      <c r="B175" s="9" t="s">
        <v>39</v>
      </c>
      <c r="C175" s="10"/>
      <c r="D175" s="10" t="s">
        <v>32</v>
      </c>
      <c r="E175" s="344" t="str">
        <f ca="1"/>
        <v/>
      </c>
      <c r="F175" s="11"/>
      <c r="G175" s="12">
        <v>4.1085000000000003E-2</v>
      </c>
      <c r="H175" s="12" t="s">
        <v>40</v>
      </c>
      <c r="I175" s="13">
        <v>50.96</v>
      </c>
      <c r="J175" s="14">
        <v>6.546E-5</v>
      </c>
      <c r="K175" s="14" t="s">
        <v>40</v>
      </c>
      <c r="L175" s="15">
        <v>0.08</v>
      </c>
      <c r="M175" s="16">
        <v>-0.99</v>
      </c>
      <c r="N175" s="17">
        <v>0</v>
      </c>
    </row>
    <row r="176" spans="1:14" x14ac:dyDescent="0.2">
      <c r="A176" s="349">
        <v>44914.284791666672</v>
      </c>
      <c r="B176" s="9" t="s">
        <v>31</v>
      </c>
      <c r="C176" s="10">
        <v>0.18022097000000001</v>
      </c>
      <c r="D176" s="10" t="s">
        <v>49</v>
      </c>
      <c r="E176" s="344">
        <f ca="1"/>
        <v>110.97487711890575</v>
      </c>
      <c r="F176" s="11">
        <v>20</v>
      </c>
      <c r="G176" s="12">
        <v>20</v>
      </c>
      <c r="H176" s="12" t="s">
        <v>32</v>
      </c>
      <c r="I176" s="13"/>
      <c r="J176" s="14"/>
      <c r="K176" s="14"/>
      <c r="L176" s="15"/>
      <c r="M176" s="16"/>
      <c r="N176" s="17"/>
    </row>
    <row r="177" spans="1:14" x14ac:dyDescent="0.2">
      <c r="A177" s="349">
        <v>44914.218194444453</v>
      </c>
      <c r="B177" s="9" t="s">
        <v>31</v>
      </c>
      <c r="C177" s="10">
        <v>1.6844990000000001E-2</v>
      </c>
      <c r="D177" s="10" t="s">
        <v>40</v>
      </c>
      <c r="E177" s="344">
        <f ca="1"/>
        <v>1187.296638347663</v>
      </c>
      <c r="F177" s="11">
        <v>20</v>
      </c>
      <c r="G177" s="12">
        <v>20</v>
      </c>
      <c r="H177" s="12" t="s">
        <v>32</v>
      </c>
      <c r="I177" s="13"/>
      <c r="J177" s="14"/>
      <c r="K177" s="14"/>
      <c r="L177" s="15"/>
      <c r="M177" s="16"/>
      <c r="N177" s="17"/>
    </row>
    <row r="178" spans="1:14" x14ac:dyDescent="0.2">
      <c r="A178" s="349">
        <v>44907.206875000003</v>
      </c>
      <c r="B178" s="9" t="s">
        <v>31</v>
      </c>
      <c r="C178" s="10">
        <v>0.17153694</v>
      </c>
      <c r="D178" s="10" t="s">
        <v>49</v>
      </c>
      <c r="E178" s="344">
        <f ca="1"/>
        <v>116.59296242546941</v>
      </c>
      <c r="F178" s="11">
        <v>20</v>
      </c>
      <c r="G178" s="12">
        <v>20</v>
      </c>
      <c r="H178" s="12" t="s">
        <v>32</v>
      </c>
      <c r="I178" s="13"/>
      <c r="J178" s="14"/>
      <c r="K178" s="14"/>
      <c r="L178" s="15"/>
      <c r="M178" s="16"/>
      <c r="N178" s="17"/>
    </row>
    <row r="179" spans="1:14" x14ac:dyDescent="0.2">
      <c r="A179" s="349">
        <v>44907.203414351847</v>
      </c>
      <c r="B179" s="9" t="s">
        <v>31</v>
      </c>
      <c r="C179" s="10">
        <v>1.5972259999999999E-2</v>
      </c>
      <c r="D179" s="10" t="s">
        <v>40</v>
      </c>
      <c r="E179" s="344">
        <f ca="1"/>
        <v>1252.1709513869673</v>
      </c>
      <c r="F179" s="11">
        <v>20</v>
      </c>
      <c r="G179" s="12">
        <v>20</v>
      </c>
      <c r="H179" s="12" t="s">
        <v>32</v>
      </c>
      <c r="I179" s="13"/>
      <c r="J179" s="14"/>
      <c r="K179" s="14"/>
      <c r="L179" s="15"/>
      <c r="M179" s="16"/>
      <c r="N179" s="17"/>
    </row>
    <row r="180" spans="1:14" x14ac:dyDescent="0.2">
      <c r="A180" s="349">
        <v>44902.821516203701</v>
      </c>
      <c r="B180" s="9" t="s">
        <v>31</v>
      </c>
      <c r="C180" s="10">
        <v>0.54</v>
      </c>
      <c r="D180" s="10" t="s">
        <v>40</v>
      </c>
      <c r="E180" s="344">
        <f ca="1"/>
        <v>1232.648148148148</v>
      </c>
      <c r="F180" s="11">
        <v>665.63</v>
      </c>
      <c r="G180" s="12"/>
      <c r="H180" s="12"/>
      <c r="I180" s="13"/>
      <c r="J180" s="14"/>
      <c r="K180" s="14"/>
      <c r="L180" s="15"/>
      <c r="M180" s="16"/>
      <c r="N180" s="17"/>
    </row>
    <row r="181" spans="1:14" x14ac:dyDescent="0.2">
      <c r="A181" s="349">
        <v>44901.087407407409</v>
      </c>
      <c r="B181" s="9" t="s">
        <v>39</v>
      </c>
      <c r="C181" s="10"/>
      <c r="D181" s="10" t="s">
        <v>32</v>
      </c>
      <c r="E181" s="344" t="str">
        <f ca="1"/>
        <v/>
      </c>
      <c r="F181" s="11"/>
      <c r="G181" s="12">
        <v>0.31627699999999997</v>
      </c>
      <c r="H181" s="12" t="s">
        <v>40</v>
      </c>
      <c r="I181" s="13">
        <v>381.94</v>
      </c>
      <c r="J181" s="14">
        <v>3.1500000000000001E-4</v>
      </c>
      <c r="K181" s="14" t="s">
        <v>40</v>
      </c>
      <c r="L181" s="15">
        <v>0.38</v>
      </c>
      <c r="M181" s="16">
        <v>18.190000000000001</v>
      </c>
      <c r="N181" s="17">
        <v>0.02</v>
      </c>
    </row>
    <row r="182" spans="1:14" x14ac:dyDescent="0.2">
      <c r="A182" s="349">
        <v>44901.058159722219</v>
      </c>
      <c r="B182" s="9" t="s">
        <v>39</v>
      </c>
      <c r="C182" s="10"/>
      <c r="D182" s="10" t="s">
        <v>32</v>
      </c>
      <c r="E182" s="344" t="str">
        <f ca="1"/>
        <v/>
      </c>
      <c r="F182" s="11"/>
      <c r="G182" s="12">
        <v>7.8914999999999999E-2</v>
      </c>
      <c r="H182" s="12" t="s">
        <v>40</v>
      </c>
      <c r="I182" s="13">
        <v>95.63</v>
      </c>
      <c r="J182" s="14">
        <v>2.52E-4</v>
      </c>
      <c r="K182" s="14" t="s">
        <v>40</v>
      </c>
      <c r="L182" s="15">
        <v>0.3</v>
      </c>
      <c r="M182" s="16">
        <v>4.46</v>
      </c>
      <c r="N182" s="17">
        <v>0.02</v>
      </c>
    </row>
    <row r="183" spans="1:14" x14ac:dyDescent="0.2">
      <c r="A183" s="349">
        <v>44901.023090277777</v>
      </c>
      <c r="B183" s="9" t="s">
        <v>39</v>
      </c>
      <c r="C183" s="10"/>
      <c r="D183" s="10" t="s">
        <v>32</v>
      </c>
      <c r="E183" s="344" t="str">
        <f ca="1"/>
        <v/>
      </c>
      <c r="F183" s="11"/>
      <c r="G183" s="12">
        <v>3.9595999999999999E-2</v>
      </c>
      <c r="H183" s="12" t="s">
        <v>40</v>
      </c>
      <c r="I183" s="13">
        <v>49.67</v>
      </c>
      <c r="J183" s="14">
        <v>3.1500000000000001E-4</v>
      </c>
      <c r="K183" s="14" t="s">
        <v>40</v>
      </c>
      <c r="L183" s="15">
        <v>0.39</v>
      </c>
      <c r="M183" s="16">
        <v>0.34</v>
      </c>
      <c r="N183" s="17">
        <v>0.02</v>
      </c>
    </row>
    <row r="184" spans="1:14" x14ac:dyDescent="0.2">
      <c r="A184" s="349">
        <v>44900.337013888893</v>
      </c>
      <c r="B184" s="9" t="s">
        <v>31</v>
      </c>
      <c r="C184" s="10">
        <v>0.15407246999999999</v>
      </c>
      <c r="D184" s="10" t="s">
        <v>49</v>
      </c>
      <c r="E184" s="344">
        <f ca="1"/>
        <v>129.80904375713587</v>
      </c>
      <c r="F184" s="11">
        <v>20</v>
      </c>
      <c r="G184" s="12">
        <v>20</v>
      </c>
      <c r="H184" s="12" t="s">
        <v>32</v>
      </c>
      <c r="I184" s="13"/>
      <c r="J184" s="14"/>
      <c r="K184" s="14"/>
      <c r="L184" s="15"/>
      <c r="M184" s="16"/>
      <c r="N184" s="17"/>
    </row>
    <row r="185" spans="1:14" x14ac:dyDescent="0.2">
      <c r="A185" s="349">
        <v>44900.319224537037</v>
      </c>
      <c r="B185" s="9" t="s">
        <v>31</v>
      </c>
      <c r="C185" s="10">
        <v>2.64100863</v>
      </c>
      <c r="D185" s="10" t="s">
        <v>42</v>
      </c>
      <c r="E185" s="344">
        <f ca="1"/>
        <v>7.5728643113142722</v>
      </c>
      <c r="F185" s="11">
        <v>20</v>
      </c>
      <c r="G185" s="12">
        <v>20</v>
      </c>
      <c r="H185" s="12" t="s">
        <v>32</v>
      </c>
      <c r="I185" s="13"/>
      <c r="J185" s="14"/>
      <c r="K185" s="14"/>
      <c r="L185" s="15"/>
      <c r="M185" s="16"/>
      <c r="N185" s="17"/>
    </row>
    <row r="186" spans="1:14" x14ac:dyDescent="0.2">
      <c r="A186" s="349">
        <v>44900.274699074071</v>
      </c>
      <c r="B186" s="9" t="s">
        <v>31</v>
      </c>
      <c r="C186" s="10">
        <v>1.5361929999999999E-2</v>
      </c>
      <c r="D186" s="10" t="s">
        <v>40</v>
      </c>
      <c r="E186" s="344">
        <f ca="1"/>
        <v>1301.9197457611122</v>
      </c>
      <c r="F186" s="11">
        <v>20</v>
      </c>
      <c r="G186" s="12">
        <v>20</v>
      </c>
      <c r="H186" s="12" t="s">
        <v>32</v>
      </c>
      <c r="I186" s="13"/>
      <c r="J186" s="14"/>
      <c r="K186" s="14"/>
      <c r="L186" s="15"/>
      <c r="M186" s="16"/>
      <c r="N186" s="17"/>
    </row>
    <row r="187" spans="1:14" x14ac:dyDescent="0.2">
      <c r="A187" s="349">
        <v>44900.257893518523</v>
      </c>
      <c r="B187" s="9" t="s">
        <v>31</v>
      </c>
      <c r="C187" s="10">
        <v>61.061675000000001</v>
      </c>
      <c r="D187" s="10" t="s">
        <v>35</v>
      </c>
      <c r="E187" s="344">
        <f ca="1"/>
        <v>0.32753769037616476</v>
      </c>
      <c r="F187" s="11">
        <v>20</v>
      </c>
      <c r="G187" s="12">
        <v>20</v>
      </c>
      <c r="H187" s="12" t="s">
        <v>32</v>
      </c>
      <c r="I187" s="13"/>
      <c r="J187" s="14"/>
      <c r="K187" s="14"/>
      <c r="L187" s="15"/>
      <c r="M187" s="16"/>
      <c r="N187" s="17"/>
    </row>
    <row r="188" spans="1:14" x14ac:dyDescent="0.2">
      <c r="A188" s="349">
        <v>44900.193402777782</v>
      </c>
      <c r="B188" s="9" t="s">
        <v>31</v>
      </c>
      <c r="C188" s="10">
        <v>1.4063604199999999</v>
      </c>
      <c r="D188" s="10" t="s">
        <v>50</v>
      </c>
      <c r="E188" s="344">
        <f ca="1"/>
        <v>14.221105568372012</v>
      </c>
      <c r="F188" s="11">
        <v>20</v>
      </c>
      <c r="G188" s="12">
        <v>20</v>
      </c>
      <c r="H188" s="12" t="s">
        <v>32</v>
      </c>
      <c r="I188" s="13"/>
      <c r="J188" s="14"/>
      <c r="K188" s="14"/>
      <c r="L188" s="15"/>
      <c r="M188" s="16"/>
      <c r="N188" s="17"/>
    </row>
    <row r="189" spans="1:14" x14ac:dyDescent="0.2">
      <c r="A189" s="349">
        <v>44896.803310185183</v>
      </c>
      <c r="B189" s="9" t="s">
        <v>36</v>
      </c>
      <c r="C189" s="10">
        <v>1665.5797434999999</v>
      </c>
      <c r="D189" s="10" t="s">
        <v>45</v>
      </c>
      <c r="E189" s="344">
        <f ca="1"/>
        <v>8.7795256018614029E-2</v>
      </c>
      <c r="F189" s="11">
        <v>146.22999999999999</v>
      </c>
      <c r="G189" s="12">
        <v>0.1176406</v>
      </c>
      <c r="H189" s="12" t="s">
        <v>40</v>
      </c>
      <c r="I189" s="13">
        <v>147.31</v>
      </c>
      <c r="J189" s="14"/>
      <c r="K189" s="14"/>
      <c r="L189" s="15"/>
      <c r="M189" s="16">
        <v>-1.08</v>
      </c>
      <c r="N189" s="17"/>
    </row>
    <row r="190" spans="1:14" x14ac:dyDescent="0.2">
      <c r="A190" s="349">
        <v>44896.80196759259</v>
      </c>
      <c r="B190" s="9" t="s">
        <v>36</v>
      </c>
      <c r="C190" s="10">
        <v>324.38193999999999</v>
      </c>
      <c r="D190" s="10" t="s">
        <v>44</v>
      </c>
      <c r="E190" s="344">
        <f ca="1"/>
        <v>0.24782514094341998</v>
      </c>
      <c r="F190" s="11">
        <v>80.39</v>
      </c>
      <c r="G190" s="12">
        <v>5.9178994100000004</v>
      </c>
      <c r="H190" s="12" t="s">
        <v>34</v>
      </c>
      <c r="I190" s="13">
        <v>200.62</v>
      </c>
      <c r="J190" s="14"/>
      <c r="K190" s="14"/>
      <c r="L190" s="15"/>
      <c r="M190" s="16">
        <v>-122.69</v>
      </c>
      <c r="N190" s="17"/>
    </row>
    <row r="191" spans="1:14" x14ac:dyDescent="0.2">
      <c r="A191" s="349">
        <v>44894.636759259258</v>
      </c>
      <c r="B191" s="9" t="s">
        <v>31</v>
      </c>
      <c r="C191" s="10">
        <v>0.41966714999999999</v>
      </c>
      <c r="D191" s="10" t="s">
        <v>40</v>
      </c>
      <c r="E191" s="344">
        <f ca="1"/>
        <v>1207.6237084556178</v>
      </c>
      <c r="F191" s="11">
        <v>506.8</v>
      </c>
      <c r="G191" s="12"/>
      <c r="H191" s="12"/>
      <c r="I191" s="13"/>
      <c r="J191" s="14"/>
      <c r="K191" s="14"/>
      <c r="L191" s="15"/>
      <c r="M191" s="16"/>
      <c r="N191" s="17"/>
    </row>
    <row r="192" spans="1:14" x14ac:dyDescent="0.2">
      <c r="A192" s="349">
        <v>44893.740567129629</v>
      </c>
      <c r="B192" s="9" t="s">
        <v>39</v>
      </c>
      <c r="C192" s="10"/>
      <c r="D192" s="10" t="s">
        <v>32</v>
      </c>
      <c r="E192" s="344" t="str">
        <f ca="1"/>
        <v/>
      </c>
      <c r="F192" s="11"/>
      <c r="G192" s="12">
        <v>0.25511800000000001</v>
      </c>
      <c r="H192" s="12" t="s">
        <v>40</v>
      </c>
      <c r="I192" s="13">
        <v>343.87</v>
      </c>
      <c r="J192" s="14">
        <v>5.2499999999999997E-4</v>
      </c>
      <c r="K192" s="14" t="s">
        <v>40</v>
      </c>
      <c r="L192" s="15">
        <v>0.67</v>
      </c>
      <c r="M192" s="16">
        <v>-43.85</v>
      </c>
      <c r="N192" s="17">
        <v>-0.05</v>
      </c>
    </row>
    <row r="193" spans="1:14" x14ac:dyDescent="0.2">
      <c r="A193" s="349">
        <v>44893.655752314808</v>
      </c>
      <c r="B193" s="9" t="s">
        <v>39</v>
      </c>
      <c r="C193" s="10"/>
      <c r="D193" s="10" t="s">
        <v>32</v>
      </c>
      <c r="E193" s="344" t="str">
        <f ca="1"/>
        <v/>
      </c>
      <c r="F193" s="11"/>
      <c r="G193" s="12">
        <v>8.6155999999999996E-2</v>
      </c>
      <c r="H193" s="12" t="s">
        <v>40</v>
      </c>
      <c r="I193" s="13">
        <v>127.16</v>
      </c>
      <c r="J193" s="14">
        <v>6.5099999999999999E-4</v>
      </c>
      <c r="K193" s="14" t="s">
        <v>40</v>
      </c>
      <c r="L193" s="15">
        <v>0.89</v>
      </c>
      <c r="M193" s="16">
        <v>-27.16</v>
      </c>
      <c r="N193" s="17">
        <v>-0.13</v>
      </c>
    </row>
    <row r="194" spans="1:14" x14ac:dyDescent="0.2">
      <c r="A194" s="349">
        <v>44893.632743055547</v>
      </c>
      <c r="B194" s="9" t="s">
        <v>39</v>
      </c>
      <c r="C194" s="10"/>
      <c r="D194" s="10" t="s">
        <v>32</v>
      </c>
      <c r="E194" s="344" t="str">
        <f ca="1"/>
        <v/>
      </c>
      <c r="F194" s="11"/>
      <c r="G194" s="12">
        <v>4.2960999999999999E-2</v>
      </c>
      <c r="H194" s="12" t="s">
        <v>40</v>
      </c>
      <c r="I194" s="13">
        <v>70.959999999999994</v>
      </c>
      <c r="J194" s="14">
        <v>8.1899999999999996E-4</v>
      </c>
      <c r="K194" s="14" t="s">
        <v>40</v>
      </c>
      <c r="L194" s="15">
        <v>1.34</v>
      </c>
      <c r="M194" s="16">
        <v>-20.99</v>
      </c>
      <c r="N194" s="17">
        <v>-0.37</v>
      </c>
    </row>
    <row r="195" spans="1:14" x14ac:dyDescent="0.2">
      <c r="A195" s="349">
        <v>44893.604050925933</v>
      </c>
      <c r="B195" s="9" t="s">
        <v>39</v>
      </c>
      <c r="C195" s="10"/>
      <c r="D195" s="10" t="s">
        <v>32</v>
      </c>
      <c r="E195" s="344" t="str">
        <f ca="1"/>
        <v/>
      </c>
      <c r="F195" s="11"/>
      <c r="G195" s="12">
        <v>4.2763000000000002E-2</v>
      </c>
      <c r="H195" s="12" t="s">
        <v>40</v>
      </c>
      <c r="I195" s="13">
        <v>71.400000000000006</v>
      </c>
      <c r="J195" s="14">
        <v>1.1130000000000001E-3</v>
      </c>
      <c r="K195" s="14" t="s">
        <v>40</v>
      </c>
      <c r="L195" s="15">
        <v>1.86</v>
      </c>
      <c r="M195" s="16">
        <v>-21.37</v>
      </c>
      <c r="N195" s="17">
        <v>-0.52</v>
      </c>
    </row>
    <row r="196" spans="1:14" x14ac:dyDescent="0.2">
      <c r="A196" s="349">
        <v>44893.319803240738</v>
      </c>
      <c r="B196" s="9" t="s">
        <v>31</v>
      </c>
      <c r="C196" s="10">
        <v>1.6139497199999999</v>
      </c>
      <c r="D196" s="10" t="s">
        <v>50</v>
      </c>
      <c r="E196" s="344">
        <f ca="1"/>
        <v>12.391959769353907</v>
      </c>
      <c r="F196" s="11">
        <v>20</v>
      </c>
      <c r="G196" s="12">
        <v>20</v>
      </c>
      <c r="H196" s="12" t="s">
        <v>32</v>
      </c>
      <c r="I196" s="13"/>
      <c r="J196" s="14"/>
      <c r="K196" s="14"/>
      <c r="L196" s="15"/>
      <c r="M196" s="16"/>
      <c r="N196" s="17"/>
    </row>
    <row r="197" spans="1:14" x14ac:dyDescent="0.2">
      <c r="A197" s="349">
        <v>44893.297442129631</v>
      </c>
      <c r="B197" s="9" t="s">
        <v>31</v>
      </c>
      <c r="C197" s="10">
        <v>1.697156E-2</v>
      </c>
      <c r="D197" s="10" t="s">
        <v>40</v>
      </c>
      <c r="E197" s="344">
        <f ca="1"/>
        <v>1178.442052468954</v>
      </c>
      <c r="F197" s="11">
        <v>20</v>
      </c>
      <c r="G197" s="12">
        <v>20</v>
      </c>
      <c r="H197" s="12" t="s">
        <v>32</v>
      </c>
      <c r="I197" s="13"/>
      <c r="J197" s="14"/>
      <c r="K197" s="14"/>
      <c r="L197" s="15"/>
      <c r="M197" s="16"/>
      <c r="N197" s="17"/>
    </row>
    <row r="198" spans="1:14" x14ac:dyDescent="0.2">
      <c r="A198" s="349">
        <v>44893.288344907407</v>
      </c>
      <c r="B198" s="9" t="s">
        <v>31</v>
      </c>
      <c r="C198" s="10">
        <v>0.17671609999999999</v>
      </c>
      <c r="D198" s="10" t="s">
        <v>49</v>
      </c>
      <c r="E198" s="344">
        <f ca="1"/>
        <v>113.17587927755309</v>
      </c>
      <c r="F198" s="11">
        <v>20</v>
      </c>
      <c r="G198" s="12">
        <v>20</v>
      </c>
      <c r="H198" s="12" t="s">
        <v>32</v>
      </c>
      <c r="I198" s="13"/>
      <c r="J198" s="14"/>
      <c r="K198" s="14"/>
      <c r="L198" s="15"/>
      <c r="M198" s="16"/>
      <c r="N198" s="17"/>
    </row>
    <row r="199" spans="1:14" x14ac:dyDescent="0.2">
      <c r="A199" s="349">
        <v>44893.207361111112</v>
      </c>
      <c r="B199" s="9" t="s">
        <v>31</v>
      </c>
      <c r="C199" s="10">
        <v>64.990201999999996</v>
      </c>
      <c r="D199" s="10" t="s">
        <v>35</v>
      </c>
      <c r="E199" s="344">
        <f ca="1"/>
        <v>0.3077386957498609</v>
      </c>
      <c r="F199" s="11">
        <v>20</v>
      </c>
      <c r="G199" s="12">
        <v>20</v>
      </c>
      <c r="H199" s="12" t="s">
        <v>32</v>
      </c>
      <c r="I199" s="13"/>
      <c r="J199" s="14"/>
      <c r="K199" s="14"/>
      <c r="L199" s="15"/>
      <c r="M199" s="16"/>
      <c r="N199" s="17"/>
    </row>
    <row r="200" spans="1:14" x14ac:dyDescent="0.2">
      <c r="A200" s="349">
        <v>44893.199074074073</v>
      </c>
      <c r="B200" s="9" t="s">
        <v>31</v>
      </c>
      <c r="C200" s="10">
        <v>2.9604284399999998</v>
      </c>
      <c r="D200" s="10" t="s">
        <v>42</v>
      </c>
      <c r="E200" s="344">
        <f ca="1"/>
        <v>6.7557789034076441</v>
      </c>
      <c r="F200" s="11">
        <v>20</v>
      </c>
      <c r="G200" s="12">
        <v>20</v>
      </c>
      <c r="H200" s="12" t="s">
        <v>32</v>
      </c>
      <c r="I200" s="13"/>
      <c r="J200" s="14"/>
      <c r="K200" s="14"/>
      <c r="L200" s="15"/>
      <c r="M200" s="16"/>
      <c r="N200" s="17"/>
    </row>
    <row r="201" spans="1:14" x14ac:dyDescent="0.2">
      <c r="A201" s="349">
        <v>44886.044756944437</v>
      </c>
      <c r="B201" s="9" t="s">
        <v>31</v>
      </c>
      <c r="C201" s="10">
        <v>0.16911129</v>
      </c>
      <c r="D201" s="10" t="s">
        <v>49</v>
      </c>
      <c r="E201" s="344">
        <f ca="1"/>
        <v>109.45454913152163</v>
      </c>
      <c r="F201" s="11">
        <v>18.510000000000002</v>
      </c>
      <c r="G201" s="12">
        <v>18.510000000000002</v>
      </c>
      <c r="H201" s="12" t="s">
        <v>32</v>
      </c>
      <c r="I201" s="13"/>
      <c r="J201" s="14">
        <v>1.49</v>
      </c>
      <c r="K201" s="14" t="s">
        <v>32</v>
      </c>
      <c r="L201" s="15">
        <v>1.49</v>
      </c>
      <c r="M201" s="16"/>
      <c r="N201" s="17"/>
    </row>
    <row r="202" spans="1:14" x14ac:dyDescent="0.2">
      <c r="A202" s="349">
        <v>44886.040706018517</v>
      </c>
      <c r="B202" s="9" t="s">
        <v>31</v>
      </c>
      <c r="C202" s="10">
        <v>3.17769331</v>
      </c>
      <c r="D202" s="10" t="s">
        <v>42</v>
      </c>
      <c r="E202" s="344">
        <f ca="1"/>
        <v>5.8249800072745224</v>
      </c>
      <c r="F202" s="11">
        <v>18.510000000000002</v>
      </c>
      <c r="G202" s="12">
        <v>18.510000000000002</v>
      </c>
      <c r="H202" s="12" t="s">
        <v>32</v>
      </c>
      <c r="I202" s="13"/>
      <c r="J202" s="14">
        <v>1.49</v>
      </c>
      <c r="K202" s="14" t="s">
        <v>32</v>
      </c>
      <c r="L202" s="15">
        <v>1.49</v>
      </c>
      <c r="M202" s="16"/>
      <c r="N202" s="17"/>
    </row>
    <row r="203" spans="1:14" x14ac:dyDescent="0.2">
      <c r="A203" s="349">
        <v>44886.040069444447</v>
      </c>
      <c r="B203" s="9" t="s">
        <v>31</v>
      </c>
      <c r="C203" s="10">
        <v>1.5234003700000001</v>
      </c>
      <c r="D203" s="10" t="s">
        <v>50</v>
      </c>
      <c r="E203" s="344">
        <f ca="1"/>
        <v>12.150449983151836</v>
      </c>
      <c r="F203" s="11">
        <v>18.510000000000002</v>
      </c>
      <c r="G203" s="12">
        <v>18.510000000000002</v>
      </c>
      <c r="H203" s="12" t="s">
        <v>32</v>
      </c>
      <c r="I203" s="13"/>
      <c r="J203" s="14">
        <v>1.49</v>
      </c>
      <c r="K203" s="14" t="s">
        <v>32</v>
      </c>
      <c r="L203" s="15">
        <v>1.49</v>
      </c>
      <c r="M203" s="16"/>
      <c r="N203" s="17"/>
    </row>
    <row r="204" spans="1:14" x14ac:dyDescent="0.2">
      <c r="A204" s="349">
        <v>44886.038263888891</v>
      </c>
      <c r="B204" s="9" t="s">
        <v>31</v>
      </c>
      <c r="C204" s="10">
        <v>58.918460000000003</v>
      </c>
      <c r="D204" s="10" t="s">
        <v>35</v>
      </c>
      <c r="E204" s="344">
        <f ca="1"/>
        <v>0.31416299747142068</v>
      </c>
      <c r="F204" s="11">
        <v>18.510000000000002</v>
      </c>
      <c r="G204" s="12">
        <v>18.510000000000002</v>
      </c>
      <c r="H204" s="12" t="s">
        <v>32</v>
      </c>
      <c r="I204" s="13"/>
      <c r="J204" s="14">
        <v>1.49</v>
      </c>
      <c r="K204" s="14" t="s">
        <v>32</v>
      </c>
      <c r="L204" s="15">
        <v>1.49</v>
      </c>
      <c r="M204" s="16"/>
      <c r="N204" s="17"/>
    </row>
    <row r="205" spans="1:14" x14ac:dyDescent="0.2">
      <c r="A205" s="349">
        <v>44886.036979166667</v>
      </c>
      <c r="B205" s="9" t="s">
        <v>31</v>
      </c>
      <c r="C205" s="10">
        <v>1.6193989999999998E-2</v>
      </c>
      <c r="D205" s="10" t="s">
        <v>40</v>
      </c>
      <c r="E205" s="344">
        <f ca="1"/>
        <v>1143.0166376538459</v>
      </c>
      <c r="F205" s="11">
        <v>18.510000000000002</v>
      </c>
      <c r="G205" s="12">
        <v>18.510000000000002</v>
      </c>
      <c r="H205" s="12" t="s">
        <v>32</v>
      </c>
      <c r="I205" s="13"/>
      <c r="J205" s="14">
        <v>1.49</v>
      </c>
      <c r="K205" s="14" t="s">
        <v>32</v>
      </c>
      <c r="L205" s="15">
        <v>1.49</v>
      </c>
      <c r="M205" s="16"/>
      <c r="N205" s="17"/>
    </row>
    <row r="206" spans="1:14" x14ac:dyDescent="0.2">
      <c r="A206" s="349">
        <v>44885.840277777781</v>
      </c>
      <c r="B206" s="9" t="s">
        <v>31</v>
      </c>
      <c r="C206" s="10">
        <v>8.1690860000000004E-2</v>
      </c>
      <c r="D206" s="10" t="s">
        <v>40</v>
      </c>
      <c r="E206" s="344">
        <f ca="1"/>
        <v>1187.5257525750126</v>
      </c>
      <c r="F206" s="11">
        <v>97.01</v>
      </c>
      <c r="G206" s="12">
        <v>97.01</v>
      </c>
      <c r="H206" s="12" t="s">
        <v>32</v>
      </c>
      <c r="I206" s="13"/>
      <c r="J206" s="14">
        <v>2.99</v>
      </c>
      <c r="K206" s="14" t="s">
        <v>32</v>
      </c>
      <c r="L206" s="15">
        <v>2.99</v>
      </c>
      <c r="M206" s="16"/>
      <c r="N206" s="17"/>
    </row>
    <row r="207" spans="1:14" x14ac:dyDescent="0.2">
      <c r="A207" s="349">
        <v>44878.840787037043</v>
      </c>
      <c r="B207" s="9" t="s">
        <v>31</v>
      </c>
      <c r="C207" s="10">
        <v>7.8565270000000006E-2</v>
      </c>
      <c r="D207" s="10" t="s">
        <v>40</v>
      </c>
      <c r="E207" s="344">
        <f ca="1"/>
        <v>1234.7695107520155</v>
      </c>
      <c r="F207" s="11">
        <v>97.01</v>
      </c>
      <c r="G207" s="12">
        <v>97.01</v>
      </c>
      <c r="H207" s="12" t="s">
        <v>32</v>
      </c>
      <c r="I207" s="13"/>
      <c r="J207" s="14">
        <v>2.99</v>
      </c>
      <c r="K207" s="14" t="s">
        <v>32</v>
      </c>
      <c r="L207" s="15">
        <v>2.99</v>
      </c>
      <c r="M207" s="16"/>
      <c r="N207" s="17"/>
    </row>
    <row r="208" spans="1:14" x14ac:dyDescent="0.2">
      <c r="A208" s="349">
        <v>44873.69902777778</v>
      </c>
      <c r="B208" s="9" t="s">
        <v>31</v>
      </c>
      <c r="C208" s="10">
        <v>119.36914477000001</v>
      </c>
      <c r="D208" s="10" t="s">
        <v>51</v>
      </c>
      <c r="E208" s="344">
        <f ca="1"/>
        <v>1.2315577889349738</v>
      </c>
      <c r="F208" s="11">
        <v>147.01</v>
      </c>
      <c r="G208" s="12">
        <v>147.01</v>
      </c>
      <c r="H208" s="12" t="s">
        <v>32</v>
      </c>
      <c r="I208" s="13"/>
      <c r="J208" s="14">
        <v>2.99</v>
      </c>
      <c r="K208" s="14" t="s">
        <v>32</v>
      </c>
      <c r="L208" s="15">
        <v>2.99</v>
      </c>
      <c r="M208" s="16"/>
      <c r="N208" s="17"/>
    </row>
    <row r="209" spans="1:14" x14ac:dyDescent="0.2">
      <c r="A209" s="349">
        <v>44871.809120370373</v>
      </c>
      <c r="B209" s="9" t="s">
        <v>31</v>
      </c>
      <c r="C209" s="10">
        <v>5.9890310000000002E-2</v>
      </c>
      <c r="D209" s="10" t="s">
        <v>40</v>
      </c>
      <c r="E209" s="344">
        <f ca="1"/>
        <v>1619.7945878056066</v>
      </c>
      <c r="F209" s="11">
        <v>97.01</v>
      </c>
      <c r="G209" s="12">
        <v>97.01</v>
      </c>
      <c r="H209" s="12" t="s">
        <v>32</v>
      </c>
      <c r="I209" s="13"/>
      <c r="J209" s="14">
        <v>2.99</v>
      </c>
      <c r="K209" s="14" t="s">
        <v>32</v>
      </c>
      <c r="L209" s="15">
        <v>2.99</v>
      </c>
      <c r="M209" s="16"/>
      <c r="N209" s="17"/>
    </row>
    <row r="210" spans="1:14" x14ac:dyDescent="0.2">
      <c r="A210" s="349">
        <v>44868.1330787037</v>
      </c>
      <c r="B210" s="9" t="s">
        <v>31</v>
      </c>
      <c r="C210" s="10">
        <v>1.21190077</v>
      </c>
      <c r="D210" s="10" t="s">
        <v>49</v>
      </c>
      <c r="E210" s="344">
        <f ca="1"/>
        <v>162.56281444560844</v>
      </c>
      <c r="F210" s="11">
        <v>197.01</v>
      </c>
      <c r="G210" s="12">
        <v>197.01</v>
      </c>
      <c r="H210" s="12" t="s">
        <v>32</v>
      </c>
      <c r="I210" s="13"/>
      <c r="J210" s="14">
        <v>2.99</v>
      </c>
      <c r="K210" s="14" t="s">
        <v>32</v>
      </c>
      <c r="L210" s="15">
        <v>2.99</v>
      </c>
      <c r="M210" s="16"/>
      <c r="N210" s="17"/>
    </row>
    <row r="211" spans="1:14" x14ac:dyDescent="0.2">
      <c r="A211" s="349">
        <v>44867.116736111107</v>
      </c>
      <c r="B211" s="9" t="s">
        <v>36</v>
      </c>
      <c r="C211" s="10">
        <v>839.14913694999996</v>
      </c>
      <c r="D211" s="10" t="s">
        <v>16</v>
      </c>
      <c r="E211" s="344">
        <f ca="1"/>
        <v>5.8070726470762654E-2</v>
      </c>
      <c r="F211" s="11">
        <v>48.73</v>
      </c>
      <c r="G211" s="12">
        <v>125.313283</v>
      </c>
      <c r="H211" s="12" t="s">
        <v>35</v>
      </c>
      <c r="I211" s="13">
        <v>54.46</v>
      </c>
      <c r="J211" s="14"/>
      <c r="K211" s="14"/>
      <c r="L211" s="15"/>
      <c r="M211" s="16">
        <v>-5.73</v>
      </c>
      <c r="N211" s="17"/>
    </row>
    <row r="212" spans="1:14" x14ac:dyDescent="0.2">
      <c r="A212" s="349">
        <v>44867.116469907407</v>
      </c>
      <c r="B212" s="9" t="s">
        <v>36</v>
      </c>
      <c r="C212" s="10">
        <v>839.61242671000002</v>
      </c>
      <c r="D212" s="10" t="s">
        <v>16</v>
      </c>
      <c r="E212" s="344">
        <f ca="1"/>
        <v>5.8050593880543733E-2</v>
      </c>
      <c r="F212" s="11">
        <v>48.74</v>
      </c>
      <c r="G212" s="12">
        <v>3.5898910000000002</v>
      </c>
      <c r="H212" s="12" t="s">
        <v>33</v>
      </c>
      <c r="I212" s="13">
        <v>47.39</v>
      </c>
      <c r="J212" s="14"/>
      <c r="K212" s="14"/>
      <c r="L212" s="15"/>
      <c r="M212" s="16">
        <v>1.35</v>
      </c>
      <c r="N212" s="17"/>
    </row>
    <row r="213" spans="1:14" x14ac:dyDescent="0.2">
      <c r="A213" s="349">
        <v>44864.759837962964</v>
      </c>
      <c r="B213" s="9" t="s">
        <v>31</v>
      </c>
      <c r="C213" s="10">
        <v>6.0941040000000002E-2</v>
      </c>
      <c r="D213" s="10" t="s">
        <v>40</v>
      </c>
      <c r="E213" s="344">
        <f ca="1"/>
        <v>1591.8664991605001</v>
      </c>
      <c r="F213" s="11">
        <v>97.01</v>
      </c>
      <c r="G213" s="12">
        <v>97.01</v>
      </c>
      <c r="H213" s="12" t="s">
        <v>32</v>
      </c>
      <c r="I213" s="13"/>
      <c r="J213" s="14">
        <v>2.99</v>
      </c>
      <c r="K213" s="14" t="s">
        <v>32</v>
      </c>
      <c r="L213" s="15">
        <v>2.99</v>
      </c>
      <c r="M213" s="16"/>
      <c r="N213" s="17"/>
    </row>
    <row r="214" spans="1:14" x14ac:dyDescent="0.2">
      <c r="A214" s="349">
        <v>44857.699826388889</v>
      </c>
      <c r="B214" s="9" t="s">
        <v>31</v>
      </c>
      <c r="C214" s="10">
        <v>7.3430300000000004E-2</v>
      </c>
      <c r="D214" s="10" t="s">
        <v>40</v>
      </c>
      <c r="E214" s="344">
        <f ca="1"/>
        <v>1321.1167597027386</v>
      </c>
      <c r="F214" s="11">
        <v>97.01</v>
      </c>
      <c r="G214" s="12">
        <v>97.01</v>
      </c>
      <c r="H214" s="12" t="s">
        <v>32</v>
      </c>
      <c r="I214" s="13"/>
      <c r="J214" s="14">
        <v>2.99</v>
      </c>
      <c r="K214" s="14" t="s">
        <v>32</v>
      </c>
      <c r="L214" s="15">
        <v>2.99</v>
      </c>
      <c r="M214" s="16"/>
      <c r="N214" s="17"/>
    </row>
    <row r="215" spans="1:14" x14ac:dyDescent="0.2">
      <c r="A215" s="349">
        <v>44854.677546296298</v>
      </c>
      <c r="B215" s="9" t="s">
        <v>31</v>
      </c>
      <c r="C215" s="10">
        <v>93.468839000000003</v>
      </c>
      <c r="D215" s="10" t="s">
        <v>35</v>
      </c>
      <c r="E215" s="344">
        <f ca="1"/>
        <v>0.35316582888121673</v>
      </c>
      <c r="F215" s="11">
        <v>33.01</v>
      </c>
      <c r="G215" s="12">
        <v>33.01</v>
      </c>
      <c r="H215" s="12" t="s">
        <v>32</v>
      </c>
      <c r="I215" s="13"/>
      <c r="J215" s="14">
        <v>1.99</v>
      </c>
      <c r="K215" s="14" t="s">
        <v>32</v>
      </c>
      <c r="L215" s="15">
        <v>1.99</v>
      </c>
      <c r="M215" s="16"/>
      <c r="N215" s="17"/>
    </row>
    <row r="216" spans="1:14" x14ac:dyDescent="0.2">
      <c r="A216" s="349">
        <v>44850.796435185177</v>
      </c>
      <c r="B216" s="9" t="s">
        <v>31</v>
      </c>
      <c r="C216" s="10">
        <v>7.5120039999999999E-2</v>
      </c>
      <c r="D216" s="10" t="s">
        <v>40</v>
      </c>
      <c r="E216" s="344">
        <f ca="1"/>
        <v>1291.3997383387975</v>
      </c>
      <c r="F216" s="11">
        <v>97.01</v>
      </c>
      <c r="G216" s="12">
        <v>97.01</v>
      </c>
      <c r="H216" s="12" t="s">
        <v>32</v>
      </c>
      <c r="I216" s="13"/>
      <c r="J216" s="14">
        <v>2.99</v>
      </c>
      <c r="K216" s="14" t="s">
        <v>32</v>
      </c>
      <c r="L216" s="15">
        <v>2.99</v>
      </c>
      <c r="M216" s="16"/>
      <c r="N216" s="17"/>
    </row>
    <row r="217" spans="1:14" x14ac:dyDescent="0.2">
      <c r="A217" s="349">
        <v>44843.656585648147</v>
      </c>
      <c r="B217" s="9" t="s">
        <v>36</v>
      </c>
      <c r="C217" s="10">
        <v>460.09175800000003</v>
      </c>
      <c r="D217" s="10" t="s">
        <v>35</v>
      </c>
      <c r="E217" s="344">
        <f ca="1"/>
        <v>0.41341753398677489</v>
      </c>
      <c r="F217" s="11">
        <v>190.21</v>
      </c>
      <c r="G217" s="12">
        <v>15.158405</v>
      </c>
      <c r="H217" s="12" t="s">
        <v>33</v>
      </c>
      <c r="I217" s="13">
        <v>200.09</v>
      </c>
      <c r="J217" s="14"/>
      <c r="K217" s="14"/>
      <c r="L217" s="15"/>
      <c r="M217" s="16">
        <v>-0.13</v>
      </c>
      <c r="N217" s="17"/>
    </row>
    <row r="218" spans="1:14" x14ac:dyDescent="0.2">
      <c r="A218" s="349">
        <v>44843.656053240738</v>
      </c>
      <c r="B218" s="9" t="s">
        <v>36</v>
      </c>
      <c r="C218" s="10">
        <v>7.3598159999999996E-2</v>
      </c>
      <c r="D218" s="10" t="s">
        <v>40</v>
      </c>
      <c r="E218" s="344">
        <f ca="1"/>
        <v>1358.5937474523819</v>
      </c>
      <c r="F218" s="11">
        <v>99.99</v>
      </c>
      <c r="G218" s="12">
        <v>7.5809259999999998</v>
      </c>
      <c r="H218" s="12" t="s">
        <v>33</v>
      </c>
      <c r="I218" s="13">
        <v>100.07</v>
      </c>
      <c r="J218" s="14"/>
      <c r="K218" s="14"/>
      <c r="L218" s="15"/>
      <c r="M218" s="16">
        <v>-0.08</v>
      </c>
      <c r="N218" s="17"/>
    </row>
    <row r="219" spans="1:14" x14ac:dyDescent="0.2">
      <c r="A219" s="349">
        <v>44843.653310185182</v>
      </c>
      <c r="B219" s="9" t="s">
        <v>36</v>
      </c>
      <c r="C219" s="10">
        <v>5.8921217700000001</v>
      </c>
      <c r="D219" s="10" t="s">
        <v>34</v>
      </c>
      <c r="E219" s="344">
        <f ca="1"/>
        <v>33.93684105751263</v>
      </c>
      <c r="F219" s="11">
        <v>199.96</v>
      </c>
      <c r="G219" s="12">
        <v>15.146925</v>
      </c>
      <c r="H219" s="12" t="s">
        <v>33</v>
      </c>
      <c r="I219" s="13">
        <v>200</v>
      </c>
      <c r="J219" s="14"/>
      <c r="K219" s="14"/>
      <c r="L219" s="15"/>
      <c r="M219" s="16">
        <v>-0.04</v>
      </c>
      <c r="N219" s="17"/>
    </row>
    <row r="220" spans="1:14" x14ac:dyDescent="0.2">
      <c r="A220" s="349">
        <v>44843.65152777778</v>
      </c>
      <c r="B220" s="9" t="s">
        <v>31</v>
      </c>
      <c r="C220" s="10">
        <v>7.2853029999999999E-2</v>
      </c>
      <c r="D220" s="10" t="s">
        <v>40</v>
      </c>
      <c r="E220" s="344">
        <f ca="1"/>
        <v>1331.5849731987812</v>
      </c>
      <c r="F220" s="11">
        <v>97.01</v>
      </c>
      <c r="G220" s="12">
        <v>97.01</v>
      </c>
      <c r="H220" s="12" t="s">
        <v>32</v>
      </c>
      <c r="I220" s="13"/>
      <c r="J220" s="14">
        <v>2.99</v>
      </c>
      <c r="K220" s="14" t="s">
        <v>32</v>
      </c>
      <c r="L220" s="15">
        <v>2.99</v>
      </c>
      <c r="M220" s="16"/>
      <c r="N220" s="17"/>
    </row>
    <row r="221" spans="1:14" x14ac:dyDescent="0.2">
      <c r="A221" s="349">
        <v>44843.645138888889</v>
      </c>
      <c r="B221" s="9" t="s">
        <v>36</v>
      </c>
      <c r="C221" s="10">
        <v>42.219026999999997</v>
      </c>
      <c r="D221" s="10" t="s">
        <v>33</v>
      </c>
      <c r="E221" s="344">
        <f ca="1"/>
        <v>13.199972609506135</v>
      </c>
      <c r="F221" s="11">
        <v>557.29</v>
      </c>
      <c r="G221" s="12">
        <v>0.43150338999999999</v>
      </c>
      <c r="H221" s="12" t="s">
        <v>40</v>
      </c>
      <c r="I221" s="13">
        <v>644.63</v>
      </c>
      <c r="J221" s="14"/>
      <c r="K221" s="14"/>
      <c r="L221" s="15"/>
      <c r="M221" s="16">
        <v>-87.34</v>
      </c>
      <c r="N221" s="17"/>
    </row>
    <row r="222" spans="1:14" x14ac:dyDescent="0.2">
      <c r="A222" s="349">
        <v>44843.644467592603</v>
      </c>
      <c r="B222" s="9" t="s">
        <v>36</v>
      </c>
      <c r="C222" s="10">
        <v>11.074009999999999</v>
      </c>
      <c r="D222" s="10" t="s">
        <v>33</v>
      </c>
      <c r="E222" s="344">
        <f ca="1"/>
        <v>13.499175095561592</v>
      </c>
      <c r="F222" s="11">
        <v>149.49</v>
      </c>
      <c r="G222" s="12">
        <v>0.11320669</v>
      </c>
      <c r="H222" s="12" t="s">
        <v>40</v>
      </c>
      <c r="I222" s="13">
        <v>193.81</v>
      </c>
      <c r="J222" s="14"/>
      <c r="K222" s="14"/>
      <c r="L222" s="15"/>
      <c r="M222" s="16">
        <v>-47.57</v>
      </c>
      <c r="N222" s="17"/>
    </row>
    <row r="223" spans="1:14" x14ac:dyDescent="0.2">
      <c r="A223" s="349">
        <v>44837.7578125</v>
      </c>
      <c r="B223" s="9" t="s">
        <v>31</v>
      </c>
      <c r="C223" s="10">
        <v>3.5982489999999999E-2</v>
      </c>
      <c r="D223" s="10" t="s">
        <v>40</v>
      </c>
      <c r="E223" s="344">
        <f ca="1"/>
        <v>1334.2600803891003</v>
      </c>
      <c r="F223" s="11">
        <v>48.01</v>
      </c>
      <c r="G223" s="12">
        <v>48.01</v>
      </c>
      <c r="H223" s="12" t="s">
        <v>32</v>
      </c>
      <c r="I223" s="13"/>
      <c r="J223" s="14">
        <v>1.99</v>
      </c>
      <c r="K223" s="14" t="s">
        <v>32</v>
      </c>
      <c r="L223" s="15">
        <v>1.99</v>
      </c>
      <c r="M223" s="16"/>
      <c r="N223" s="17"/>
    </row>
    <row r="224" spans="1:14" x14ac:dyDescent="0.2">
      <c r="A224" s="349">
        <v>44830.693518518521</v>
      </c>
      <c r="B224" s="9" t="s">
        <v>31</v>
      </c>
      <c r="C224" s="10">
        <v>3.6367650000000001E-2</v>
      </c>
      <c r="D224" s="10" t="s">
        <v>40</v>
      </c>
      <c r="E224" s="344">
        <f ca="1"/>
        <v>1320.1292907295356</v>
      </c>
      <c r="F224" s="11">
        <v>48.01</v>
      </c>
      <c r="G224" s="12">
        <v>48.01</v>
      </c>
      <c r="H224" s="12" t="s">
        <v>32</v>
      </c>
      <c r="I224" s="13"/>
      <c r="J224" s="14">
        <v>1.99</v>
      </c>
      <c r="K224" s="14" t="s">
        <v>32</v>
      </c>
      <c r="L224" s="15">
        <v>1.99</v>
      </c>
      <c r="M224" s="16"/>
      <c r="N224" s="17"/>
    </row>
    <row r="225" spans="1:14" x14ac:dyDescent="0.2">
      <c r="A225" s="349">
        <v>44823.808437500003</v>
      </c>
      <c r="B225" s="9" t="s">
        <v>31</v>
      </c>
      <c r="C225" s="10">
        <v>3.524733E-2</v>
      </c>
      <c r="D225" s="10" t="s">
        <v>40</v>
      </c>
      <c r="E225" s="344">
        <f ca="1"/>
        <v>1362.0889865984175</v>
      </c>
      <c r="F225" s="11">
        <v>48.01</v>
      </c>
      <c r="G225" s="12">
        <v>48.01</v>
      </c>
      <c r="H225" s="12" t="s">
        <v>32</v>
      </c>
      <c r="I225" s="13"/>
      <c r="J225" s="14">
        <v>1.99</v>
      </c>
      <c r="K225" s="14" t="s">
        <v>32</v>
      </c>
      <c r="L225" s="15">
        <v>1.99</v>
      </c>
      <c r="M225" s="16"/>
      <c r="N225" s="17"/>
    </row>
    <row r="226" spans="1:14" x14ac:dyDescent="0.2">
      <c r="A226" s="349">
        <v>44816.688368055547</v>
      </c>
      <c r="B226" s="9" t="s">
        <v>31</v>
      </c>
      <c r="C226" s="10">
        <v>2.7867079999999999E-2</v>
      </c>
      <c r="D226" s="10" t="s">
        <v>40</v>
      </c>
      <c r="E226" s="344">
        <f ca="1"/>
        <v>1722.8213361428611</v>
      </c>
      <c r="F226" s="11">
        <v>48.01</v>
      </c>
      <c r="G226" s="12">
        <v>48.01</v>
      </c>
      <c r="H226" s="12" t="s">
        <v>32</v>
      </c>
      <c r="I226" s="13"/>
      <c r="J226" s="14">
        <v>1.99</v>
      </c>
      <c r="K226" s="14" t="s">
        <v>32</v>
      </c>
      <c r="L226" s="15">
        <v>1.99</v>
      </c>
      <c r="M226" s="16"/>
      <c r="N226" s="17"/>
    </row>
    <row r="227" spans="1:14" x14ac:dyDescent="0.2">
      <c r="A227" s="349">
        <v>44811.86582175926</v>
      </c>
      <c r="B227" s="9" t="s">
        <v>36</v>
      </c>
      <c r="C227" s="10">
        <v>8.8742890000000005E-2</v>
      </c>
      <c r="D227" s="10" t="s">
        <v>40</v>
      </c>
      <c r="E227" s="344">
        <f ca="1"/>
        <v>1684.0785780134045</v>
      </c>
      <c r="F227" s="11">
        <v>149.44999999999999</v>
      </c>
      <c r="G227" s="12">
        <v>176.07568337000001</v>
      </c>
      <c r="H227" s="12" t="s">
        <v>51</v>
      </c>
      <c r="I227" s="13">
        <v>146.22</v>
      </c>
      <c r="J227" s="14"/>
      <c r="K227" s="14"/>
      <c r="L227" s="15"/>
      <c r="M227" s="16">
        <v>3.23</v>
      </c>
      <c r="N227" s="17"/>
    </row>
    <row r="228" spans="1:14" x14ac:dyDescent="0.2">
      <c r="A228" s="349">
        <v>44811.864942129629</v>
      </c>
      <c r="B228" s="9" t="s">
        <v>36</v>
      </c>
      <c r="C228" s="10">
        <v>8.3335389999999995E-2</v>
      </c>
      <c r="D228" s="10" t="s">
        <v>40</v>
      </c>
      <c r="E228" s="344">
        <f ca="1"/>
        <v>1685.1184112776098</v>
      </c>
      <c r="F228" s="11">
        <v>140.43</v>
      </c>
      <c r="G228" s="12">
        <v>293.00591600000001</v>
      </c>
      <c r="H228" s="12" t="s">
        <v>35</v>
      </c>
      <c r="I228" s="13">
        <v>147.03</v>
      </c>
      <c r="J228" s="14"/>
      <c r="K228" s="14"/>
      <c r="L228" s="15"/>
      <c r="M228" s="16">
        <v>-6.6</v>
      </c>
      <c r="N228" s="17"/>
    </row>
    <row r="229" spans="1:14" x14ac:dyDescent="0.2">
      <c r="A229" s="349">
        <v>44811.864641203712</v>
      </c>
      <c r="B229" s="9" t="s">
        <v>36</v>
      </c>
      <c r="C229" s="10">
        <v>7.8843269999999993E-2</v>
      </c>
      <c r="D229" s="10" t="s">
        <v>40</v>
      </c>
      <c r="E229" s="344">
        <f ca="1"/>
        <v>1680.9297737143577</v>
      </c>
      <c r="F229" s="11">
        <v>132.53</v>
      </c>
      <c r="G229" s="12">
        <v>4.0617816199999996</v>
      </c>
      <c r="H229" s="12" t="s">
        <v>34</v>
      </c>
      <c r="I229" s="13">
        <v>157.16</v>
      </c>
      <c r="J229" s="14"/>
      <c r="K229" s="14"/>
      <c r="L229" s="15"/>
      <c r="M229" s="16">
        <v>-24.63</v>
      </c>
      <c r="N229" s="17"/>
    </row>
    <row r="230" spans="1:14" x14ac:dyDescent="0.2">
      <c r="A230" s="349">
        <v>44809.751307870371</v>
      </c>
      <c r="B230" s="9" t="s">
        <v>31</v>
      </c>
      <c r="C230" s="10">
        <v>2.99414E-2</v>
      </c>
      <c r="D230" s="10" t="s">
        <v>40</v>
      </c>
      <c r="E230" s="344">
        <f ca="1"/>
        <v>1603.4654358179644</v>
      </c>
      <c r="F230" s="11">
        <v>48.01</v>
      </c>
      <c r="G230" s="12">
        <v>48.01</v>
      </c>
      <c r="H230" s="12" t="s">
        <v>32</v>
      </c>
      <c r="I230" s="13"/>
      <c r="J230" s="14">
        <v>1.99</v>
      </c>
      <c r="K230" s="14" t="s">
        <v>32</v>
      </c>
      <c r="L230" s="15">
        <v>1.99</v>
      </c>
      <c r="M230" s="16"/>
      <c r="N230" s="17"/>
    </row>
    <row r="231" spans="1:14" x14ac:dyDescent="0.2">
      <c r="A231" s="349">
        <v>44802.734803240739</v>
      </c>
      <c r="B231" s="9" t="s">
        <v>31</v>
      </c>
      <c r="C231" s="10">
        <v>3.1119709999999998E-2</v>
      </c>
      <c r="D231" s="10" t="s">
        <v>40</v>
      </c>
      <c r="E231" s="344">
        <f ca="1"/>
        <v>1542.7521657496166</v>
      </c>
      <c r="F231" s="11">
        <v>48.01</v>
      </c>
      <c r="G231" s="12">
        <v>48.01</v>
      </c>
      <c r="H231" s="12" t="s">
        <v>32</v>
      </c>
      <c r="I231" s="13"/>
      <c r="J231" s="14">
        <v>1.99</v>
      </c>
      <c r="K231" s="14" t="s">
        <v>32</v>
      </c>
      <c r="L231" s="15">
        <v>1.99</v>
      </c>
      <c r="M231" s="16"/>
      <c r="N231" s="17"/>
    </row>
    <row r="232" spans="1:14" x14ac:dyDescent="0.2">
      <c r="A232" s="349">
        <v>44799.562615740739</v>
      </c>
      <c r="B232" s="9" t="s">
        <v>36</v>
      </c>
      <c r="C232" s="10">
        <v>176.07568337000001</v>
      </c>
      <c r="D232" s="10" t="s">
        <v>51</v>
      </c>
      <c r="E232" s="344">
        <f ca="1"/>
        <v>0.83043835015388134</v>
      </c>
      <c r="F232" s="11">
        <v>146.22</v>
      </c>
      <c r="G232" s="12">
        <v>8.8820460000000004E-2</v>
      </c>
      <c r="H232" s="12" t="s">
        <v>40</v>
      </c>
      <c r="I232" s="13">
        <v>158.13999999999999</v>
      </c>
      <c r="J232" s="14"/>
      <c r="K232" s="14"/>
      <c r="L232" s="15"/>
      <c r="M232" s="16">
        <v>-11.92</v>
      </c>
      <c r="N232" s="17"/>
    </row>
    <row r="233" spans="1:14" x14ac:dyDescent="0.2">
      <c r="A233" s="349">
        <v>44795.837719907409</v>
      </c>
      <c r="B233" s="9" t="s">
        <v>31</v>
      </c>
      <c r="C233" s="10">
        <v>3.028424E-2</v>
      </c>
      <c r="D233" s="10" t="s">
        <v>40</v>
      </c>
      <c r="E233" s="344">
        <f ca="1"/>
        <v>1585.3130208979983</v>
      </c>
      <c r="F233" s="11">
        <v>48.01</v>
      </c>
      <c r="G233" s="12">
        <v>48.01</v>
      </c>
      <c r="H233" s="12" t="s">
        <v>32</v>
      </c>
      <c r="I233" s="13"/>
      <c r="J233" s="14">
        <v>1.99</v>
      </c>
      <c r="K233" s="14" t="s">
        <v>32</v>
      </c>
      <c r="L233" s="15">
        <v>1.99</v>
      </c>
      <c r="M233" s="16"/>
      <c r="N233" s="17"/>
    </row>
    <row r="234" spans="1:14" x14ac:dyDescent="0.2">
      <c r="A234" s="349">
        <v>44788.808819444443</v>
      </c>
      <c r="B234" s="9" t="s">
        <v>31</v>
      </c>
      <c r="C234" s="10">
        <v>2.5103E-2</v>
      </c>
      <c r="D234" s="10" t="s">
        <v>40</v>
      </c>
      <c r="E234" s="344">
        <f ca="1"/>
        <v>1912.5204158865474</v>
      </c>
      <c r="F234" s="11">
        <v>48.01</v>
      </c>
      <c r="G234" s="12">
        <v>48.01</v>
      </c>
      <c r="H234" s="12" t="s">
        <v>32</v>
      </c>
      <c r="I234" s="13"/>
      <c r="J234" s="14">
        <v>1.99</v>
      </c>
      <c r="K234" s="14" t="s">
        <v>32</v>
      </c>
      <c r="L234" s="15">
        <v>1.99</v>
      </c>
      <c r="M234" s="16"/>
      <c r="N234" s="17"/>
    </row>
    <row r="235" spans="1:14" x14ac:dyDescent="0.2">
      <c r="A235" s="349">
        <v>44781.755995370368</v>
      </c>
      <c r="B235" s="9" t="s">
        <v>31</v>
      </c>
      <c r="C235" s="10">
        <v>2.7035590000000002E-2</v>
      </c>
      <c r="D235" s="10" t="s">
        <v>40</v>
      </c>
      <c r="E235" s="344">
        <f ca="1"/>
        <v>1775.8073709506616</v>
      </c>
      <c r="F235" s="11">
        <v>48.01</v>
      </c>
      <c r="G235" s="12">
        <v>48.01</v>
      </c>
      <c r="H235" s="12" t="s">
        <v>32</v>
      </c>
      <c r="I235" s="13"/>
      <c r="J235" s="14">
        <v>1.99</v>
      </c>
      <c r="K235" s="14" t="s">
        <v>32</v>
      </c>
      <c r="L235" s="15">
        <v>1.99</v>
      </c>
      <c r="M235" s="16"/>
      <c r="N235" s="17"/>
    </row>
    <row r="236" spans="1:14" x14ac:dyDescent="0.2">
      <c r="A236" s="349">
        <v>44777.476840277777</v>
      </c>
      <c r="B236" s="9" t="s">
        <v>36</v>
      </c>
      <c r="C236" s="10">
        <v>292.78099800000001</v>
      </c>
      <c r="D236" s="10" t="s">
        <v>35</v>
      </c>
      <c r="E236" s="344">
        <f ca="1"/>
        <v>0.50187683286741169</v>
      </c>
      <c r="F236" s="11">
        <v>146.94</v>
      </c>
      <c r="G236" s="12">
        <v>9.2709340000000001E-2</v>
      </c>
      <c r="H236" s="12" t="s">
        <v>40</v>
      </c>
      <c r="I236" s="13">
        <v>129.83000000000001</v>
      </c>
      <c r="J236" s="14"/>
      <c r="K236" s="14"/>
      <c r="L236" s="15"/>
      <c r="M236" s="16">
        <v>17.11</v>
      </c>
      <c r="N236" s="17"/>
    </row>
    <row r="237" spans="1:14" x14ac:dyDescent="0.2">
      <c r="A237" s="349">
        <v>44777.473796296297</v>
      </c>
      <c r="B237" s="9" t="s">
        <v>36</v>
      </c>
      <c r="C237" s="10">
        <v>4.0490642799999996</v>
      </c>
      <c r="D237" s="10" t="s">
        <v>34</v>
      </c>
      <c r="E237" s="344">
        <f ca="1"/>
        <v>38.712647950355588</v>
      </c>
      <c r="F237" s="11">
        <v>156.75</v>
      </c>
      <c r="G237" s="12">
        <v>9.9463670000000004E-2</v>
      </c>
      <c r="H237" s="12" t="s">
        <v>40</v>
      </c>
      <c r="I237" s="13">
        <v>214.86</v>
      </c>
      <c r="J237" s="14"/>
      <c r="K237" s="14"/>
      <c r="L237" s="15"/>
      <c r="M237" s="16">
        <v>-58.11</v>
      </c>
      <c r="N237" s="17"/>
    </row>
    <row r="238" spans="1:14" x14ac:dyDescent="0.2">
      <c r="A238" s="349">
        <v>44774.767731481479</v>
      </c>
      <c r="B238" s="9" t="s">
        <v>31</v>
      </c>
      <c r="C238" s="10">
        <v>2.9329959999999999E-2</v>
      </c>
      <c r="D238" s="10" t="s">
        <v>40</v>
      </c>
      <c r="E238" s="344">
        <f ca="1"/>
        <v>1636.8927881251798</v>
      </c>
      <c r="F238" s="11">
        <v>48.01</v>
      </c>
      <c r="G238" s="12">
        <v>48.01</v>
      </c>
      <c r="H238" s="12" t="s">
        <v>32</v>
      </c>
      <c r="I238" s="13"/>
      <c r="J238" s="14">
        <v>1.99</v>
      </c>
      <c r="K238" s="14" t="s">
        <v>32</v>
      </c>
      <c r="L238" s="15">
        <v>1.99</v>
      </c>
      <c r="M238" s="16"/>
      <c r="N238" s="17"/>
    </row>
    <row r="239" spans="1:14" x14ac:dyDescent="0.2">
      <c r="A239" s="349">
        <v>44767.740405092591</v>
      </c>
      <c r="B239" s="9" t="s">
        <v>31</v>
      </c>
      <c r="C239" s="10">
        <v>3.1398089999999997E-2</v>
      </c>
      <c r="D239" s="10" t="s">
        <v>40</v>
      </c>
      <c r="E239" s="344">
        <f ca="1"/>
        <v>1529.0739022660296</v>
      </c>
      <c r="F239" s="11">
        <v>48.01</v>
      </c>
      <c r="G239" s="12">
        <v>48.01</v>
      </c>
      <c r="H239" s="12" t="s">
        <v>32</v>
      </c>
      <c r="I239" s="13"/>
      <c r="J239" s="14">
        <v>1.99</v>
      </c>
      <c r="K239" s="14" t="s">
        <v>32</v>
      </c>
      <c r="L239" s="15">
        <v>1.99</v>
      </c>
      <c r="M239" s="16"/>
      <c r="N239" s="17"/>
    </row>
    <row r="240" spans="1:14" x14ac:dyDescent="0.2">
      <c r="A240" s="349">
        <v>44760.710046296299</v>
      </c>
      <c r="B240" s="9" t="s">
        <v>31</v>
      </c>
      <c r="C240" s="10">
        <v>3.1947830000000003E-2</v>
      </c>
      <c r="D240" s="10" t="s">
        <v>40</v>
      </c>
      <c r="E240" s="344">
        <f ca="1"/>
        <v>1502.7624724433551</v>
      </c>
      <c r="F240" s="11">
        <v>48.01</v>
      </c>
      <c r="G240" s="12">
        <v>48.01</v>
      </c>
      <c r="H240" s="12" t="s">
        <v>32</v>
      </c>
      <c r="I240" s="13"/>
      <c r="J240" s="14">
        <v>1.99</v>
      </c>
      <c r="K240" s="14" t="s">
        <v>32</v>
      </c>
      <c r="L240" s="15">
        <v>1.99</v>
      </c>
      <c r="M240" s="16"/>
      <c r="N240" s="17"/>
    </row>
    <row r="241" spans="1:14" x14ac:dyDescent="0.2">
      <c r="A241" s="349">
        <v>44753.735995370371</v>
      </c>
      <c r="B241" s="9" t="s">
        <v>31</v>
      </c>
      <c r="C241" s="10">
        <v>4.1425660000000003E-2</v>
      </c>
      <c r="D241" s="10" t="s">
        <v>40</v>
      </c>
      <c r="E241" s="344">
        <f ca="1"/>
        <v>1158.9435147201034</v>
      </c>
      <c r="F241" s="11">
        <v>48.01</v>
      </c>
      <c r="G241" s="12">
        <v>48.01</v>
      </c>
      <c r="H241" s="12" t="s">
        <v>32</v>
      </c>
      <c r="I241" s="13"/>
      <c r="J241" s="14">
        <v>1.99</v>
      </c>
      <c r="K241" s="14" t="s">
        <v>32</v>
      </c>
      <c r="L241" s="15">
        <v>1.99</v>
      </c>
      <c r="M241" s="16"/>
      <c r="N241" s="17"/>
    </row>
    <row r="242" spans="1:14" x14ac:dyDescent="0.2">
      <c r="A242" s="349">
        <v>44746.529317129629</v>
      </c>
      <c r="B242" s="9" t="s">
        <v>31</v>
      </c>
      <c r="C242" s="10">
        <v>4.3246680000000003E-2</v>
      </c>
      <c r="D242" s="10" t="s">
        <v>40</v>
      </c>
      <c r="E242" s="344">
        <f ca="1"/>
        <v>1110.1430213833755</v>
      </c>
      <c r="F242" s="11">
        <v>48.01</v>
      </c>
      <c r="G242" s="12">
        <v>48.01</v>
      </c>
      <c r="H242" s="12" t="s">
        <v>32</v>
      </c>
      <c r="I242" s="13"/>
      <c r="J242" s="14">
        <v>1.99</v>
      </c>
      <c r="K242" s="14" t="s">
        <v>32</v>
      </c>
      <c r="L242" s="15">
        <v>1.99</v>
      </c>
      <c r="M242" s="16"/>
      <c r="N242" s="17"/>
    </row>
    <row r="243" spans="1:14" x14ac:dyDescent="0.2">
      <c r="A243" s="349">
        <v>44737.498414351852</v>
      </c>
      <c r="B243" s="9" t="s">
        <v>31</v>
      </c>
      <c r="C243" s="10">
        <v>3.9286450000000001E-2</v>
      </c>
      <c r="D243" s="10" t="s">
        <v>40</v>
      </c>
      <c r="E243" s="344">
        <f ca="1"/>
        <v>1222.049841612057</v>
      </c>
      <c r="F243" s="11">
        <v>48.01</v>
      </c>
      <c r="G243" s="12">
        <v>48.01</v>
      </c>
      <c r="H243" s="12" t="s">
        <v>32</v>
      </c>
      <c r="I243" s="13"/>
      <c r="J243" s="14">
        <v>1.99</v>
      </c>
      <c r="K243" s="14" t="s">
        <v>32</v>
      </c>
      <c r="L243" s="15">
        <v>1.99</v>
      </c>
      <c r="M243" s="16"/>
      <c r="N243" s="17"/>
    </row>
    <row r="244" spans="1:14" x14ac:dyDescent="0.2">
      <c r="A244" s="349">
        <v>44737.494398148148</v>
      </c>
      <c r="B244" s="9" t="s">
        <v>31</v>
      </c>
      <c r="C244" s="10">
        <v>3.356058E-2</v>
      </c>
      <c r="D244" s="10" t="s">
        <v>40</v>
      </c>
      <c r="E244" s="344">
        <f ca="1"/>
        <v>1221.9693461793568</v>
      </c>
      <c r="F244" s="11">
        <v>41.01</v>
      </c>
      <c r="G244" s="12">
        <v>41.01</v>
      </c>
      <c r="H244" s="12" t="s">
        <v>32</v>
      </c>
      <c r="I244" s="13"/>
      <c r="J244" s="14">
        <v>1.99</v>
      </c>
      <c r="K244" s="14" t="s">
        <v>32</v>
      </c>
      <c r="L244" s="15">
        <v>1.99</v>
      </c>
      <c r="M244" s="16"/>
      <c r="N244" s="17"/>
    </row>
    <row r="245" spans="1:14" x14ac:dyDescent="0.2">
      <c r="A245" s="349">
        <v>44645.753136574072</v>
      </c>
      <c r="B245" s="9" t="s">
        <v>36</v>
      </c>
      <c r="C245" s="10">
        <v>1.4940470000000001E-2</v>
      </c>
      <c r="D245" s="10" t="s">
        <v>40</v>
      </c>
      <c r="E245" s="344">
        <f ca="1"/>
        <v>3170.5829870144644</v>
      </c>
      <c r="F245" s="11">
        <v>47.37</v>
      </c>
      <c r="G245" s="12">
        <v>29.952253760000001</v>
      </c>
      <c r="H245" s="12" t="s">
        <v>51</v>
      </c>
      <c r="I245" s="13">
        <v>50.81</v>
      </c>
      <c r="J245" s="14"/>
      <c r="K245" s="14"/>
      <c r="L245" s="15"/>
      <c r="M245" s="16">
        <v>-3.44</v>
      </c>
      <c r="N245" s="17"/>
    </row>
    <row r="246" spans="1:14" x14ac:dyDescent="0.2">
      <c r="A246" s="349">
        <v>44636.643750000003</v>
      </c>
      <c r="B246" s="9" t="s">
        <v>36</v>
      </c>
      <c r="C246" s="10">
        <v>1.3743E-2</v>
      </c>
      <c r="D246" s="10" t="s">
        <v>40</v>
      </c>
      <c r="E246" s="344">
        <f ca="1"/>
        <v>2716.2919304373136</v>
      </c>
      <c r="F246" s="11">
        <v>37.33</v>
      </c>
      <c r="G246" s="12">
        <v>9.3386999999999995E-4</v>
      </c>
      <c r="H246" s="12" t="s">
        <v>41</v>
      </c>
      <c r="I246" s="13">
        <v>40</v>
      </c>
      <c r="J246" s="14"/>
      <c r="K246" s="14"/>
      <c r="L246" s="15"/>
      <c r="M246" s="16">
        <v>-2.67</v>
      </c>
      <c r="N246" s="17"/>
    </row>
    <row r="247" spans="1:14" x14ac:dyDescent="0.2">
      <c r="A247" s="349">
        <v>44635.890625</v>
      </c>
      <c r="B247" s="9" t="s">
        <v>36</v>
      </c>
      <c r="C247" s="10">
        <v>7.0839999999999998E-4</v>
      </c>
      <c r="D247" s="10" t="s">
        <v>40</v>
      </c>
      <c r="E247" s="344">
        <f ca="1"/>
        <v>2682.1005081874646</v>
      </c>
      <c r="F247" s="11">
        <v>1.9</v>
      </c>
      <c r="G247" s="12">
        <v>0.80862630999999996</v>
      </c>
      <c r="H247" s="12" t="s">
        <v>52</v>
      </c>
      <c r="I247" s="13">
        <v>2.98</v>
      </c>
      <c r="J247" s="14"/>
      <c r="K247" s="14"/>
      <c r="L247" s="15"/>
      <c r="M247" s="16">
        <v>-1.08</v>
      </c>
      <c r="N247" s="17"/>
    </row>
    <row r="248" spans="1:14" x14ac:dyDescent="0.2">
      <c r="A248" s="349">
        <v>44609.712650462963</v>
      </c>
      <c r="B248" s="9" t="s">
        <v>36</v>
      </c>
      <c r="C248" s="10">
        <v>4.6669000000000002E-4</v>
      </c>
      <c r="D248" s="10" t="s">
        <v>41</v>
      </c>
      <c r="E248" s="344">
        <f ca="1"/>
        <v>42855.000107137501</v>
      </c>
      <c r="F248" s="11">
        <v>20</v>
      </c>
      <c r="G248" s="12">
        <v>6.7120299999999999E-3</v>
      </c>
      <c r="H248" s="12" t="s">
        <v>40</v>
      </c>
      <c r="I248" s="13">
        <v>17.170000000000002</v>
      </c>
      <c r="J248" s="14"/>
      <c r="K248" s="14"/>
      <c r="L248" s="15"/>
      <c r="M248" s="16">
        <v>2.83</v>
      </c>
      <c r="N248" s="17"/>
    </row>
    <row r="249" spans="1:14" x14ac:dyDescent="0.2">
      <c r="A249" s="349">
        <v>44609.711273148147</v>
      </c>
      <c r="B249" s="9" t="s">
        <v>36</v>
      </c>
      <c r="C249" s="10">
        <v>4.6717999999999998E-4</v>
      </c>
      <c r="D249" s="10" t="s">
        <v>41</v>
      </c>
      <c r="E249" s="344">
        <f ca="1"/>
        <v>42810.051800162677</v>
      </c>
      <c r="F249" s="11">
        <v>20</v>
      </c>
      <c r="G249" s="12">
        <v>11.465917559999999</v>
      </c>
      <c r="H249" s="12" t="s">
        <v>51</v>
      </c>
      <c r="I249" s="13">
        <v>21.9</v>
      </c>
      <c r="J249" s="14"/>
      <c r="K249" s="14"/>
      <c r="L249" s="15"/>
      <c r="M249" s="16">
        <v>-1.9</v>
      </c>
      <c r="N249" s="17"/>
    </row>
    <row r="250" spans="1:14" x14ac:dyDescent="0.2">
      <c r="A250" s="349">
        <v>44608.834918981483</v>
      </c>
      <c r="B250" s="9" t="s">
        <v>36</v>
      </c>
      <c r="C250" s="10">
        <v>10.069164199999999</v>
      </c>
      <c r="D250" s="10" t="s">
        <v>51</v>
      </c>
      <c r="E250" s="344">
        <f ca="1"/>
        <v>1.8750314946696369</v>
      </c>
      <c r="F250" s="11">
        <v>18.88</v>
      </c>
      <c r="G250" s="12">
        <v>56.116802880000002</v>
      </c>
      <c r="H250" s="12" t="s">
        <v>53</v>
      </c>
      <c r="I250" s="13">
        <v>19.37</v>
      </c>
      <c r="J250" s="14"/>
      <c r="K250" s="14"/>
      <c r="L250" s="15"/>
      <c r="M250" s="16">
        <v>-0.49</v>
      </c>
      <c r="N250" s="17"/>
    </row>
    <row r="251" spans="1:14" x14ac:dyDescent="0.2">
      <c r="A251" s="349">
        <v>44602.873993055553</v>
      </c>
      <c r="B251" s="9" t="s">
        <v>36</v>
      </c>
      <c r="C251" s="10">
        <v>56.116802880000002</v>
      </c>
      <c r="D251" s="10" t="s">
        <v>53</v>
      </c>
      <c r="E251" s="344">
        <f ca="1"/>
        <v>0.34517290732725364</v>
      </c>
      <c r="F251" s="11">
        <v>19.37</v>
      </c>
      <c r="G251" s="12">
        <v>1.0893102800000001</v>
      </c>
      <c r="H251" s="12" t="s">
        <v>42</v>
      </c>
      <c r="I251" s="13">
        <v>19.09</v>
      </c>
      <c r="J251" s="14"/>
      <c r="K251" s="14"/>
      <c r="L251" s="15"/>
      <c r="M251" s="16">
        <v>0.28000000000000003</v>
      </c>
      <c r="N251" s="17"/>
    </row>
    <row r="252" spans="1:14" x14ac:dyDescent="0.2">
      <c r="A252" s="349">
        <v>44602.595902777779</v>
      </c>
      <c r="B252" s="9" t="s">
        <v>36</v>
      </c>
      <c r="C252" s="10">
        <v>4.9322087999999997</v>
      </c>
      <c r="D252" s="10" t="s">
        <v>51</v>
      </c>
      <c r="E252" s="344">
        <f ca="1"/>
        <v>1.8896199203894208</v>
      </c>
      <c r="F252" s="11">
        <v>9.32</v>
      </c>
      <c r="G252" s="12">
        <v>36.42306705</v>
      </c>
      <c r="H252" s="12" t="s">
        <v>54</v>
      </c>
      <c r="I252" s="13">
        <v>9.8699999999999992</v>
      </c>
      <c r="J252" s="14"/>
      <c r="K252" s="14"/>
      <c r="L252" s="15"/>
      <c r="M252" s="16">
        <v>-0.55000000000000004</v>
      </c>
      <c r="N252" s="17"/>
    </row>
    <row r="253" spans="1:14" x14ac:dyDescent="0.2">
      <c r="A253" s="349">
        <v>44602.594340277778</v>
      </c>
      <c r="B253" s="9" t="s">
        <v>36</v>
      </c>
      <c r="C253" s="10">
        <v>6.29638235</v>
      </c>
      <c r="D253" s="10" t="s">
        <v>51</v>
      </c>
      <c r="E253" s="344">
        <f ca="1"/>
        <v>1.9280912951545899</v>
      </c>
      <c r="F253" s="11">
        <v>12.14</v>
      </c>
      <c r="G253" s="12">
        <v>3.853386</v>
      </c>
      <c r="H253" s="12" t="s">
        <v>55</v>
      </c>
      <c r="I253" s="13">
        <v>13.74</v>
      </c>
      <c r="J253" s="14"/>
      <c r="K253" s="14"/>
      <c r="L253" s="15"/>
      <c r="M253" s="16">
        <v>-1.6</v>
      </c>
      <c r="N253" s="17"/>
    </row>
    <row r="254" spans="1:14" x14ac:dyDescent="0.2">
      <c r="A254" s="349">
        <v>44602.026458333326</v>
      </c>
      <c r="B254" s="9" t="s">
        <v>36</v>
      </c>
      <c r="C254" s="10">
        <v>3.853386</v>
      </c>
      <c r="D254" s="10" t="s">
        <v>55</v>
      </c>
      <c r="E254" s="344">
        <f ca="1"/>
        <v>3.5656952093561354</v>
      </c>
      <c r="F254" s="11">
        <v>13.74</v>
      </c>
      <c r="G254" s="12">
        <v>0.75839652999999996</v>
      </c>
      <c r="H254" s="12" t="s">
        <v>42</v>
      </c>
      <c r="I254" s="13">
        <v>13.29</v>
      </c>
      <c r="J254" s="14"/>
      <c r="K254" s="14"/>
      <c r="L254" s="15"/>
      <c r="M254" s="16">
        <v>0.45</v>
      </c>
      <c r="N254" s="17"/>
    </row>
    <row r="255" spans="1:14" x14ac:dyDescent="0.2">
      <c r="A255" s="349">
        <v>44597.994050925918</v>
      </c>
      <c r="B255" s="9" t="s">
        <v>31</v>
      </c>
      <c r="C255" s="10">
        <v>0.26990553</v>
      </c>
      <c r="D255" s="10" t="s">
        <v>52</v>
      </c>
      <c r="E255" s="344">
        <f ca="1"/>
        <v>3.6679500416312329</v>
      </c>
      <c r="F255" s="11">
        <v>0.99</v>
      </c>
      <c r="G255" s="12"/>
      <c r="H255" s="12"/>
      <c r="I255" s="13"/>
      <c r="J255" s="14"/>
      <c r="K255" s="14"/>
      <c r="L255" s="15"/>
      <c r="M255" s="16"/>
      <c r="N255" s="17"/>
    </row>
    <row r="256" spans="1:14" x14ac:dyDescent="0.2">
      <c r="A256" s="349">
        <v>44597.993275462963</v>
      </c>
      <c r="B256" s="9" t="s">
        <v>31</v>
      </c>
      <c r="C256" s="10">
        <v>0.26954177000000001</v>
      </c>
      <c r="D256" s="10" t="s">
        <v>52</v>
      </c>
      <c r="E256" s="344">
        <f ca="1"/>
        <v>3.7100001235430038</v>
      </c>
      <c r="F256" s="11">
        <v>1</v>
      </c>
      <c r="G256" s="12"/>
      <c r="H256" s="12"/>
      <c r="I256" s="13"/>
      <c r="J256" s="14"/>
      <c r="K256" s="14"/>
      <c r="L256" s="15"/>
      <c r="M256" s="16"/>
      <c r="N256" s="17"/>
    </row>
    <row r="257" spans="1:14" x14ac:dyDescent="0.2">
      <c r="A257" s="349">
        <v>44597.992534722223</v>
      </c>
      <c r="B257" s="9" t="s">
        <v>31</v>
      </c>
      <c r="C257" s="10">
        <v>0.269179</v>
      </c>
      <c r="D257" s="10" t="s">
        <v>52</v>
      </c>
      <c r="E257" s="344">
        <f ca="1"/>
        <v>3.6778500551677507</v>
      </c>
      <c r="F257" s="11">
        <v>0.99</v>
      </c>
      <c r="G257" s="12"/>
      <c r="H257" s="12"/>
      <c r="I257" s="13"/>
      <c r="J257" s="14"/>
      <c r="K257" s="14"/>
      <c r="L257" s="15"/>
      <c r="M257" s="16"/>
      <c r="N257" s="17"/>
    </row>
    <row r="258" spans="1:14" x14ac:dyDescent="0.2">
      <c r="A258" s="349">
        <v>44597.97625</v>
      </c>
      <c r="B258" s="9" t="s">
        <v>36</v>
      </c>
      <c r="C258" s="10">
        <v>36.42306705</v>
      </c>
      <c r="D258" s="10" t="s">
        <v>54</v>
      </c>
      <c r="E258" s="344">
        <f ca="1"/>
        <v>0.27098212202862798</v>
      </c>
      <c r="F258" s="11">
        <v>9.8699999999999992</v>
      </c>
      <c r="G258" s="12">
        <v>3.3121499999999998E-3</v>
      </c>
      <c r="H258" s="12" t="s">
        <v>40</v>
      </c>
      <c r="I258" s="13">
        <v>8.5</v>
      </c>
      <c r="J258" s="14"/>
      <c r="K258" s="14"/>
      <c r="L258" s="15"/>
      <c r="M258" s="16">
        <v>1.37</v>
      </c>
      <c r="N258" s="17"/>
    </row>
    <row r="259" spans="1:14" x14ac:dyDescent="0.2">
      <c r="A259" s="349">
        <v>44591.962141203701</v>
      </c>
      <c r="B259" s="9" t="s">
        <v>36</v>
      </c>
      <c r="C259" s="10">
        <v>20.12041597</v>
      </c>
      <c r="D259" s="10" t="s">
        <v>51</v>
      </c>
      <c r="E259" s="344">
        <f ca="1"/>
        <v>1.6088136571462741</v>
      </c>
      <c r="F259" s="11">
        <v>32.369999999999997</v>
      </c>
      <c r="G259" s="12">
        <v>1.2713240000000001E-2</v>
      </c>
      <c r="H259" s="12" t="s">
        <v>40</v>
      </c>
      <c r="I259" s="13">
        <v>32.619999999999997</v>
      </c>
      <c r="J259" s="14"/>
      <c r="K259" s="14"/>
      <c r="L259" s="15"/>
      <c r="M259" s="16">
        <v>-0.25</v>
      </c>
      <c r="N259" s="17"/>
    </row>
    <row r="260" spans="1:14" x14ac:dyDescent="0.2">
      <c r="A260" s="349">
        <v>44591.959328703713</v>
      </c>
      <c r="B260" s="9" t="s">
        <v>36</v>
      </c>
      <c r="C260" s="10">
        <v>1.84770681</v>
      </c>
      <c r="D260" s="10" t="s">
        <v>42</v>
      </c>
      <c r="E260" s="344">
        <f ca="1"/>
        <v>17.52442531723959</v>
      </c>
      <c r="F260" s="11">
        <v>32.380000000000003</v>
      </c>
      <c r="G260" s="12">
        <v>1.280531E-2</v>
      </c>
      <c r="H260" s="12" t="s">
        <v>40</v>
      </c>
      <c r="I260" s="13">
        <v>38.6</v>
      </c>
      <c r="J260" s="14"/>
      <c r="K260" s="14"/>
      <c r="L260" s="15"/>
      <c r="M260" s="16">
        <v>-6.22</v>
      </c>
      <c r="N260" s="17"/>
    </row>
    <row r="261" spans="1:14" x14ac:dyDescent="0.2">
      <c r="A261" s="349">
        <v>44585.755312499998</v>
      </c>
      <c r="B261" s="9" t="s">
        <v>36</v>
      </c>
      <c r="C261" s="10">
        <v>1.0627559999999999E-2</v>
      </c>
      <c r="D261" s="10" t="s">
        <v>40</v>
      </c>
      <c r="E261" s="344">
        <f ca="1"/>
        <v>2345.7877443176044</v>
      </c>
      <c r="F261" s="11">
        <v>24.93</v>
      </c>
      <c r="G261" s="12">
        <v>7.2000000000000005E-4</v>
      </c>
      <c r="H261" s="12" t="s">
        <v>41</v>
      </c>
      <c r="I261" s="13">
        <v>29.97</v>
      </c>
      <c r="J261" s="14"/>
      <c r="K261" s="14"/>
      <c r="L261" s="15"/>
      <c r="M261" s="16">
        <v>-5.04</v>
      </c>
      <c r="N261" s="17"/>
    </row>
    <row r="262" spans="1:14" x14ac:dyDescent="0.2">
      <c r="A262" s="349">
        <v>44585.058182870373</v>
      </c>
      <c r="B262" s="9" t="s">
        <v>36</v>
      </c>
      <c r="C262" s="10">
        <v>2.7235999999999997E-4</v>
      </c>
      <c r="D262" s="10" t="s">
        <v>40</v>
      </c>
      <c r="E262" s="344">
        <f ca="1"/>
        <v>2533.4116610368628</v>
      </c>
      <c r="F262" s="11">
        <v>0.69</v>
      </c>
      <c r="G262" s="12">
        <v>1.6941973699999999</v>
      </c>
      <c r="H262" s="12" t="s">
        <v>56</v>
      </c>
      <c r="I262" s="13">
        <v>1</v>
      </c>
      <c r="J262" s="14"/>
      <c r="K262" s="14"/>
      <c r="L262" s="15"/>
      <c r="M262" s="16">
        <v>-0.31</v>
      </c>
      <c r="N262" s="17"/>
    </row>
    <row r="263" spans="1:14" x14ac:dyDescent="0.2">
      <c r="A263" s="349">
        <v>44585.054837962962</v>
      </c>
      <c r="B263" s="9" t="s">
        <v>36</v>
      </c>
      <c r="C263" s="10">
        <v>8.6221300000000004E-3</v>
      </c>
      <c r="D263" s="10" t="s">
        <v>40</v>
      </c>
      <c r="E263" s="344">
        <f ca="1"/>
        <v>2549.2540706298792</v>
      </c>
      <c r="F263" s="11">
        <v>21.98</v>
      </c>
      <c r="G263" s="12">
        <v>37.85224736</v>
      </c>
      <c r="H263" s="12" t="s">
        <v>57</v>
      </c>
      <c r="I263" s="13">
        <v>24.45</v>
      </c>
      <c r="J263" s="14"/>
      <c r="K263" s="14"/>
      <c r="L263" s="15"/>
      <c r="M263" s="16">
        <v>-2.4700000000000002</v>
      </c>
      <c r="N263" s="17"/>
    </row>
    <row r="264" spans="1:14" x14ac:dyDescent="0.2">
      <c r="A264" s="349">
        <v>44585.053900462961</v>
      </c>
      <c r="B264" s="9" t="s">
        <v>36</v>
      </c>
      <c r="C264" s="10">
        <v>1.9945190000000002E-2</v>
      </c>
      <c r="D264" s="10" t="s">
        <v>40</v>
      </c>
      <c r="E264" s="344">
        <f ca="1"/>
        <v>2565.5308372595096</v>
      </c>
      <c r="F264" s="11">
        <v>51.17</v>
      </c>
      <c r="G264" s="12">
        <v>1442.9762798199999</v>
      </c>
      <c r="H264" s="12" t="s">
        <v>58</v>
      </c>
      <c r="I264" s="13">
        <v>52.39</v>
      </c>
      <c r="J264" s="14"/>
      <c r="K264" s="14"/>
      <c r="L264" s="15"/>
      <c r="M264" s="16">
        <v>-1.22</v>
      </c>
      <c r="N264" s="17"/>
    </row>
    <row r="265" spans="1:14" x14ac:dyDescent="0.2">
      <c r="A265" s="349">
        <v>44583.91443287037</v>
      </c>
      <c r="B265" s="9" t="s">
        <v>36</v>
      </c>
      <c r="C265" s="10">
        <v>602.30154056000003</v>
      </c>
      <c r="D265" s="10" t="s">
        <v>58</v>
      </c>
      <c r="E265" s="344">
        <f ca="1"/>
        <v>3.9050207273472824E-2</v>
      </c>
      <c r="F265" s="11">
        <v>23.52</v>
      </c>
      <c r="G265" s="12">
        <v>52.526181739999998</v>
      </c>
      <c r="H265" s="12" t="s">
        <v>59</v>
      </c>
      <c r="I265" s="13">
        <v>40.04</v>
      </c>
      <c r="J265" s="14"/>
      <c r="K265" s="14"/>
      <c r="L265" s="15"/>
      <c r="M265" s="16">
        <v>-16.52</v>
      </c>
      <c r="N265" s="17"/>
    </row>
    <row r="266" spans="1:14" x14ac:dyDescent="0.2">
      <c r="A266" s="349">
        <v>44582.91778935185</v>
      </c>
      <c r="B266" s="9" t="s">
        <v>36</v>
      </c>
      <c r="C266" s="10">
        <v>37.85224736</v>
      </c>
      <c r="D266" s="10" t="s">
        <v>57</v>
      </c>
      <c r="E266" s="344">
        <f ca="1"/>
        <v>0.6459325853882405</v>
      </c>
      <c r="F266" s="11">
        <v>24.45</v>
      </c>
      <c r="G266" s="12">
        <v>9.5189300000000001E-3</v>
      </c>
      <c r="H266" s="12" t="s">
        <v>40</v>
      </c>
      <c r="I266" s="13">
        <v>29.09</v>
      </c>
      <c r="J266" s="14"/>
      <c r="K266" s="14"/>
      <c r="L266" s="15"/>
      <c r="M266" s="16">
        <v>-4.6399999999999997</v>
      </c>
      <c r="N266" s="17"/>
    </row>
    <row r="267" spans="1:14" x14ac:dyDescent="0.2">
      <c r="A267" s="349">
        <v>44582.91547453704</v>
      </c>
      <c r="B267" s="9" t="s">
        <v>36</v>
      </c>
      <c r="C267" s="10">
        <v>840.67473926000002</v>
      </c>
      <c r="D267" s="10" t="s">
        <v>58</v>
      </c>
      <c r="E267" s="344">
        <f ca="1"/>
        <v>3.434146246075228E-2</v>
      </c>
      <c r="F267" s="11">
        <v>28.87</v>
      </c>
      <c r="G267" s="12">
        <v>8.1800000000000004E-4</v>
      </c>
      <c r="H267" s="12" t="s">
        <v>41</v>
      </c>
      <c r="I267" s="13">
        <v>34.049999999999997</v>
      </c>
      <c r="J267" s="14"/>
      <c r="K267" s="14"/>
      <c r="L267" s="15"/>
      <c r="M267" s="16">
        <v>-5.18</v>
      </c>
      <c r="N267" s="17"/>
    </row>
    <row r="268" spans="1:14" x14ac:dyDescent="0.2">
      <c r="A268" s="349">
        <v>44582.912916666668</v>
      </c>
      <c r="B268" s="9" t="s">
        <v>36</v>
      </c>
      <c r="C268" s="10">
        <v>52.526181739999998</v>
      </c>
      <c r="D268" s="10" t="s">
        <v>59</v>
      </c>
      <c r="E268" s="344">
        <f ca="1"/>
        <v>0.76228651452706941</v>
      </c>
      <c r="F268" s="11">
        <v>40.04</v>
      </c>
      <c r="G268" s="12">
        <v>0.39812682999999999</v>
      </c>
      <c r="H268" s="12" t="s">
        <v>60</v>
      </c>
      <c r="I268" s="13">
        <v>58.91</v>
      </c>
      <c r="J268" s="14"/>
      <c r="K268" s="14"/>
      <c r="L268" s="15"/>
      <c r="M268" s="16">
        <v>-18.87</v>
      </c>
      <c r="N268" s="17"/>
    </row>
    <row r="269" spans="1:14" x14ac:dyDescent="0.2">
      <c r="A269" s="349">
        <v>44577.081932870373</v>
      </c>
      <c r="B269" s="9" t="s">
        <v>36</v>
      </c>
      <c r="C269" s="10">
        <v>0.19831138000000001</v>
      </c>
      <c r="D269" s="10" t="s">
        <v>60</v>
      </c>
      <c r="E269" s="344">
        <f ca="1"/>
        <v>148.95766445677498</v>
      </c>
      <c r="F269" s="11">
        <v>29.54</v>
      </c>
      <c r="G269" s="12">
        <v>6.9700000000000003E-4</v>
      </c>
      <c r="H269" s="12" t="s">
        <v>41</v>
      </c>
      <c r="I269" s="13">
        <v>29.01</v>
      </c>
      <c r="J269" s="14"/>
      <c r="K269" s="14"/>
      <c r="L269" s="15"/>
      <c r="M269" s="16">
        <v>0.53</v>
      </c>
      <c r="N269" s="17"/>
    </row>
    <row r="270" spans="1:14" x14ac:dyDescent="0.2">
      <c r="A270" s="349">
        <v>44577.077152777783</v>
      </c>
      <c r="B270" s="9" t="s">
        <v>36</v>
      </c>
      <c r="C270" s="10">
        <v>0.19981544900000001</v>
      </c>
      <c r="D270" s="10" t="s">
        <v>60</v>
      </c>
      <c r="E270" s="344">
        <f ca="1"/>
        <v>146.98563172660388</v>
      </c>
      <c r="F270" s="11">
        <v>29.37</v>
      </c>
      <c r="G270" s="12">
        <v>9.0148999999999993E-3</v>
      </c>
      <c r="H270" s="12" t="s">
        <v>40</v>
      </c>
      <c r="I270" s="13">
        <v>27.63</v>
      </c>
      <c r="J270" s="14"/>
      <c r="K270" s="14"/>
      <c r="L270" s="15"/>
      <c r="M270" s="16">
        <v>1.74</v>
      </c>
      <c r="N270" s="17"/>
    </row>
    <row r="271" spans="1:14" x14ac:dyDescent="0.2">
      <c r="A271" s="349">
        <v>44573.794212962966</v>
      </c>
      <c r="B271" s="9" t="s">
        <v>31</v>
      </c>
      <c r="C271" s="10">
        <v>1.6941973699999999</v>
      </c>
      <c r="D271" s="10" t="s">
        <v>56</v>
      </c>
      <c r="E271" s="344">
        <f ca="1"/>
        <v>0.5902500013915144</v>
      </c>
      <c r="F271" s="11">
        <v>1</v>
      </c>
      <c r="G271" s="12"/>
      <c r="H271" s="12"/>
      <c r="I271" s="13"/>
      <c r="J271" s="14"/>
      <c r="K271" s="14"/>
      <c r="L271" s="15"/>
      <c r="M271" s="16"/>
      <c r="N271" s="17"/>
    </row>
    <row r="272" spans="1:14" x14ac:dyDescent="0.2">
      <c r="A272" s="349">
        <v>44571.594560185193</v>
      </c>
      <c r="B272" s="9" t="s">
        <v>36</v>
      </c>
      <c r="C272" s="10">
        <v>2.235E-3</v>
      </c>
      <c r="D272" s="10" t="s">
        <v>41</v>
      </c>
      <c r="E272" s="344">
        <f ca="1"/>
        <v>41624.161073825504</v>
      </c>
      <c r="F272" s="11">
        <v>93.03</v>
      </c>
      <c r="G272" s="12">
        <v>3.085682E-2</v>
      </c>
      <c r="H272" s="12" t="s">
        <v>40</v>
      </c>
      <c r="I272" s="13">
        <v>95.66</v>
      </c>
      <c r="J272" s="14"/>
      <c r="K272" s="14"/>
      <c r="L272" s="15"/>
      <c r="M272" s="16">
        <v>-2.63</v>
      </c>
      <c r="N272" s="17"/>
    </row>
    <row r="273" spans="1:14" x14ac:dyDescent="0.2">
      <c r="A273" s="349">
        <v>44571.5937962963</v>
      </c>
      <c r="B273" s="9" t="s">
        <v>36</v>
      </c>
      <c r="C273" s="10">
        <v>1.368777E-2</v>
      </c>
      <c r="D273" s="10" t="s">
        <v>40</v>
      </c>
      <c r="E273" s="344">
        <f ca="1"/>
        <v>3031.9036629049142</v>
      </c>
      <c r="F273" s="11">
        <v>41.5</v>
      </c>
      <c r="G273" s="12">
        <v>13.196624590000001</v>
      </c>
      <c r="H273" s="12" t="s">
        <v>61</v>
      </c>
      <c r="I273" s="13">
        <v>49.03</v>
      </c>
      <c r="J273" s="14"/>
      <c r="K273" s="14"/>
      <c r="L273" s="15"/>
      <c r="M273" s="16">
        <v>-7.53</v>
      </c>
      <c r="N273" s="17"/>
    </row>
    <row r="274" spans="1:14" x14ac:dyDescent="0.2">
      <c r="A274" s="349">
        <v>44571.593391203707</v>
      </c>
      <c r="B274" s="9" t="s">
        <v>36</v>
      </c>
      <c r="C274" s="10">
        <v>1.734776E-2</v>
      </c>
      <c r="D274" s="10" t="s">
        <v>40</v>
      </c>
      <c r="E274" s="344">
        <f ca="1"/>
        <v>3078.2072152254814</v>
      </c>
      <c r="F274" s="11">
        <v>53.4</v>
      </c>
      <c r="G274" s="12">
        <v>2.0595949899999999</v>
      </c>
      <c r="H274" s="12" t="s">
        <v>42</v>
      </c>
      <c r="I274" s="13">
        <v>57.98</v>
      </c>
      <c r="J274" s="14"/>
      <c r="K274" s="14"/>
      <c r="L274" s="15"/>
      <c r="M274" s="16">
        <v>-4.58</v>
      </c>
      <c r="N274" s="17"/>
    </row>
    <row r="275" spans="1:14" x14ac:dyDescent="0.2">
      <c r="A275" s="349">
        <v>44571.592245370368</v>
      </c>
      <c r="B275" s="9" t="s">
        <v>36</v>
      </c>
      <c r="C275" s="10">
        <v>1.5013820000000001E-2</v>
      </c>
      <c r="D275" s="10" t="s">
        <v>40</v>
      </c>
      <c r="E275" s="344">
        <f ca="1"/>
        <v>3060.5135801548176</v>
      </c>
      <c r="F275" s="11">
        <v>45.95</v>
      </c>
      <c r="G275" s="12">
        <v>78.847219999999993</v>
      </c>
      <c r="H275" s="12" t="s">
        <v>62</v>
      </c>
      <c r="I275" s="13">
        <v>49.04</v>
      </c>
      <c r="J275" s="14"/>
      <c r="K275" s="14"/>
      <c r="L275" s="15"/>
      <c r="M275" s="16">
        <v>-3.09</v>
      </c>
      <c r="N275" s="17"/>
    </row>
    <row r="276" spans="1:14" x14ac:dyDescent="0.2">
      <c r="A276" s="349">
        <v>44570.89744212963</v>
      </c>
      <c r="B276" s="9" t="s">
        <v>36</v>
      </c>
      <c r="C276" s="10">
        <v>78.847219999999993</v>
      </c>
      <c r="D276" s="10" t="s">
        <v>62</v>
      </c>
      <c r="E276" s="344">
        <f ca="1"/>
        <v>0.62196232156314457</v>
      </c>
      <c r="F276" s="11">
        <v>49.04</v>
      </c>
      <c r="G276" s="12">
        <v>1.560917E-2</v>
      </c>
      <c r="H276" s="12" t="s">
        <v>40</v>
      </c>
      <c r="I276" s="13">
        <v>52.14</v>
      </c>
      <c r="J276" s="14"/>
      <c r="K276" s="14"/>
      <c r="L276" s="15"/>
      <c r="M276" s="16">
        <v>-3.1</v>
      </c>
      <c r="N276" s="17"/>
    </row>
    <row r="277" spans="1:14" x14ac:dyDescent="0.2">
      <c r="A277" s="349">
        <v>44570.896493055552</v>
      </c>
      <c r="B277" s="9" t="s">
        <v>36</v>
      </c>
      <c r="C277" s="10">
        <v>13.196624590000001</v>
      </c>
      <c r="D277" s="10" t="s">
        <v>61</v>
      </c>
      <c r="E277" s="344">
        <f ca="1"/>
        <v>3.7153440007040466</v>
      </c>
      <c r="F277" s="11">
        <v>49.03</v>
      </c>
      <c r="G277" s="12">
        <v>1.7812611300000001</v>
      </c>
      <c r="H277" s="12" t="s">
        <v>42</v>
      </c>
      <c r="I277" s="13">
        <v>50.14</v>
      </c>
      <c r="J277" s="14"/>
      <c r="K277" s="14"/>
      <c r="L277" s="15"/>
      <c r="M277" s="16">
        <v>-1.1100000000000001</v>
      </c>
      <c r="N277" s="17"/>
    </row>
    <row r="278" spans="1:14" x14ac:dyDescent="0.2">
      <c r="A278" s="349">
        <v>44570.895324074067</v>
      </c>
      <c r="B278" s="9" t="s">
        <v>36</v>
      </c>
      <c r="C278" s="10">
        <f>3.84085612-4.44089209850063E-16</f>
        <v>3.8408561199999998</v>
      </c>
      <c r="D278" s="10" t="s">
        <v>42</v>
      </c>
      <c r="E278" s="344">
        <f ca="1"/>
        <v>28.149974021937592</v>
      </c>
      <c r="F278" s="11">
        <f>111.51-3.39</f>
        <v>108.12</v>
      </c>
      <c r="G278" s="12">
        <v>0.77011514999999997</v>
      </c>
      <c r="H278" s="12" t="s">
        <v>34</v>
      </c>
      <c r="I278" s="13">
        <v>112.06</v>
      </c>
      <c r="J278" s="14"/>
      <c r="K278" s="14"/>
      <c r="L278" s="15"/>
      <c r="M278" s="16">
        <v>-3.94</v>
      </c>
      <c r="N278" s="17"/>
    </row>
    <row r="279" spans="1:14" x14ac:dyDescent="0.2">
      <c r="A279" s="349">
        <v>44570.811851851853</v>
      </c>
      <c r="B279" s="9" t="s">
        <v>36</v>
      </c>
      <c r="C279" s="10">
        <v>0.63016919999999998</v>
      </c>
      <c r="D279" s="10" t="s">
        <v>34</v>
      </c>
      <c r="E279" s="344">
        <f ca="1"/>
        <v>144.94519884500863</v>
      </c>
      <c r="F279" s="11">
        <v>91.34</v>
      </c>
      <c r="G279" s="12">
        <v>2.9162589999999999E-2</v>
      </c>
      <c r="H279" s="12" t="s">
        <v>40</v>
      </c>
      <c r="I279" s="13">
        <v>111.01</v>
      </c>
      <c r="J279" s="14"/>
      <c r="K279" s="14"/>
      <c r="L279" s="15"/>
      <c r="M279" s="16">
        <v>-19.670000000000002</v>
      </c>
      <c r="N279" s="17"/>
    </row>
    <row r="280" spans="1:14" x14ac:dyDescent="0.2">
      <c r="A280" s="349">
        <v>44570.811018518521</v>
      </c>
      <c r="B280" s="9" t="s">
        <v>36</v>
      </c>
      <c r="C280" s="10">
        <v>0.13994595000000001</v>
      </c>
      <c r="D280" s="10" t="s">
        <v>34</v>
      </c>
      <c r="E280" s="344">
        <f ca="1"/>
        <v>148.05716063951832</v>
      </c>
      <c r="F280" s="11">
        <v>20.72</v>
      </c>
      <c r="G280" s="12">
        <v>242.62441733</v>
      </c>
      <c r="H280" s="12" t="s">
        <v>63</v>
      </c>
      <c r="I280" s="13">
        <v>23.77</v>
      </c>
      <c r="J280" s="14"/>
      <c r="K280" s="14"/>
      <c r="L280" s="15"/>
      <c r="M280" s="16">
        <v>-3.05</v>
      </c>
      <c r="N280" s="17"/>
    </row>
    <row r="281" spans="1:14" x14ac:dyDescent="0.2">
      <c r="A281" s="349">
        <v>44570.099062499998</v>
      </c>
      <c r="B281" s="9" t="s">
        <v>36</v>
      </c>
      <c r="C281" s="10">
        <v>242.62441733</v>
      </c>
      <c r="D281" s="10" t="s">
        <v>63</v>
      </c>
      <c r="E281" s="344">
        <f ca="1"/>
        <v>9.7970353773873392E-2</v>
      </c>
      <c r="F281" s="11">
        <v>23.77</v>
      </c>
      <c r="G281" s="12">
        <v>568.69371664000005</v>
      </c>
      <c r="H281" s="12" t="s">
        <v>64</v>
      </c>
      <c r="I281" s="13">
        <v>27.25</v>
      </c>
      <c r="J281" s="14"/>
      <c r="K281" s="14"/>
      <c r="L281" s="15"/>
      <c r="M281" s="16">
        <v>-3.48</v>
      </c>
      <c r="N281" s="17"/>
    </row>
    <row r="282" spans="1:14" x14ac:dyDescent="0.2">
      <c r="A282" s="349">
        <v>44570.098136574074</v>
      </c>
      <c r="B282" s="9" t="s">
        <v>36</v>
      </c>
      <c r="C282" s="10">
        <v>279.24018813999999</v>
      </c>
      <c r="D282" s="10" t="s">
        <v>64</v>
      </c>
      <c r="E282" s="344">
        <f ca="1"/>
        <v>4.3869043641591929E-2</v>
      </c>
      <c r="F282" s="11">
        <v>12.25</v>
      </c>
      <c r="G282" s="12">
        <v>6.0493305599999996</v>
      </c>
      <c r="H282" s="12" t="s">
        <v>51</v>
      </c>
      <c r="I282" s="13">
        <v>14.68</v>
      </c>
      <c r="J282" s="14"/>
      <c r="K282" s="14"/>
      <c r="L282" s="15"/>
      <c r="M282" s="16">
        <v>-2.4300000000000002</v>
      </c>
      <c r="N282" s="17"/>
    </row>
    <row r="283" spans="1:14" x14ac:dyDescent="0.2">
      <c r="A283" s="349">
        <v>44570.096828703703</v>
      </c>
      <c r="B283" s="9" t="s">
        <v>36</v>
      </c>
      <c r="C283" s="10">
        <v>6.4715900000000002E-3</v>
      </c>
      <c r="D283" s="10" t="s">
        <v>40</v>
      </c>
      <c r="E283" s="344">
        <f ca="1"/>
        <v>3197.0504930009474</v>
      </c>
      <c r="F283" s="11">
        <v>20.69</v>
      </c>
      <c r="G283" s="12">
        <v>17.371105</v>
      </c>
      <c r="H283" s="12" t="s">
        <v>35</v>
      </c>
      <c r="I283" s="13">
        <v>23.82</v>
      </c>
      <c r="J283" s="14"/>
      <c r="K283" s="14"/>
      <c r="L283" s="15"/>
      <c r="M283" s="16">
        <v>-3.13</v>
      </c>
      <c r="N283" s="17"/>
    </row>
    <row r="284" spans="1:14" x14ac:dyDescent="0.2">
      <c r="A284" s="349">
        <v>44570.096273148149</v>
      </c>
      <c r="B284" s="9" t="s">
        <v>36</v>
      </c>
      <c r="C284" s="10">
        <v>2.0258410000000001E-2</v>
      </c>
      <c r="D284" s="10" t="s">
        <v>40</v>
      </c>
      <c r="E284" s="344">
        <f ca="1"/>
        <v>3121.6665078848732</v>
      </c>
      <c r="F284" s="11">
        <v>63.24</v>
      </c>
      <c r="G284" s="12">
        <v>1.54109E-3</v>
      </c>
      <c r="H284" s="12" t="s">
        <v>41</v>
      </c>
      <c r="I284" s="13">
        <v>72.25</v>
      </c>
      <c r="J284" s="14"/>
      <c r="K284" s="14"/>
      <c r="L284" s="15"/>
      <c r="M284" s="16">
        <v>-9.01</v>
      </c>
      <c r="N284" s="17"/>
    </row>
    <row r="285" spans="1:14" x14ac:dyDescent="0.2">
      <c r="A285" s="349">
        <v>44566.967245370368</v>
      </c>
      <c r="B285" s="9" t="s">
        <v>36</v>
      </c>
      <c r="C285" s="10">
        <v>6.7741999999999998E-4</v>
      </c>
      <c r="D285" s="10" t="s">
        <v>41</v>
      </c>
      <c r="E285" s="344">
        <f ca="1"/>
        <v>44256.148327477786</v>
      </c>
      <c r="F285" s="11">
        <v>29.98</v>
      </c>
      <c r="G285" s="12">
        <v>465.85208394</v>
      </c>
      <c r="H285" s="12" t="s">
        <v>65</v>
      </c>
      <c r="I285" s="13">
        <v>29.38</v>
      </c>
      <c r="J285" s="14"/>
      <c r="K285" s="14"/>
      <c r="L285" s="15"/>
      <c r="M285" s="16">
        <v>0.6</v>
      </c>
      <c r="N285" s="17"/>
    </row>
    <row r="286" spans="1:14" x14ac:dyDescent="0.2">
      <c r="A286" s="349">
        <v>44566.891793981478</v>
      </c>
      <c r="B286" s="9" t="s">
        <v>31</v>
      </c>
      <c r="C286" s="10">
        <v>2.6558970000000001E-2</v>
      </c>
      <c r="D286" s="10" t="s">
        <v>40</v>
      </c>
      <c r="E286" s="344">
        <f ca="1"/>
        <v>3620.6223358812481</v>
      </c>
      <c r="F286" s="11">
        <v>96.16</v>
      </c>
      <c r="G286" s="12">
        <v>96.16</v>
      </c>
      <c r="H286" s="12" t="s">
        <v>32</v>
      </c>
      <c r="I286" s="13"/>
      <c r="J286" s="14">
        <v>3.84</v>
      </c>
      <c r="K286" s="14" t="s">
        <v>32</v>
      </c>
      <c r="L286" s="15">
        <v>3.84</v>
      </c>
      <c r="M286" s="16"/>
      <c r="N286" s="17"/>
    </row>
    <row r="287" spans="1:14" x14ac:dyDescent="0.2">
      <c r="A287" s="349">
        <v>44560.230833333328</v>
      </c>
      <c r="B287" s="9" t="s">
        <v>36</v>
      </c>
      <c r="C287" s="10">
        <v>6.0493305599999996</v>
      </c>
      <c r="D287" s="10" t="s">
        <v>51</v>
      </c>
      <c r="E287" s="344">
        <f ca="1"/>
        <v>2.4267147999926788</v>
      </c>
      <c r="F287" s="11">
        <v>14.68</v>
      </c>
      <c r="G287" s="12">
        <v>4.1052199999999997E-3</v>
      </c>
      <c r="H287" s="12" t="s">
        <v>40</v>
      </c>
      <c r="I287" s="13">
        <v>16.7</v>
      </c>
      <c r="J287" s="14"/>
      <c r="K287" s="14"/>
      <c r="L287" s="15"/>
      <c r="M287" s="16">
        <v>-2.02</v>
      </c>
      <c r="N287" s="17"/>
    </row>
    <row r="288" spans="1:14" x14ac:dyDescent="0.2">
      <c r="A288" s="349">
        <v>44558.721909722219</v>
      </c>
      <c r="B288" s="9" t="s">
        <v>36</v>
      </c>
      <c r="C288" s="10">
        <v>1.9387000000000001E-4</v>
      </c>
      <c r="D288" s="10" t="s">
        <v>41</v>
      </c>
      <c r="E288" s="344">
        <f ca="1"/>
        <v>49362.975189560013</v>
      </c>
      <c r="F288" s="11">
        <v>9.57</v>
      </c>
      <c r="G288" s="12">
        <v>33.403924099999998</v>
      </c>
      <c r="H288" s="12" t="s">
        <v>45</v>
      </c>
      <c r="I288" s="13">
        <v>9.8000000000000007</v>
      </c>
      <c r="J288" s="14"/>
      <c r="K288" s="14"/>
      <c r="L288" s="15"/>
      <c r="M288" s="16">
        <v>-0.23</v>
      </c>
      <c r="N288" s="17"/>
    </row>
    <row r="289" spans="1:14" x14ac:dyDescent="0.2">
      <c r="A289" s="349">
        <v>44558.72115740741</v>
      </c>
      <c r="B289" s="9" t="s">
        <v>36</v>
      </c>
      <c r="C289" s="10">
        <v>2.37521E-3</v>
      </c>
      <c r="D289" s="10" t="s">
        <v>40</v>
      </c>
      <c r="E289" s="344">
        <f ca="1"/>
        <v>3911.2331120195686</v>
      </c>
      <c r="F289" s="11">
        <v>9.2899999999999991</v>
      </c>
      <c r="G289" s="12">
        <v>5.116967E-2</v>
      </c>
      <c r="H289" s="12" t="s">
        <v>34</v>
      </c>
      <c r="I289" s="13">
        <v>9.7200000000000006</v>
      </c>
      <c r="J289" s="14"/>
      <c r="K289" s="14"/>
      <c r="L289" s="15"/>
      <c r="M289" s="16">
        <v>-0.43</v>
      </c>
      <c r="N289" s="17"/>
    </row>
    <row r="290" spans="1:14" x14ac:dyDescent="0.2">
      <c r="A290" s="349">
        <v>44558.720416666663</v>
      </c>
      <c r="B290" s="9" t="s">
        <v>36</v>
      </c>
      <c r="C290" s="10">
        <v>3.88375E-3</v>
      </c>
      <c r="D290" s="10" t="s">
        <v>40</v>
      </c>
      <c r="E290" s="344">
        <f ca="1"/>
        <v>3916.3179916317995</v>
      </c>
      <c r="F290" s="11">
        <v>15.21</v>
      </c>
      <c r="G290" s="12">
        <v>132.27014912000001</v>
      </c>
      <c r="H290" s="12" t="s">
        <v>66</v>
      </c>
      <c r="I290" s="13">
        <v>19.670000000000002</v>
      </c>
      <c r="J290" s="14"/>
      <c r="K290" s="14"/>
      <c r="L290" s="15"/>
      <c r="M290" s="16">
        <v>-4.46</v>
      </c>
      <c r="N290" s="17"/>
    </row>
    <row r="291" spans="1:14" x14ac:dyDescent="0.2">
      <c r="A291" s="349">
        <v>44556.187893518523</v>
      </c>
      <c r="B291" s="9" t="s">
        <v>36</v>
      </c>
      <c r="C291" s="10">
        <v>186.24469737000001</v>
      </c>
      <c r="D291" s="10" t="s">
        <v>65</v>
      </c>
      <c r="E291" s="344">
        <f ca="1"/>
        <v>6.3035351694748762E-2</v>
      </c>
      <c r="F291" s="11">
        <v>11.74</v>
      </c>
      <c r="G291" s="12">
        <v>8.4757730000000002</v>
      </c>
      <c r="H291" s="12" t="s">
        <v>35</v>
      </c>
      <c r="I291" s="13">
        <v>12.08</v>
      </c>
      <c r="J291" s="14"/>
      <c r="K291" s="14"/>
      <c r="L291" s="15"/>
      <c r="M291" s="16">
        <v>-0.34</v>
      </c>
      <c r="N291" s="17"/>
    </row>
    <row r="292" spans="1:14" x14ac:dyDescent="0.2">
      <c r="A292" s="349">
        <v>44556.187465277777</v>
      </c>
      <c r="B292" s="9" t="s">
        <v>36</v>
      </c>
      <c r="C292" s="10">
        <v>279.60738656000001</v>
      </c>
      <c r="D292" s="10" t="s">
        <v>65</v>
      </c>
      <c r="E292" s="344">
        <f ca="1"/>
        <v>6.3088462064698328E-2</v>
      </c>
      <c r="F292" s="11">
        <v>17.64</v>
      </c>
      <c r="G292" s="12">
        <v>4.47964E-3</v>
      </c>
      <c r="H292" s="12" t="s">
        <v>40</v>
      </c>
      <c r="I292" s="13">
        <v>18.23</v>
      </c>
      <c r="J292" s="14"/>
      <c r="K292" s="14"/>
      <c r="L292" s="15"/>
      <c r="M292" s="16">
        <v>-0.59</v>
      </c>
      <c r="N292" s="17"/>
    </row>
    <row r="293" spans="1:14" x14ac:dyDescent="0.2">
      <c r="A293" s="349">
        <v>44556.174085648148</v>
      </c>
      <c r="B293" s="9" t="s">
        <v>36</v>
      </c>
      <c r="C293" s="10">
        <v>66.007402159999998</v>
      </c>
      <c r="D293" s="10" t="s">
        <v>66</v>
      </c>
      <c r="E293" s="344">
        <f ca="1"/>
        <v>0.14801370271045977</v>
      </c>
      <c r="F293" s="11">
        <v>9.77</v>
      </c>
      <c r="G293" s="12">
        <v>34.710953199999999</v>
      </c>
      <c r="H293" s="12" t="s">
        <v>45</v>
      </c>
      <c r="I293" s="13">
        <v>10.19</v>
      </c>
      <c r="J293" s="14"/>
      <c r="K293" s="14"/>
      <c r="L293" s="15"/>
      <c r="M293" s="16">
        <v>-0.42</v>
      </c>
      <c r="N293" s="17"/>
    </row>
    <row r="294" spans="1:14" x14ac:dyDescent="0.2">
      <c r="A294" s="349">
        <v>44556.173229166663</v>
      </c>
      <c r="B294" s="9" t="s">
        <v>36</v>
      </c>
      <c r="C294" s="10">
        <v>66.262746960000001</v>
      </c>
      <c r="D294" s="10" t="s">
        <v>66</v>
      </c>
      <c r="E294" s="344">
        <f ca="1"/>
        <v>0.14940521566327772</v>
      </c>
      <c r="F294" s="11">
        <v>9.9</v>
      </c>
      <c r="G294" s="12">
        <v>5.2185259999999997E-2</v>
      </c>
      <c r="H294" s="12" t="s">
        <v>34</v>
      </c>
      <c r="I294" s="13">
        <v>9.91</v>
      </c>
      <c r="J294" s="14"/>
      <c r="K294" s="14"/>
      <c r="L294" s="15"/>
      <c r="M294" s="16">
        <v>-0.01</v>
      </c>
      <c r="N294" s="17"/>
    </row>
    <row r="295" spans="1:14" x14ac:dyDescent="0.2">
      <c r="A295" s="349">
        <v>44553.884953703702</v>
      </c>
      <c r="B295" s="9" t="s">
        <v>36</v>
      </c>
      <c r="C295" s="10">
        <v>289.4535285</v>
      </c>
      <c r="D295" s="10" t="s">
        <v>64</v>
      </c>
      <c r="E295" s="344">
        <f ca="1"/>
        <v>5.1821790108183115E-2</v>
      </c>
      <c r="F295" s="11">
        <v>15</v>
      </c>
      <c r="G295" s="12">
        <v>10.284186</v>
      </c>
      <c r="H295" s="12" t="s">
        <v>35</v>
      </c>
      <c r="I295" s="13">
        <v>14.65</v>
      </c>
      <c r="J295" s="14"/>
      <c r="K295" s="14"/>
      <c r="L295" s="15"/>
      <c r="M295" s="16">
        <v>0.35</v>
      </c>
      <c r="N295" s="17"/>
    </row>
    <row r="296" spans="1:14" x14ac:dyDescent="0.2">
      <c r="A296" s="349">
        <v>44553.882951388892</v>
      </c>
      <c r="B296" s="9" t="s">
        <v>36</v>
      </c>
      <c r="C296" s="10">
        <v>0.10335493</v>
      </c>
      <c r="D296" s="10" t="s">
        <v>34</v>
      </c>
      <c r="E296" s="344">
        <f ca="1"/>
        <v>189.92804697366637</v>
      </c>
      <c r="F296" s="11">
        <v>19.63</v>
      </c>
      <c r="G296" s="12">
        <v>4.8654900000000001E-3</v>
      </c>
      <c r="H296" s="12" t="s">
        <v>40</v>
      </c>
      <c r="I296" s="13">
        <v>20.05</v>
      </c>
      <c r="J296" s="14"/>
      <c r="K296" s="14"/>
      <c r="L296" s="15"/>
      <c r="M296" s="16">
        <v>-0.42</v>
      </c>
      <c r="N296" s="17"/>
    </row>
    <row r="297" spans="1:14" x14ac:dyDescent="0.2">
      <c r="A297" s="349">
        <v>44553.882291666669</v>
      </c>
      <c r="B297" s="9" t="s">
        <v>36</v>
      </c>
      <c r="C297" s="10">
        <v>68.114877300000003</v>
      </c>
      <c r="D297" s="10" t="s">
        <v>45</v>
      </c>
      <c r="E297" s="344">
        <f ca="1"/>
        <v>0.29347480010802279</v>
      </c>
      <c r="F297" s="11">
        <v>19.989999999999998</v>
      </c>
      <c r="G297" s="12">
        <v>13.678955</v>
      </c>
      <c r="H297" s="12" t="s">
        <v>35</v>
      </c>
      <c r="I297" s="13">
        <v>19.489999999999998</v>
      </c>
      <c r="J297" s="14"/>
      <c r="K297" s="14"/>
      <c r="L297" s="15"/>
      <c r="M297" s="16">
        <v>0.5</v>
      </c>
      <c r="N297" s="17"/>
    </row>
    <row r="298" spans="1:14" x14ac:dyDescent="0.2">
      <c r="A298" s="349">
        <v>44553.741087962961</v>
      </c>
      <c r="B298" s="9" t="s">
        <v>36</v>
      </c>
      <c r="C298" s="10">
        <f>41.200425-7.105427357601E-15</f>
        <v>41.200424999999996</v>
      </c>
      <c r="D298" s="10" t="s">
        <v>35</v>
      </c>
      <c r="E298" s="344">
        <f ca="1"/>
        <v>1.4249853005157107</v>
      </c>
      <c r="F298" s="11">
        <f>58.71-7.105427357601E-15</f>
        <v>58.709999999999994</v>
      </c>
      <c r="G298" s="12">
        <v>1.204E-3</v>
      </c>
      <c r="H298" s="12" t="s">
        <v>41</v>
      </c>
      <c r="I298" s="13">
        <v>60.57</v>
      </c>
      <c r="J298" s="14"/>
      <c r="K298" s="14"/>
      <c r="L298" s="15"/>
      <c r="M298" s="16">
        <v>-1.86</v>
      </c>
      <c r="N298" s="17"/>
    </row>
    <row r="299" spans="1:14" x14ac:dyDescent="0.2">
      <c r="A299" s="349">
        <v>44553.740474537037</v>
      </c>
      <c r="B299" s="9" t="s">
        <v>36</v>
      </c>
      <c r="C299" s="10">
        <v>5.9004999999999995E-4</v>
      </c>
      <c r="D299" s="10" t="s">
        <v>41</v>
      </c>
      <c r="E299" s="344">
        <f ca="1"/>
        <v>50843.14888568766</v>
      </c>
      <c r="F299" s="11">
        <v>30</v>
      </c>
      <c r="G299" s="12">
        <v>21.051154</v>
      </c>
      <c r="H299" s="12" t="s">
        <v>35</v>
      </c>
      <c r="I299" s="13">
        <v>27.71</v>
      </c>
      <c r="J299" s="14"/>
      <c r="K299" s="14"/>
      <c r="L299" s="15"/>
      <c r="M299" s="16">
        <v>2.29</v>
      </c>
      <c r="N299" s="17"/>
    </row>
    <row r="300" spans="1:14" x14ac:dyDescent="0.2">
      <c r="A300" s="349">
        <v>44541.687141203707</v>
      </c>
      <c r="B300" s="9" t="s">
        <v>36</v>
      </c>
      <c r="C300" s="10">
        <v>29.660748000000002</v>
      </c>
      <c r="D300" s="10" t="s">
        <v>35</v>
      </c>
      <c r="E300" s="344">
        <f ca="1"/>
        <v>1.3162176489952309</v>
      </c>
      <c r="F300" s="11">
        <v>39.04</v>
      </c>
      <c r="G300" s="12">
        <v>9.7720299999999993E-3</v>
      </c>
      <c r="H300" s="12" t="s">
        <v>40</v>
      </c>
      <c r="I300" s="13">
        <v>42.96</v>
      </c>
      <c r="J300" s="14"/>
      <c r="K300" s="14"/>
      <c r="L300" s="15"/>
      <c r="M300" s="16">
        <v>-3.92</v>
      </c>
      <c r="N300" s="17"/>
    </row>
    <row r="301" spans="1:14" x14ac:dyDescent="0.2">
      <c r="A301" s="349">
        <v>44540.975902777784</v>
      </c>
      <c r="B301" s="9" t="s">
        <v>36</v>
      </c>
      <c r="C301" s="10">
        <v>1.15742E-2</v>
      </c>
      <c r="D301" s="10" t="s">
        <v>40</v>
      </c>
      <c r="E301" s="344">
        <f ca="1"/>
        <v>4068.5317343747306</v>
      </c>
      <c r="F301" s="11">
        <v>47.09</v>
      </c>
      <c r="G301" s="12">
        <v>256.62583761000002</v>
      </c>
      <c r="H301" s="12" t="s">
        <v>67</v>
      </c>
      <c r="I301" s="13">
        <v>43.4</v>
      </c>
      <c r="J301" s="14"/>
      <c r="K301" s="14"/>
      <c r="L301" s="15"/>
      <c r="M301" s="16">
        <v>3.69</v>
      </c>
      <c r="N301" s="17"/>
    </row>
    <row r="302" spans="1:14" x14ac:dyDescent="0.2">
      <c r="A302" s="349">
        <v>44540.601006944453</v>
      </c>
      <c r="B302" s="9" t="s">
        <v>36</v>
      </c>
      <c r="C302" s="10">
        <v>97.598800580000002</v>
      </c>
      <c r="D302" s="10" t="s">
        <v>67</v>
      </c>
      <c r="E302" s="344">
        <f ca="1"/>
        <v>0.19836309344940106</v>
      </c>
      <c r="F302" s="11">
        <v>19.36</v>
      </c>
      <c r="G302" s="12">
        <v>1434.50101855</v>
      </c>
      <c r="H302" s="12" t="s">
        <v>68</v>
      </c>
      <c r="I302" s="13">
        <v>25.79</v>
      </c>
      <c r="J302" s="14"/>
      <c r="K302" s="14"/>
      <c r="L302" s="15"/>
      <c r="M302" s="16">
        <v>-6.43</v>
      </c>
      <c r="N302" s="17"/>
    </row>
    <row r="303" spans="1:14" x14ac:dyDescent="0.2">
      <c r="A303" s="349">
        <v>44540.063819444447</v>
      </c>
      <c r="B303" s="9" t="s">
        <v>36</v>
      </c>
      <c r="C303" s="10">
        <v>139.17749337999999</v>
      </c>
      <c r="D303" s="10" t="s">
        <v>67</v>
      </c>
      <c r="E303" s="344">
        <f ca="1"/>
        <v>0.15095831581501359</v>
      </c>
      <c r="F303" s="11">
        <v>21.01</v>
      </c>
      <c r="G303" s="12">
        <v>1419.1419141900001</v>
      </c>
      <c r="H303" s="12" t="s">
        <v>68</v>
      </c>
      <c r="I303" s="13">
        <v>25.87</v>
      </c>
      <c r="J303" s="14"/>
      <c r="K303" s="14"/>
      <c r="L303" s="15"/>
      <c r="M303" s="16">
        <v>-4.8600000000000003</v>
      </c>
      <c r="N303" s="17"/>
    </row>
    <row r="304" spans="1:14" x14ac:dyDescent="0.2">
      <c r="A304" s="349">
        <v>44540.062210648153</v>
      </c>
      <c r="B304" s="9" t="s">
        <v>36</v>
      </c>
      <c r="C304" s="10">
        <v>19.849543650000001</v>
      </c>
      <c r="D304" s="10" t="s">
        <v>67</v>
      </c>
      <c r="E304" s="344">
        <f ca="1"/>
        <v>0.15264834564597154</v>
      </c>
      <c r="F304" s="11">
        <v>3.03</v>
      </c>
      <c r="G304" s="12">
        <v>1.8398129999999999E-2</v>
      </c>
      <c r="H304" s="12" t="s">
        <v>49</v>
      </c>
      <c r="I304" s="13">
        <v>2.98</v>
      </c>
      <c r="J304" s="14"/>
      <c r="K304" s="14"/>
      <c r="L304" s="15"/>
      <c r="M304" s="16">
        <v>0.05</v>
      </c>
      <c r="N304" s="17"/>
    </row>
    <row r="305" spans="1:14" x14ac:dyDescent="0.2">
      <c r="A305" s="349">
        <v>44540.055706018517</v>
      </c>
      <c r="B305" s="9" t="s">
        <v>31</v>
      </c>
      <c r="C305" s="10">
        <v>6.1327100000000004E-3</v>
      </c>
      <c r="D305" s="10" t="s">
        <v>49</v>
      </c>
      <c r="E305" s="344">
        <f ca="1"/>
        <v>161.42944962341281</v>
      </c>
      <c r="F305" s="11">
        <v>0.99</v>
      </c>
      <c r="G305" s="12"/>
      <c r="H305" s="12"/>
      <c r="I305" s="13"/>
      <c r="J305" s="14"/>
      <c r="K305" s="14"/>
      <c r="L305" s="15"/>
      <c r="M305" s="16"/>
      <c r="N305" s="17"/>
    </row>
    <row r="306" spans="1:14" x14ac:dyDescent="0.2">
      <c r="A306" s="349">
        <v>44540.055567129632</v>
      </c>
      <c r="B306" s="9" t="s">
        <v>31</v>
      </c>
      <c r="C306" s="10">
        <v>6.1327100000000004E-3</v>
      </c>
      <c r="D306" s="10" t="s">
        <v>49</v>
      </c>
      <c r="E306" s="344">
        <f ca="1"/>
        <v>163.0600501246594</v>
      </c>
      <c r="F306" s="11">
        <v>1</v>
      </c>
      <c r="G306" s="12"/>
      <c r="H306" s="12"/>
      <c r="I306" s="13"/>
      <c r="J306" s="14"/>
      <c r="K306" s="14"/>
      <c r="L306" s="15"/>
      <c r="M306" s="16"/>
      <c r="N306" s="17"/>
    </row>
    <row r="307" spans="1:14" x14ac:dyDescent="0.2">
      <c r="A307" s="349">
        <v>44540.05541666667</v>
      </c>
      <c r="B307" s="9" t="s">
        <v>31</v>
      </c>
      <c r="C307" s="10">
        <v>6.1327100000000004E-3</v>
      </c>
      <c r="D307" s="10" t="s">
        <v>49</v>
      </c>
      <c r="E307" s="344">
        <f ca="1"/>
        <v>161.42944962341281</v>
      </c>
      <c r="F307" s="11">
        <v>0.99</v>
      </c>
      <c r="G307" s="12"/>
      <c r="H307" s="12"/>
      <c r="I307" s="13"/>
      <c r="J307" s="14"/>
      <c r="K307" s="14"/>
      <c r="L307" s="15"/>
      <c r="M307" s="16"/>
      <c r="N307" s="17"/>
    </row>
    <row r="308" spans="1:14" x14ac:dyDescent="0.2">
      <c r="A308" s="349">
        <v>44539.793182870373</v>
      </c>
      <c r="B308" s="9" t="s">
        <v>31</v>
      </c>
      <c r="C308" s="10">
        <v>2.0900000000000001E-4</v>
      </c>
      <c r="D308" s="10" t="s">
        <v>41</v>
      </c>
      <c r="E308" s="344">
        <f ca="1"/>
        <v>47894.73684210526</v>
      </c>
      <c r="F308" s="11">
        <v>10.01</v>
      </c>
      <c r="G308" s="12"/>
      <c r="H308" s="12"/>
      <c r="I308" s="13"/>
      <c r="J308" s="14"/>
      <c r="K308" s="14"/>
      <c r="L308" s="15"/>
      <c r="M308" s="16"/>
      <c r="N308" s="17"/>
    </row>
    <row r="309" spans="1:14" x14ac:dyDescent="0.2">
      <c r="A309" s="349">
        <v>44539.789386574077</v>
      </c>
      <c r="B309" s="9" t="s">
        <v>31</v>
      </c>
      <c r="C309" s="10">
        <v>3.2554799999999998E-3</v>
      </c>
      <c r="D309" s="10" t="s">
        <v>40</v>
      </c>
      <c r="E309" s="344">
        <f ca="1"/>
        <v>4149.9256638038014</v>
      </c>
      <c r="F309" s="11">
        <v>13.51</v>
      </c>
      <c r="G309" s="12">
        <v>13.51</v>
      </c>
      <c r="H309" s="12" t="s">
        <v>32</v>
      </c>
      <c r="I309" s="13"/>
      <c r="J309" s="14">
        <v>1.49</v>
      </c>
      <c r="K309" s="14" t="s">
        <v>32</v>
      </c>
      <c r="L309" s="15">
        <v>1.49</v>
      </c>
      <c r="M309" s="16"/>
      <c r="N309" s="17"/>
    </row>
    <row r="310" spans="1:14" x14ac:dyDescent="0.2">
      <c r="A310" s="349">
        <v>44539.220486111109</v>
      </c>
      <c r="B310" s="9" t="s">
        <v>36</v>
      </c>
      <c r="C310" s="10">
        <v>536.74854684000002</v>
      </c>
      <c r="D310" s="10" t="s">
        <v>68</v>
      </c>
      <c r="E310" s="344">
        <f ca="1"/>
        <v>1.7643270868179777E-2</v>
      </c>
      <c r="F310" s="11">
        <v>9.4700000000000006</v>
      </c>
      <c r="G310" s="12">
        <v>27.310846389999998</v>
      </c>
      <c r="H310" s="12" t="s">
        <v>69</v>
      </c>
      <c r="I310" s="13">
        <v>9.6999999999999993</v>
      </c>
      <c r="J310" s="14"/>
      <c r="K310" s="14"/>
      <c r="L310" s="15"/>
      <c r="M310" s="16">
        <v>-0.23</v>
      </c>
      <c r="N310" s="17"/>
    </row>
    <row r="311" spans="1:14" x14ac:dyDescent="0.2">
      <c r="A311" s="349">
        <v>44539.063402777778</v>
      </c>
      <c r="B311" s="9" t="s">
        <v>36</v>
      </c>
      <c r="C311" s="10">
        <v>27.310846389999998</v>
      </c>
      <c r="D311" s="10" t="s">
        <v>69</v>
      </c>
      <c r="E311" s="344">
        <f ca="1"/>
        <v>0.35517024487207771</v>
      </c>
      <c r="F311" s="11">
        <v>9.6999999999999993</v>
      </c>
      <c r="G311" s="12">
        <v>1.9799999999999999E-4</v>
      </c>
      <c r="H311" s="12" t="s">
        <v>41</v>
      </c>
      <c r="I311" s="13">
        <v>10</v>
      </c>
      <c r="J311" s="14"/>
      <c r="K311" s="14"/>
      <c r="L311" s="15"/>
      <c r="M311" s="16">
        <v>-0.3</v>
      </c>
      <c r="N311" s="17"/>
    </row>
    <row r="312" spans="1:14" x14ac:dyDescent="0.2">
      <c r="A312" s="349">
        <v>44539.04247685185</v>
      </c>
      <c r="B312" s="9" t="s">
        <v>36</v>
      </c>
      <c r="C312" s="10">
        <v>705.97175244000005</v>
      </c>
      <c r="D312" s="10" t="s">
        <v>68</v>
      </c>
      <c r="E312" s="344">
        <f ca="1"/>
        <v>1.8159366795755135E-2</v>
      </c>
      <c r="F312" s="11">
        <v>12.82</v>
      </c>
      <c r="G312" s="12">
        <v>6.7253199999999999E-2</v>
      </c>
      <c r="H312" s="12" t="s">
        <v>34</v>
      </c>
      <c r="I312" s="13">
        <v>12.78</v>
      </c>
      <c r="J312" s="14"/>
      <c r="K312" s="14"/>
      <c r="L312" s="15"/>
      <c r="M312" s="16">
        <v>0.04</v>
      </c>
      <c r="N312" s="17"/>
    </row>
    <row r="313" spans="1:14" x14ac:dyDescent="0.2">
      <c r="A313" s="349">
        <v>44539.031504629631</v>
      </c>
      <c r="B313" s="9" t="s">
        <v>36</v>
      </c>
      <c r="C313" s="10">
        <v>1.499268E-2</v>
      </c>
      <c r="D313" s="10" t="s">
        <v>34</v>
      </c>
      <c r="E313" s="344">
        <f ca="1"/>
        <v>272.13280080679374</v>
      </c>
      <c r="F313" s="11">
        <v>4.08</v>
      </c>
      <c r="G313" s="12">
        <v>16.801545770000001</v>
      </c>
      <c r="H313" s="12" t="s">
        <v>70</v>
      </c>
      <c r="I313" s="13">
        <v>2.98</v>
      </c>
      <c r="J313" s="14"/>
      <c r="K313" s="14"/>
      <c r="L313" s="15"/>
      <c r="M313" s="16">
        <v>0.02</v>
      </c>
      <c r="N313" s="17"/>
    </row>
    <row r="314" spans="1:14" x14ac:dyDescent="0.2">
      <c r="A314" s="349">
        <v>44539.028032407397</v>
      </c>
      <c r="B314" s="9" t="s">
        <v>31</v>
      </c>
      <c r="C314" s="10">
        <v>1.8709999999999999E-4</v>
      </c>
      <c r="D314" s="10" t="s">
        <v>41</v>
      </c>
      <c r="E314" s="344">
        <f ca="1"/>
        <v>50507.749866381615</v>
      </c>
      <c r="F314" s="11">
        <v>9.4499999999999993</v>
      </c>
      <c r="G314" s="12"/>
      <c r="H314" s="12"/>
      <c r="I314" s="13"/>
      <c r="J314" s="14"/>
      <c r="K314" s="14"/>
      <c r="L314" s="15"/>
      <c r="M314" s="16"/>
      <c r="N314" s="17"/>
    </row>
    <row r="315" spans="1:14" x14ac:dyDescent="0.2">
      <c r="A315" s="349">
        <v>44539.024699074071</v>
      </c>
      <c r="B315" s="9" t="s">
        <v>36</v>
      </c>
      <c r="C315" s="10">
        <v>1073.7916747199999</v>
      </c>
      <c r="D315" s="10" t="s">
        <v>68</v>
      </c>
      <c r="E315" s="344">
        <f ca="1"/>
        <v>1.8234449438347195E-2</v>
      </c>
      <c r="F315" s="11">
        <v>19.579999999999998</v>
      </c>
      <c r="G315" s="12">
        <v>3.9500000000000001E-4</v>
      </c>
      <c r="H315" s="12" t="s">
        <v>41</v>
      </c>
      <c r="I315" s="13">
        <v>20.21</v>
      </c>
      <c r="J315" s="14"/>
      <c r="K315" s="14"/>
      <c r="L315" s="15"/>
      <c r="M315" s="16">
        <v>-0.63</v>
      </c>
      <c r="N315" s="17"/>
    </row>
    <row r="316" spans="1:14" x14ac:dyDescent="0.2">
      <c r="A316" s="349">
        <v>44539.00304398148</v>
      </c>
      <c r="B316" s="9" t="s">
        <v>31</v>
      </c>
      <c r="C316" s="10">
        <v>5.60051524</v>
      </c>
      <c r="D316" s="10" t="s">
        <v>70</v>
      </c>
      <c r="E316" s="344">
        <f ca="1"/>
        <v>0.17855500023601401</v>
      </c>
      <c r="F316" s="11">
        <v>1</v>
      </c>
      <c r="G316" s="12"/>
      <c r="H316" s="12"/>
      <c r="I316" s="13"/>
      <c r="J316" s="14"/>
      <c r="K316" s="14"/>
      <c r="L316" s="15"/>
      <c r="M316" s="16"/>
      <c r="N316" s="17"/>
    </row>
    <row r="317" spans="1:14" x14ac:dyDescent="0.2">
      <c r="A317" s="349">
        <v>44539.002789351849</v>
      </c>
      <c r="B317" s="9" t="s">
        <v>31</v>
      </c>
      <c r="C317" s="10">
        <v>5.6002016000000001</v>
      </c>
      <c r="D317" s="10" t="s">
        <v>70</v>
      </c>
      <c r="E317" s="344">
        <f ca="1"/>
        <v>0.17677935022910604</v>
      </c>
      <c r="F317" s="11">
        <v>0.99</v>
      </c>
      <c r="G317" s="12"/>
      <c r="H317" s="12"/>
      <c r="I317" s="13"/>
      <c r="J317" s="14"/>
      <c r="K317" s="14"/>
      <c r="L317" s="15"/>
      <c r="M317" s="16"/>
      <c r="N317" s="17"/>
    </row>
    <row r="318" spans="1:14" x14ac:dyDescent="0.2">
      <c r="A318" s="349">
        <v>44539.002118055563</v>
      </c>
      <c r="B318" s="9" t="s">
        <v>31</v>
      </c>
      <c r="C318" s="10">
        <v>5.6008289199999997</v>
      </c>
      <c r="D318" s="10" t="s">
        <v>70</v>
      </c>
      <c r="E318" s="344">
        <f ca="1"/>
        <v>0.17675955008459712</v>
      </c>
      <c r="F318" s="11">
        <v>0.99</v>
      </c>
      <c r="G318" s="12"/>
      <c r="H318" s="12"/>
      <c r="I318" s="13"/>
      <c r="J318" s="14"/>
      <c r="K318" s="14"/>
      <c r="L318" s="15"/>
      <c r="M318" s="16"/>
      <c r="N318" s="17"/>
    </row>
    <row r="319" spans="1:14" x14ac:dyDescent="0.2">
      <c r="A319" s="349">
        <v>44538.980949074074</v>
      </c>
      <c r="B319" s="9" t="s">
        <v>39</v>
      </c>
      <c r="C319" s="10"/>
      <c r="D319" s="10" t="s">
        <v>32</v>
      </c>
      <c r="E319" s="344" t="str">
        <f ca="1"/>
        <v/>
      </c>
      <c r="F319" s="11"/>
      <c r="G319" s="12">
        <v>1.9819999999999999E-4</v>
      </c>
      <c r="H319" s="12" t="s">
        <v>41</v>
      </c>
      <c r="I319" s="13">
        <v>10.14</v>
      </c>
      <c r="J319" s="14">
        <v>3.27E-6</v>
      </c>
      <c r="K319" s="14" t="s">
        <v>41</v>
      </c>
      <c r="L319" s="15">
        <v>0.17</v>
      </c>
      <c r="M319" s="16">
        <v>-0.14000000000000001</v>
      </c>
      <c r="N319" s="17">
        <v>0</v>
      </c>
    </row>
    <row r="320" spans="1:14" x14ac:dyDescent="0.2">
      <c r="A320" s="349">
        <v>44538.973194444443</v>
      </c>
      <c r="B320" s="9" t="s">
        <v>36</v>
      </c>
      <c r="C320" s="10">
        <v>537.13095873999998</v>
      </c>
      <c r="D320" s="10" t="s">
        <v>68</v>
      </c>
      <c r="E320" s="344">
        <f ca="1"/>
        <v>1.8226467569408676E-2</v>
      </c>
      <c r="F320" s="11">
        <v>9.7899999999999991</v>
      </c>
      <c r="G320" s="12">
        <v>1.9799999999999999E-4</v>
      </c>
      <c r="H320" s="12" t="s">
        <v>41</v>
      </c>
      <c r="I320" s="13">
        <v>10.130000000000001</v>
      </c>
      <c r="J320" s="14"/>
      <c r="K320" s="14"/>
      <c r="L320" s="15"/>
      <c r="M320" s="16">
        <v>-0.34</v>
      </c>
      <c r="N320" s="17"/>
    </row>
    <row r="321" spans="1:14" x14ac:dyDescent="0.2">
      <c r="A321" s="349">
        <v>44535.816423611112</v>
      </c>
      <c r="B321" s="9" t="s">
        <v>36</v>
      </c>
      <c r="C321" s="10">
        <v>5.2260519999999998E-2</v>
      </c>
      <c r="D321" s="10" t="s">
        <v>34</v>
      </c>
      <c r="E321" s="344">
        <f ca="1"/>
        <v>187.13935490882983</v>
      </c>
      <c r="F321" s="11">
        <v>9.7799999999999994</v>
      </c>
      <c r="G321" s="12">
        <v>2.0599999999999999E-4</v>
      </c>
      <c r="H321" s="12" t="s">
        <v>41</v>
      </c>
      <c r="I321" s="13">
        <v>10.54</v>
      </c>
      <c r="J321" s="14"/>
      <c r="K321" s="14"/>
      <c r="L321" s="15"/>
      <c r="M321" s="16">
        <v>-0.76</v>
      </c>
      <c r="N321" s="17"/>
    </row>
    <row r="322" spans="1:14" x14ac:dyDescent="0.2">
      <c r="A322" s="349">
        <v>44535.142013888893</v>
      </c>
      <c r="B322" s="9" t="s">
        <v>36</v>
      </c>
      <c r="C322" s="10">
        <v>7.0809999999999996E-3</v>
      </c>
      <c r="D322" s="10" t="s">
        <v>40</v>
      </c>
      <c r="E322" s="344">
        <f ca="1"/>
        <v>4160.4293178929529</v>
      </c>
      <c r="F322" s="11">
        <v>29.46</v>
      </c>
      <c r="G322" s="12">
        <v>6.0800000000000003E-4</v>
      </c>
      <c r="H322" s="12" t="s">
        <v>41</v>
      </c>
      <c r="I322" s="13">
        <v>32.28</v>
      </c>
      <c r="J322" s="14"/>
      <c r="K322" s="14"/>
      <c r="L322" s="15"/>
      <c r="M322" s="16">
        <v>-2.82</v>
      </c>
      <c r="N322" s="17"/>
    </row>
    <row r="323" spans="1:14" x14ac:dyDescent="0.2">
      <c r="A323" s="349">
        <v>44534.986828703702</v>
      </c>
      <c r="B323" s="9" t="s">
        <v>36</v>
      </c>
      <c r="C323" s="10">
        <v>5.9500000000000003E-5</v>
      </c>
      <c r="D323" s="10" t="s">
        <v>41</v>
      </c>
      <c r="E323" s="344">
        <f ca="1"/>
        <v>50252.100840336134</v>
      </c>
      <c r="F323" s="11">
        <v>2.99</v>
      </c>
      <c r="G323" s="12">
        <v>56.653711680000001</v>
      </c>
      <c r="H323" s="12" t="s">
        <v>64</v>
      </c>
      <c r="I323" s="13">
        <v>3</v>
      </c>
      <c r="J323" s="14"/>
      <c r="K323" s="14"/>
      <c r="L323" s="15"/>
      <c r="M323" s="16">
        <v>-0.01</v>
      </c>
      <c r="N323" s="17"/>
    </row>
    <row r="324" spans="1:14" x14ac:dyDescent="0.2">
      <c r="A324" s="349">
        <v>44534.985694444447</v>
      </c>
      <c r="B324" s="9" t="s">
        <v>36</v>
      </c>
      <c r="C324" s="10">
        <v>5.948E-5</v>
      </c>
      <c r="D324" s="10" t="s">
        <v>41</v>
      </c>
      <c r="E324" s="344">
        <f ca="1"/>
        <v>50268.997982515139</v>
      </c>
      <c r="F324" s="11">
        <v>2.99</v>
      </c>
      <c r="G324" s="12">
        <v>4.4508185500000002</v>
      </c>
      <c r="H324" s="12" t="s">
        <v>71</v>
      </c>
      <c r="I324" s="13">
        <v>3</v>
      </c>
      <c r="J324" s="14"/>
      <c r="K324" s="14"/>
      <c r="L324" s="15"/>
      <c r="M324" s="16">
        <v>-0.01</v>
      </c>
      <c r="N324" s="17"/>
    </row>
    <row r="325" spans="1:14" x14ac:dyDescent="0.2">
      <c r="A325" s="349">
        <v>44534.984884259262</v>
      </c>
      <c r="B325" s="9" t="s">
        <v>36</v>
      </c>
      <c r="C325" s="10">
        <v>7.9140000000000005E-5</v>
      </c>
      <c r="D325" s="10" t="s">
        <v>41</v>
      </c>
      <c r="E325" s="344">
        <f ca="1"/>
        <v>50164.265857973209</v>
      </c>
      <c r="F325" s="11">
        <v>3.97</v>
      </c>
      <c r="G325" s="12">
        <v>5.4322023799999997</v>
      </c>
      <c r="H325" s="12" t="s">
        <v>56</v>
      </c>
      <c r="I325" s="13">
        <v>4</v>
      </c>
      <c r="J325" s="14"/>
      <c r="K325" s="14"/>
      <c r="L325" s="15"/>
      <c r="M325" s="16">
        <v>-0.03</v>
      </c>
      <c r="N325" s="17"/>
    </row>
    <row r="326" spans="1:14" x14ac:dyDescent="0.2">
      <c r="A326" s="349">
        <v>44534.98333333333</v>
      </c>
      <c r="B326" s="9" t="s">
        <v>36</v>
      </c>
      <c r="C326" s="10">
        <v>1.9903E-4</v>
      </c>
      <c r="D326" s="10" t="s">
        <v>41</v>
      </c>
      <c r="E326" s="344">
        <f ca="1"/>
        <v>49992.463447721449</v>
      </c>
      <c r="F326" s="11">
        <v>9.9499999999999993</v>
      </c>
      <c r="G326" s="12">
        <v>34.119233299999998</v>
      </c>
      <c r="H326" s="12" t="s">
        <v>45</v>
      </c>
      <c r="I326" s="13">
        <v>10</v>
      </c>
      <c r="J326" s="14"/>
      <c r="K326" s="14"/>
      <c r="L326" s="15"/>
      <c r="M326" s="16">
        <v>-0.05</v>
      </c>
      <c r="N326" s="17"/>
    </row>
    <row r="327" spans="1:14" x14ac:dyDescent="0.2">
      <c r="A327" s="349">
        <v>44534.981944444437</v>
      </c>
      <c r="B327" s="9" t="s">
        <v>31</v>
      </c>
      <c r="C327" s="10">
        <v>18.910741300000002</v>
      </c>
      <c r="D327" s="10" t="s">
        <v>64</v>
      </c>
      <c r="E327" s="344">
        <f ca="1"/>
        <v>5.2880000002961274E-2</v>
      </c>
      <c r="F327" s="11">
        <v>1</v>
      </c>
      <c r="G327" s="12"/>
      <c r="H327" s="12"/>
      <c r="I327" s="13"/>
      <c r="J327" s="14"/>
      <c r="K327" s="14"/>
      <c r="L327" s="15"/>
      <c r="M327" s="16"/>
      <c r="N327" s="17"/>
    </row>
    <row r="328" spans="1:14" x14ac:dyDescent="0.2">
      <c r="A328" s="349">
        <v>44534.981840277767</v>
      </c>
      <c r="B328" s="9" t="s">
        <v>31</v>
      </c>
      <c r="C328" s="10">
        <v>18.871485190000001</v>
      </c>
      <c r="D328" s="10" t="s">
        <v>64</v>
      </c>
      <c r="E328" s="344">
        <f ca="1"/>
        <v>5.2989999988442879E-2</v>
      </c>
      <c r="F328" s="11">
        <v>1</v>
      </c>
      <c r="G328" s="12"/>
      <c r="H328" s="12"/>
      <c r="I328" s="13"/>
      <c r="J328" s="14"/>
      <c r="K328" s="14"/>
      <c r="L328" s="15"/>
      <c r="M328" s="16"/>
      <c r="N328" s="17"/>
    </row>
    <row r="329" spans="1:14" x14ac:dyDescent="0.2">
      <c r="A329" s="349">
        <v>44534.981620370367</v>
      </c>
      <c r="B329" s="9" t="s">
        <v>31</v>
      </c>
      <c r="C329" s="10">
        <v>18.871485190000001</v>
      </c>
      <c r="D329" s="10" t="s">
        <v>64</v>
      </c>
      <c r="E329" s="344">
        <f ca="1"/>
        <v>5.2989999988442879E-2</v>
      </c>
      <c r="F329" s="11">
        <v>1</v>
      </c>
      <c r="G329" s="12"/>
      <c r="H329" s="12"/>
      <c r="I329" s="13"/>
      <c r="J329" s="14"/>
      <c r="K329" s="14"/>
      <c r="L329" s="15"/>
      <c r="M329" s="16"/>
      <c r="N329" s="17"/>
    </row>
    <row r="330" spans="1:14" x14ac:dyDescent="0.2">
      <c r="A330" s="349">
        <v>44534.980543981481</v>
      </c>
      <c r="B330" s="9" t="s">
        <v>31</v>
      </c>
      <c r="C330" s="10">
        <v>1.35869565</v>
      </c>
      <c r="D330" s="10" t="s">
        <v>56</v>
      </c>
      <c r="E330" s="344">
        <f ca="1"/>
        <v>0.73600000117760001</v>
      </c>
      <c r="F330" s="11">
        <v>1</v>
      </c>
      <c r="G330" s="12"/>
      <c r="H330" s="12"/>
      <c r="I330" s="13"/>
      <c r="J330" s="14"/>
      <c r="K330" s="14"/>
      <c r="L330" s="15"/>
      <c r="M330" s="16"/>
      <c r="N330" s="17"/>
    </row>
    <row r="331" spans="1:14" x14ac:dyDescent="0.2">
      <c r="A331" s="349">
        <v>44534.980370370373</v>
      </c>
      <c r="B331" s="9" t="s">
        <v>31</v>
      </c>
      <c r="C331" s="10">
        <v>1.35869565</v>
      </c>
      <c r="D331" s="10" t="s">
        <v>56</v>
      </c>
      <c r="E331" s="344">
        <f ca="1"/>
        <v>0.73600000117760001</v>
      </c>
      <c r="F331" s="11">
        <v>1</v>
      </c>
      <c r="G331" s="12"/>
      <c r="H331" s="12"/>
      <c r="I331" s="13"/>
      <c r="J331" s="14"/>
      <c r="K331" s="14"/>
      <c r="L331" s="15"/>
      <c r="M331" s="16"/>
      <c r="N331" s="17"/>
    </row>
    <row r="332" spans="1:14" x14ac:dyDescent="0.2">
      <c r="A332" s="349">
        <v>44534.979143518518</v>
      </c>
      <c r="B332" s="9" t="s">
        <v>31</v>
      </c>
      <c r="C332" s="10">
        <v>1.35630001</v>
      </c>
      <c r="D332" s="10" t="s">
        <v>56</v>
      </c>
      <c r="E332" s="344">
        <f ca="1"/>
        <v>0.73730000193688705</v>
      </c>
      <c r="F332" s="11">
        <v>1</v>
      </c>
      <c r="G332" s="12"/>
      <c r="H332" s="12"/>
      <c r="I332" s="13"/>
      <c r="J332" s="14"/>
      <c r="K332" s="14"/>
      <c r="L332" s="15"/>
      <c r="M332" s="16"/>
      <c r="N332" s="17"/>
    </row>
    <row r="333" spans="1:14" x14ac:dyDescent="0.2">
      <c r="A333" s="349">
        <v>44534.978692129633</v>
      </c>
      <c r="B333" s="9" t="s">
        <v>31</v>
      </c>
      <c r="C333" s="10">
        <v>1.35851107</v>
      </c>
      <c r="D333" s="10" t="s">
        <v>56</v>
      </c>
      <c r="E333" s="344">
        <f ca="1"/>
        <v>0.73610000101066531</v>
      </c>
      <c r="F333" s="11">
        <v>1</v>
      </c>
      <c r="G333" s="12"/>
      <c r="H333" s="12"/>
      <c r="I333" s="13"/>
      <c r="J333" s="14"/>
      <c r="K333" s="14"/>
      <c r="L333" s="15"/>
      <c r="M333" s="16"/>
      <c r="N333" s="17"/>
    </row>
    <row r="334" spans="1:14" x14ac:dyDescent="0.2">
      <c r="A334" s="349">
        <v>44534.978148148148</v>
      </c>
      <c r="B334" s="9" t="s">
        <v>31</v>
      </c>
      <c r="C334" s="10">
        <v>1.4838996900000001</v>
      </c>
      <c r="D334" s="10" t="s">
        <v>71</v>
      </c>
      <c r="E334" s="344">
        <f ca="1"/>
        <v>0.67389999926477506</v>
      </c>
      <c r="F334" s="11">
        <v>1</v>
      </c>
      <c r="G334" s="12"/>
      <c r="H334" s="12"/>
      <c r="I334" s="13"/>
      <c r="J334" s="14"/>
      <c r="K334" s="14"/>
      <c r="L334" s="15"/>
      <c r="M334" s="16"/>
      <c r="N334" s="17"/>
    </row>
    <row r="335" spans="1:14" x14ac:dyDescent="0.2">
      <c r="A335" s="349">
        <v>44534.977453703701</v>
      </c>
      <c r="B335" s="9" t="s">
        <v>31</v>
      </c>
      <c r="C335" s="10">
        <v>1.4834594299999999</v>
      </c>
      <c r="D335" s="10" t="s">
        <v>71</v>
      </c>
      <c r="E335" s="344">
        <f ca="1"/>
        <v>0.6740999988115618</v>
      </c>
      <c r="F335" s="11">
        <v>1</v>
      </c>
      <c r="G335" s="12"/>
      <c r="H335" s="12"/>
      <c r="I335" s="13"/>
      <c r="J335" s="14"/>
      <c r="K335" s="14"/>
      <c r="L335" s="15"/>
      <c r="M335" s="16"/>
      <c r="N335" s="17"/>
    </row>
    <row r="336" spans="1:14" x14ac:dyDescent="0.2">
      <c r="A336" s="349">
        <v>44534.976979166669</v>
      </c>
      <c r="B336" s="9" t="s">
        <v>31</v>
      </c>
      <c r="C336" s="10">
        <v>1.4834594299999999</v>
      </c>
      <c r="D336" s="10" t="s">
        <v>71</v>
      </c>
      <c r="E336" s="344">
        <f ca="1"/>
        <v>0.6740999988115618</v>
      </c>
      <c r="F336" s="11">
        <v>1</v>
      </c>
      <c r="G336" s="12"/>
      <c r="H336" s="12"/>
      <c r="I336" s="13"/>
      <c r="J336" s="14"/>
      <c r="K336" s="14"/>
      <c r="L336" s="15"/>
      <c r="M336" s="16"/>
      <c r="N336" s="17"/>
    </row>
    <row r="337" spans="1:14" x14ac:dyDescent="0.2">
      <c r="A337" s="349">
        <v>44534.975821759261</v>
      </c>
      <c r="B337" s="9" t="s">
        <v>31</v>
      </c>
      <c r="C337" s="10">
        <v>6.8210031999999998</v>
      </c>
      <c r="D337" s="10" t="s">
        <v>45</v>
      </c>
      <c r="E337" s="344">
        <f ca="1"/>
        <v>0.29321200142524489</v>
      </c>
      <c r="F337" s="11">
        <v>2</v>
      </c>
      <c r="G337" s="12"/>
      <c r="H337" s="12"/>
      <c r="I337" s="13"/>
      <c r="J337" s="14"/>
      <c r="K337" s="14"/>
      <c r="L337" s="15"/>
      <c r="M337" s="16"/>
      <c r="N337" s="17"/>
    </row>
    <row r="338" spans="1:14" x14ac:dyDescent="0.2">
      <c r="A338" s="349">
        <v>44534.973506944443</v>
      </c>
      <c r="B338" s="9" t="s">
        <v>31</v>
      </c>
      <c r="C338" s="10">
        <v>6.8223992999999998</v>
      </c>
      <c r="D338" s="10" t="s">
        <v>45</v>
      </c>
      <c r="E338" s="344">
        <f ca="1"/>
        <v>0.29315200005956848</v>
      </c>
      <c r="F338" s="11">
        <v>2</v>
      </c>
      <c r="G338" s="12"/>
      <c r="H338" s="12"/>
      <c r="I338" s="13"/>
      <c r="J338" s="14"/>
      <c r="K338" s="14"/>
      <c r="L338" s="15"/>
      <c r="M338" s="16"/>
      <c r="N338" s="17"/>
    </row>
    <row r="339" spans="1:14" x14ac:dyDescent="0.2">
      <c r="A339" s="349">
        <v>44534.971331018518</v>
      </c>
      <c r="B339" s="9" t="s">
        <v>31</v>
      </c>
      <c r="C339" s="10">
        <v>6.8175156000000001</v>
      </c>
      <c r="D339" s="10" t="s">
        <v>45</v>
      </c>
      <c r="E339" s="344">
        <f ca="1"/>
        <v>0.29336199832091325</v>
      </c>
      <c r="F339" s="11">
        <v>2</v>
      </c>
      <c r="G339" s="12"/>
      <c r="H339" s="12"/>
      <c r="I339" s="13"/>
      <c r="J339" s="14"/>
      <c r="K339" s="14"/>
      <c r="L339" s="15"/>
      <c r="M339" s="16"/>
      <c r="N339" s="17"/>
    </row>
    <row r="340" spans="1:14" x14ac:dyDescent="0.2">
      <c r="A340" s="349">
        <v>44534.969849537039</v>
      </c>
      <c r="B340" s="9" t="s">
        <v>31</v>
      </c>
      <c r="C340" s="10">
        <v>6.8333000000000001E-4</v>
      </c>
      <c r="D340" s="10" t="s">
        <v>41</v>
      </c>
      <c r="E340" s="344">
        <f ca="1"/>
        <v>49244.142654354408</v>
      </c>
      <c r="F340" s="11">
        <v>33.65</v>
      </c>
      <c r="G340" s="12"/>
      <c r="H340" s="12"/>
      <c r="I340" s="13"/>
      <c r="J340" s="14"/>
      <c r="K340" s="14"/>
      <c r="L340" s="15"/>
      <c r="M340" s="16"/>
      <c r="N340" s="17"/>
    </row>
    <row r="341" spans="1:14" x14ac:dyDescent="0.2">
      <c r="A341" s="349">
        <v>44534.96979166667</v>
      </c>
      <c r="B341" s="9" t="s">
        <v>31</v>
      </c>
      <c r="C341" s="10">
        <v>6.8249601999999996</v>
      </c>
      <c r="D341" s="10" t="s">
        <v>45</v>
      </c>
      <c r="E341" s="344">
        <f ca="1"/>
        <v>0.29304200191526392</v>
      </c>
      <c r="F341" s="11">
        <v>2</v>
      </c>
      <c r="G341" s="12"/>
      <c r="H341" s="12"/>
      <c r="I341" s="13"/>
      <c r="J341" s="14"/>
      <c r="K341" s="14"/>
      <c r="L341" s="15"/>
      <c r="M341" s="16"/>
      <c r="N341" s="17"/>
    </row>
    <row r="342" spans="1:14" x14ac:dyDescent="0.2">
      <c r="A342" s="349">
        <v>44534.967650462961</v>
      </c>
      <c r="B342" s="9" t="s">
        <v>31</v>
      </c>
      <c r="C342" s="10">
        <v>6.8333550000000001</v>
      </c>
      <c r="D342" s="10" t="s">
        <v>45</v>
      </c>
      <c r="E342" s="344">
        <f ca="1"/>
        <v>0.29268199881317447</v>
      </c>
      <c r="F342" s="11">
        <v>2</v>
      </c>
      <c r="G342" s="12"/>
      <c r="H342" s="12"/>
      <c r="I342" s="13"/>
      <c r="J342" s="14"/>
      <c r="K342" s="14"/>
      <c r="L342" s="15"/>
      <c r="M342" s="16"/>
      <c r="N342" s="17"/>
    </row>
    <row r="343" spans="1:14" x14ac:dyDescent="0.2">
      <c r="A343" s="349">
        <v>44534.897731481477</v>
      </c>
      <c r="B343" s="9" t="s">
        <v>31</v>
      </c>
      <c r="C343" s="10">
        <v>2.19871E-3</v>
      </c>
      <c r="D343" s="10" t="s">
        <v>40</v>
      </c>
      <c r="E343" s="344">
        <f ca="1"/>
        <v>2915.3458164105318</v>
      </c>
      <c r="F343" s="11">
        <v>6.41</v>
      </c>
      <c r="G343" s="12">
        <v>9.01</v>
      </c>
      <c r="H343" s="12" t="s">
        <v>32</v>
      </c>
      <c r="I343" s="13"/>
      <c r="J343" s="14">
        <v>0.99</v>
      </c>
      <c r="K343" s="14" t="s">
        <v>32</v>
      </c>
      <c r="L343" s="15">
        <v>0.99</v>
      </c>
      <c r="M343" s="16"/>
      <c r="N343" s="17"/>
    </row>
    <row r="344" spans="1:14" x14ac:dyDescent="0.2">
      <c r="A344" s="349">
        <v>44534.896886574083</v>
      </c>
      <c r="B344" s="9" t="s">
        <v>31</v>
      </c>
      <c r="C344" s="10">
        <v>1.4659899999999999E-3</v>
      </c>
      <c r="D344" s="10" t="s">
        <v>41</v>
      </c>
      <c r="E344" s="344">
        <f ca="1"/>
        <v>49120.389634308565</v>
      </c>
      <c r="F344" s="11">
        <v>72.010000000000005</v>
      </c>
      <c r="G344" s="12">
        <v>72.010000000000005</v>
      </c>
      <c r="H344" s="12" t="s">
        <v>32</v>
      </c>
      <c r="I344" s="13"/>
      <c r="J344" s="14">
        <v>2.99</v>
      </c>
      <c r="K344" s="14" t="s">
        <v>32</v>
      </c>
      <c r="L344" s="15">
        <v>2.99</v>
      </c>
      <c r="M344" s="16"/>
      <c r="N344" s="17"/>
    </row>
    <row r="345" spans="1:14" x14ac:dyDescent="0.2">
      <c r="A345" s="349">
        <v>44530.81994212963</v>
      </c>
      <c r="B345" s="9" t="s">
        <v>36</v>
      </c>
      <c r="C345" s="10">
        <v>6.5289999999999993E-5</v>
      </c>
      <c r="D345" s="10" t="s">
        <v>41</v>
      </c>
      <c r="E345" s="344">
        <f ca="1"/>
        <v>59120.84545872263</v>
      </c>
      <c r="F345" s="11">
        <v>3.86</v>
      </c>
      <c r="G345" s="12">
        <v>25.615779329999999</v>
      </c>
      <c r="H345" s="12" t="s">
        <v>72</v>
      </c>
      <c r="I345" s="13">
        <v>4</v>
      </c>
      <c r="J345" s="14"/>
      <c r="K345" s="14"/>
      <c r="L345" s="15"/>
      <c r="M345" s="16">
        <v>-0.14000000000000001</v>
      </c>
      <c r="N345" s="17"/>
    </row>
    <row r="346" spans="1:14" x14ac:dyDescent="0.2">
      <c r="A346" s="349">
        <v>44530.819386574083</v>
      </c>
      <c r="B346" s="9" t="s">
        <v>36</v>
      </c>
      <c r="C346" s="10">
        <v>8.2349999999999996E-5</v>
      </c>
      <c r="D346" s="10" t="s">
        <v>41</v>
      </c>
      <c r="E346" s="344">
        <f ca="1"/>
        <v>59259.259259259263</v>
      </c>
      <c r="F346" s="11">
        <v>4.88</v>
      </c>
      <c r="G346" s="12">
        <v>4.3668122199999999</v>
      </c>
      <c r="H346" s="12" t="s">
        <v>73</v>
      </c>
      <c r="I346" s="13">
        <v>5</v>
      </c>
      <c r="J346" s="14"/>
      <c r="K346" s="14"/>
      <c r="L346" s="15"/>
      <c r="M346" s="16">
        <v>-0.13</v>
      </c>
      <c r="N346" s="17"/>
    </row>
    <row r="347" spans="1:14" x14ac:dyDescent="0.2">
      <c r="A347" s="349">
        <v>44530.036087962973</v>
      </c>
      <c r="B347" s="9" t="s">
        <v>31</v>
      </c>
      <c r="C347" s="10">
        <v>6.4036885200000002</v>
      </c>
      <c r="D347" s="10" t="s">
        <v>72</v>
      </c>
      <c r="E347" s="344">
        <f ca="1"/>
        <v>0.15616000011193548</v>
      </c>
      <c r="F347" s="11">
        <v>1</v>
      </c>
      <c r="G347" s="12"/>
      <c r="H347" s="12"/>
      <c r="I347" s="13"/>
      <c r="J347" s="14"/>
      <c r="K347" s="14"/>
      <c r="L347" s="15"/>
      <c r="M347" s="16"/>
      <c r="N347" s="17"/>
    </row>
    <row r="348" spans="1:14" x14ac:dyDescent="0.2">
      <c r="A348" s="349">
        <v>44530.035891203697</v>
      </c>
      <c r="B348" s="9" t="s">
        <v>31</v>
      </c>
      <c r="C348" s="10">
        <v>6.4040986200000001</v>
      </c>
      <c r="D348" s="10" t="s">
        <v>72</v>
      </c>
      <c r="E348" s="344">
        <f ca="1"/>
        <v>0.15615000007604504</v>
      </c>
      <c r="F348" s="11">
        <v>1</v>
      </c>
      <c r="G348" s="12"/>
      <c r="H348" s="12"/>
      <c r="I348" s="13"/>
      <c r="J348" s="14"/>
      <c r="K348" s="14"/>
      <c r="L348" s="15"/>
      <c r="M348" s="16"/>
      <c r="N348" s="17"/>
    </row>
    <row r="349" spans="1:14" x14ac:dyDescent="0.2">
      <c r="A349" s="349">
        <v>44530.03565972222</v>
      </c>
      <c r="B349" s="9" t="s">
        <v>31</v>
      </c>
      <c r="C349" s="10">
        <v>6.4040986200000001</v>
      </c>
      <c r="D349" s="10" t="s">
        <v>72</v>
      </c>
      <c r="E349" s="344">
        <f ca="1"/>
        <v>0.15615000007604504</v>
      </c>
      <c r="F349" s="11">
        <v>1</v>
      </c>
      <c r="G349" s="12"/>
      <c r="H349" s="12"/>
      <c r="I349" s="13"/>
      <c r="J349" s="14"/>
      <c r="K349" s="14"/>
      <c r="L349" s="15"/>
      <c r="M349" s="16"/>
      <c r="N349" s="17"/>
    </row>
    <row r="350" spans="1:14" x14ac:dyDescent="0.2">
      <c r="A350" s="349">
        <v>44530.035254629627</v>
      </c>
      <c r="B350" s="9" t="s">
        <v>31</v>
      </c>
      <c r="C350" s="10">
        <v>6.4038935600000002</v>
      </c>
      <c r="D350" s="10" t="s">
        <v>72</v>
      </c>
      <c r="E350" s="344">
        <f ca="1"/>
        <v>0.15615500017773562</v>
      </c>
      <c r="F350" s="11">
        <v>1</v>
      </c>
      <c r="G350" s="12"/>
      <c r="H350" s="12"/>
      <c r="I350" s="13"/>
      <c r="J350" s="14"/>
      <c r="K350" s="14"/>
      <c r="L350" s="15"/>
      <c r="M350" s="16"/>
      <c r="N350" s="17"/>
    </row>
    <row r="351" spans="1:14" x14ac:dyDescent="0.2">
      <c r="A351" s="349">
        <v>44530.03434027778</v>
      </c>
      <c r="B351" s="9" t="s">
        <v>31</v>
      </c>
      <c r="C351" s="10">
        <v>0.87336243999999996</v>
      </c>
      <c r="D351" s="10" t="s">
        <v>73</v>
      </c>
      <c r="E351" s="344">
        <f ca="1"/>
        <v>1.1450000070990001</v>
      </c>
      <c r="F351" s="11">
        <v>1</v>
      </c>
      <c r="G351" s="12"/>
      <c r="H351" s="12"/>
      <c r="I351" s="13"/>
      <c r="J351" s="14"/>
      <c r="K351" s="14"/>
      <c r="L351" s="15"/>
      <c r="M351" s="16"/>
      <c r="N351" s="17"/>
    </row>
    <row r="352" spans="1:14" x14ac:dyDescent="0.2">
      <c r="A352" s="349">
        <v>44530.033622685187</v>
      </c>
      <c r="B352" s="9" t="s">
        <v>31</v>
      </c>
      <c r="C352" s="10">
        <v>0.87336243999999996</v>
      </c>
      <c r="D352" s="10" t="s">
        <v>73</v>
      </c>
      <c r="E352" s="344">
        <f ca="1"/>
        <v>1.1450000070990001</v>
      </c>
      <c r="F352" s="11">
        <v>1</v>
      </c>
      <c r="G352" s="12"/>
      <c r="H352" s="12"/>
      <c r="I352" s="13"/>
      <c r="J352" s="14"/>
      <c r="K352" s="14"/>
      <c r="L352" s="15"/>
      <c r="M352" s="16"/>
      <c r="N352" s="17"/>
    </row>
    <row r="353" spans="1:14" x14ac:dyDescent="0.2">
      <c r="A353" s="349">
        <v>44530.032777777778</v>
      </c>
      <c r="B353" s="9" t="s">
        <v>31</v>
      </c>
      <c r="C353" s="10">
        <v>0.87336243999999996</v>
      </c>
      <c r="D353" s="10" t="s">
        <v>73</v>
      </c>
      <c r="E353" s="344">
        <f ca="1"/>
        <v>1.1450000070990001</v>
      </c>
      <c r="F353" s="11">
        <v>1</v>
      </c>
      <c r="G353" s="12"/>
      <c r="H353" s="12"/>
      <c r="I353" s="13"/>
      <c r="J353" s="14"/>
      <c r="K353" s="14"/>
      <c r="L353" s="15"/>
      <c r="M353" s="16"/>
      <c r="N353" s="17"/>
    </row>
    <row r="354" spans="1:14" x14ac:dyDescent="0.2">
      <c r="A354" s="349">
        <v>44530.032430555562</v>
      </c>
      <c r="B354" s="9" t="s">
        <v>31</v>
      </c>
      <c r="C354" s="10">
        <v>0.87336243999999996</v>
      </c>
      <c r="D354" s="10" t="s">
        <v>73</v>
      </c>
      <c r="E354" s="344">
        <f ca="1"/>
        <v>1.1450000070990001</v>
      </c>
      <c r="F354" s="11">
        <v>1</v>
      </c>
      <c r="G354" s="12"/>
      <c r="H354" s="12"/>
      <c r="I354" s="13"/>
      <c r="J354" s="14"/>
      <c r="K354" s="14"/>
      <c r="L354" s="15"/>
      <c r="M354" s="16"/>
      <c r="N354" s="17"/>
    </row>
    <row r="355" spans="1:14" x14ac:dyDescent="0.2">
      <c r="A355" s="350">
        <v>44530.032152777778</v>
      </c>
      <c r="B355" s="9" t="s">
        <v>31</v>
      </c>
      <c r="C355" s="18">
        <v>0.87336243999999996</v>
      </c>
      <c r="D355" s="18" t="s">
        <v>73</v>
      </c>
      <c r="E355" s="345">
        <f ca="1"/>
        <v>1.1450000070990001</v>
      </c>
      <c r="F355" s="19">
        <v>1</v>
      </c>
      <c r="G355" s="20"/>
      <c r="H355" s="20"/>
      <c r="I355" s="21"/>
      <c r="J355" s="22"/>
      <c r="K355" s="22"/>
      <c r="L355" s="23"/>
      <c r="M355" s="24"/>
      <c r="N355" s="25"/>
    </row>
    <row r="373" spans="4:6" x14ac:dyDescent="0.2">
      <c r="D373" s="4"/>
      <c r="F373" s="3"/>
    </row>
  </sheetData>
  <autoFilter ref="A1:N355" xr:uid="{00000000-0009-0000-0000-000001000000}"/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9CC464-F458-1C48-98FE-32C32A1DAE44}">
  <sheetPr codeName="Sheet8"/>
  <dimension ref="B1:P47"/>
  <sheetViews>
    <sheetView topLeftCell="A5" workbookViewId="0">
      <selection activeCell="E47" sqref="E47"/>
    </sheetView>
  </sheetViews>
  <sheetFormatPr baseColWidth="10" defaultRowHeight="16" x14ac:dyDescent="0.2"/>
  <cols>
    <col min="1" max="1" width="10.7109375" style="35"/>
    <col min="2" max="2" width="10.7109375" style="159"/>
    <col min="3" max="3" width="13.85546875" style="46" customWidth="1"/>
    <col min="4" max="4" width="14" style="190" customWidth="1"/>
    <col min="5" max="5" width="16.7109375" style="183" customWidth="1"/>
    <col min="6" max="6" width="16.7109375" style="189" customWidth="1"/>
    <col min="7" max="7" width="19.5703125" style="183" customWidth="1"/>
    <col min="8" max="8" width="21.42578125" style="183" customWidth="1"/>
    <col min="9" max="9" width="10.7109375" style="35"/>
    <col min="10" max="10" width="10.7109375" style="160"/>
    <col min="11" max="11" width="12.7109375" style="162" customWidth="1"/>
    <col min="12" max="12" width="12.7109375" style="55" customWidth="1"/>
    <col min="13" max="13" width="14.5703125" style="55" customWidth="1"/>
    <col min="14" max="14" width="14.42578125" style="162" customWidth="1"/>
    <col min="15" max="15" width="13.85546875" style="55" customWidth="1"/>
    <col min="16" max="16" width="14.42578125" style="55" customWidth="1"/>
    <col min="17" max="16384" width="10.7109375" style="35"/>
  </cols>
  <sheetData>
    <row r="1" spans="2:16" s="156" customFormat="1" ht="23" customHeight="1" x14ac:dyDescent="0.4">
      <c r="B1" s="157" t="s">
        <v>17</v>
      </c>
      <c r="C1" s="158" t="s">
        <v>74</v>
      </c>
      <c r="D1" s="191" t="s">
        <v>84</v>
      </c>
      <c r="E1" s="182" t="s">
        <v>82</v>
      </c>
      <c r="F1" s="192" t="s">
        <v>326</v>
      </c>
      <c r="G1" s="182" t="s">
        <v>325</v>
      </c>
      <c r="H1" s="182" t="s">
        <v>85</v>
      </c>
      <c r="J1" s="184"/>
      <c r="K1" s="169"/>
      <c r="L1" s="170"/>
      <c r="M1" s="170"/>
      <c r="N1" s="171"/>
      <c r="O1" s="172"/>
      <c r="P1" s="173"/>
    </row>
    <row r="2" spans="2:16" ht="19" customHeight="1" x14ac:dyDescent="0.2">
      <c r="B2" s="339" cm="1">
        <f t="array" ref="B2:E44">After_Sales[]</f>
        <v>45345.19027777778</v>
      </c>
      <c r="C2" s="340" t="str">
        <v>XRP</v>
      </c>
      <c r="D2" s="341">
        <v>3616.6573899999999</v>
      </c>
      <c r="E2" s="187">
        <v>1970.64</v>
      </c>
      <c r="F2" s="188" cm="1">
        <f t="array" aca="1" ref="F2:F44" ca="1">AFTER_SALES_COST_BASIS/AFTER_SALES_QUANTITY</f>
        <v>0.54487881695644946</v>
      </c>
      <c r="G2" s="187" cm="1">
        <f t="array" aca="1" ref="G2:G44" ca="1">AFTER_SALES_QUANTITY * INDEX(PRICES, MATCH(AFTER_SALES_CURRENCY, PRICES_SYMBOL, 0))</f>
        <v>1803.7302597949106</v>
      </c>
      <c r="H2" s="187" cm="1">
        <f t="array" aca="1" ref="H2:H44" ca="1">AFTER_SALES_CURRENT_VALUE-AFTER_SALES_COST_BASIS</f>
        <v>-166.90974020508952</v>
      </c>
      <c r="J2" s="185"/>
      <c r="K2" s="223" t="s">
        <v>82</v>
      </c>
      <c r="L2" s="223"/>
      <c r="M2" s="223"/>
      <c r="N2" s="214" t="s">
        <v>82</v>
      </c>
      <c r="O2" s="214"/>
      <c r="P2" s="214"/>
    </row>
    <row r="3" spans="2:16" ht="14" customHeight="1" x14ac:dyDescent="0.2">
      <c r="B3" s="339">
        <v>45327.97152777778</v>
      </c>
      <c r="C3" s="340" t="str">
        <v>HBAR</v>
      </c>
      <c r="D3" s="341">
        <v>10.87677555</v>
      </c>
      <c r="E3" s="187">
        <v>0.74</v>
      </c>
      <c r="F3" s="188">
        <f ca="1"/>
        <v>6.8034869028808814E-2</v>
      </c>
      <c r="G3" s="187">
        <f ca="1"/>
        <v>0.8977367498736164</v>
      </c>
      <c r="H3" s="187">
        <f ca="1"/>
        <v>0.15773674987361641</v>
      </c>
      <c r="J3" s="185"/>
      <c r="K3" s="219">
        <f ca="1">SUM(LONG_TERM_COST_BASIS)</f>
        <v>4878.1099999999997</v>
      </c>
      <c r="L3" s="219"/>
      <c r="M3" s="219"/>
      <c r="N3" s="215">
        <f ca="1">SUM(SHORT_TERM_COST_BASIS)</f>
        <v>7769.1400000000012</v>
      </c>
      <c r="O3" s="215"/>
      <c r="P3" s="215"/>
    </row>
    <row r="4" spans="2:16" ht="16" customHeight="1" x14ac:dyDescent="0.2">
      <c r="B4" s="339">
        <v>45320.479861111111</v>
      </c>
      <c r="C4" s="340" t="str">
        <v>HBAR</v>
      </c>
      <c r="D4" s="341">
        <v>72.684001640000005</v>
      </c>
      <c r="E4" s="187">
        <v>5.33</v>
      </c>
      <c r="F4" s="188">
        <f ca="1"/>
        <v>7.333113036895253E-2</v>
      </c>
      <c r="G4" s="187">
        <f ca="1"/>
        <v>5.999121623880729</v>
      </c>
      <c r="H4" s="187">
        <f ca="1"/>
        <v>0.66912162388072893</v>
      </c>
      <c r="J4" s="185"/>
      <c r="K4" s="219"/>
      <c r="L4" s="219"/>
      <c r="M4" s="219"/>
      <c r="N4" s="215"/>
      <c r="O4" s="215"/>
      <c r="P4" s="215"/>
    </row>
    <row r="5" spans="2:16" ht="17" customHeight="1" x14ac:dyDescent="0.2">
      <c r="B5" s="339">
        <v>45281.831250000003</v>
      </c>
      <c r="C5" s="340" t="str">
        <v>HBAR</v>
      </c>
      <c r="D5" s="341">
        <v>34.129637819999999</v>
      </c>
      <c r="E5" s="187">
        <v>2.97</v>
      </c>
      <c r="F5" s="188">
        <f ca="1"/>
        <v>8.7021140267113453E-2</v>
      </c>
      <c r="G5" s="187">
        <f ca="1"/>
        <v>2.8169589406384743</v>
      </c>
      <c r="H5" s="187">
        <f ca="1"/>
        <v>-0.1530410593615259</v>
      </c>
      <c r="J5" s="185"/>
      <c r="K5" s="167"/>
      <c r="L5" s="168"/>
      <c r="M5" s="161"/>
      <c r="N5" s="174"/>
      <c r="O5" s="175"/>
      <c r="P5" s="165"/>
    </row>
    <row r="6" spans="2:16" ht="21" customHeight="1" x14ac:dyDescent="0.25">
      <c r="B6" s="339">
        <v>45266.918749999997</v>
      </c>
      <c r="C6" s="340" t="str">
        <v>HBAR</v>
      </c>
      <c r="D6" s="341">
        <v>48.302981090000003</v>
      </c>
      <c r="E6" s="187">
        <v>3.18</v>
      </c>
      <c r="F6" s="188">
        <f ca="1"/>
        <v>6.583444599568089E-2</v>
      </c>
      <c r="G6" s="187">
        <f ca="1"/>
        <v>3.9867845993147628</v>
      </c>
      <c r="H6" s="187">
        <f ca="1"/>
        <v>0.80678459931476265</v>
      </c>
      <c r="J6" s="185"/>
      <c r="K6" s="220" t="s">
        <v>325</v>
      </c>
      <c r="L6" s="220"/>
      <c r="M6" s="220"/>
      <c r="N6" s="216" t="s">
        <v>325</v>
      </c>
      <c r="O6" s="216"/>
      <c r="P6" s="216"/>
    </row>
    <row r="7" spans="2:16" ht="16" customHeight="1" x14ac:dyDescent="0.2">
      <c r="B7" s="339">
        <v>45247.932638888888</v>
      </c>
      <c r="C7" s="340" t="str">
        <v>HBAR</v>
      </c>
      <c r="D7" s="341">
        <v>10.96719865</v>
      </c>
      <c r="E7" s="187">
        <v>0.67</v>
      </c>
      <c r="F7" s="188">
        <f ca="1"/>
        <v>6.109126144076911E-2</v>
      </c>
      <c r="G7" s="187">
        <f ca="1"/>
        <v>0.90520000399100953</v>
      </c>
      <c r="H7" s="187">
        <f ca="1"/>
        <v>0.23520000399100949</v>
      </c>
      <c r="J7" s="185"/>
      <c r="K7" s="221">
        <f ca="1">SUM(LONG_TERM_CURRENT_VALUE)</f>
        <v>5724.7256191561946</v>
      </c>
      <c r="L7" s="221"/>
      <c r="M7" s="221"/>
      <c r="N7" s="217">
        <f ca="1">SUM(SHORT_TERM_CURRENT_VALUE)</f>
        <v>7746.115451330008</v>
      </c>
      <c r="O7" s="217"/>
      <c r="P7" s="217"/>
    </row>
    <row r="8" spans="2:16" ht="16" customHeight="1" x14ac:dyDescent="0.2">
      <c r="B8" s="339">
        <v>45243.921527777777</v>
      </c>
      <c r="C8" s="340" t="str">
        <v>HBAR</v>
      </c>
      <c r="D8" s="341">
        <v>55.782606919999999</v>
      </c>
      <c r="E8" s="187">
        <v>3.47</v>
      </c>
      <c r="F8" s="188">
        <f ca="1"/>
        <v>6.2205769711990364E-2</v>
      </c>
      <c r="G8" s="187">
        <f ca="1"/>
        <v>4.6041307008342471</v>
      </c>
      <c r="H8" s="187">
        <f ca="1"/>
        <v>1.1341307008342469</v>
      </c>
      <c r="J8" s="185"/>
      <c r="K8" s="221"/>
      <c r="L8" s="221"/>
      <c r="M8" s="221"/>
      <c r="N8" s="217"/>
      <c r="O8" s="217"/>
      <c r="P8" s="217"/>
    </row>
    <row r="9" spans="2:16" ht="19" x14ac:dyDescent="0.2">
      <c r="B9" s="339">
        <v>45230.472222222219</v>
      </c>
      <c r="C9" s="340" t="str">
        <v>USDC</v>
      </c>
      <c r="D9" s="341">
        <v>0.15995400000000001</v>
      </c>
      <c r="E9" s="187">
        <v>0.16</v>
      </c>
      <c r="F9" s="188">
        <f ca="1"/>
        <v>1.0002875826800204</v>
      </c>
      <c r="G9" s="187">
        <f ca="1"/>
        <v>0.15970040892840001</v>
      </c>
      <c r="H9" s="187">
        <f ca="1"/>
        <v>-2.9959107159999165E-4</v>
      </c>
      <c r="J9" s="185"/>
      <c r="K9" s="167"/>
      <c r="L9" s="168"/>
      <c r="M9" s="163"/>
      <c r="N9" s="174"/>
      <c r="O9" s="175"/>
      <c r="P9" s="165"/>
    </row>
    <row r="10" spans="2:16" ht="17" customHeight="1" x14ac:dyDescent="0.2">
      <c r="B10" s="339">
        <v>45224.690972222219</v>
      </c>
      <c r="C10" s="340" t="str">
        <v>HBAR</v>
      </c>
      <c r="D10" s="341">
        <v>15.683454920000001</v>
      </c>
      <c r="E10" s="187">
        <v>0.81</v>
      </c>
      <c r="F10" s="188">
        <f ca="1"/>
        <v>5.1646783449931323E-2</v>
      </c>
      <c r="G10" s="187">
        <f ca="1"/>
        <v>1.2944657892356877</v>
      </c>
      <c r="H10" s="187">
        <f ca="1"/>
        <v>0.48446578923568762</v>
      </c>
      <c r="J10" s="185"/>
      <c r="K10" s="222" t="s">
        <v>85</v>
      </c>
      <c r="L10" s="222"/>
      <c r="M10" s="222"/>
      <c r="N10" s="218" t="s">
        <v>85</v>
      </c>
      <c r="O10" s="218"/>
      <c r="P10" s="218"/>
    </row>
    <row r="11" spans="2:16" ht="16" customHeight="1" x14ac:dyDescent="0.2">
      <c r="B11" s="339">
        <v>45219.758333333331</v>
      </c>
      <c r="C11" s="340" t="str">
        <v>HBAR</v>
      </c>
      <c r="D11" s="341">
        <v>297.4689965</v>
      </c>
      <c r="E11" s="187">
        <v>13.63</v>
      </c>
      <c r="F11" s="188">
        <f ca="1"/>
        <v>4.5819901100180707E-2</v>
      </c>
      <c r="G11" s="187">
        <f ca="1"/>
        <v>24.552207488190394</v>
      </c>
      <c r="H11" s="187">
        <f ca="1"/>
        <v>10.922207488190393</v>
      </c>
      <c r="J11" s="185"/>
      <c r="K11" s="221">
        <f ca="1">K7-K3</f>
        <v>846.61561915619495</v>
      </c>
      <c r="L11" s="221"/>
      <c r="M11" s="221"/>
      <c r="N11" s="217">
        <f ca="1">N7-N3</f>
        <v>-23.024548669993237</v>
      </c>
      <c r="O11" s="217"/>
      <c r="P11" s="217"/>
    </row>
    <row r="12" spans="2:16" ht="16" customHeight="1" x14ac:dyDescent="0.2">
      <c r="B12" s="339">
        <v>45146.035416666666</v>
      </c>
      <c r="C12" s="340" t="str">
        <v>HBAR</v>
      </c>
      <c r="D12" s="341">
        <v>470.261323</v>
      </c>
      <c r="E12" s="187">
        <v>26.55</v>
      </c>
      <c r="F12" s="188">
        <f ca="1"/>
        <v>5.6457970710042854E-2</v>
      </c>
      <c r="G12" s="187">
        <f ca="1"/>
        <v>38.813972924290688</v>
      </c>
      <c r="H12" s="187">
        <f ca="1"/>
        <v>12.263972924290687</v>
      </c>
      <c r="J12" s="185"/>
      <c r="K12" s="221"/>
      <c r="L12" s="221"/>
      <c r="M12" s="221"/>
      <c r="N12" s="217"/>
      <c r="O12" s="217"/>
      <c r="P12" s="217"/>
    </row>
    <row r="13" spans="2:16" x14ac:dyDescent="0.2">
      <c r="B13" s="339">
        <v>45146.032638888886</v>
      </c>
      <c r="C13" s="340" t="str">
        <v>HBAR</v>
      </c>
      <c r="D13" s="341">
        <v>43834.383661319996</v>
      </c>
      <c r="E13" s="187">
        <v>2563.87</v>
      </c>
      <c r="F13" s="188">
        <f ca="1"/>
        <v>5.8489929271262703E-2</v>
      </c>
      <c r="G13" s="187">
        <f ca="1"/>
        <v>3617.9598392858784</v>
      </c>
      <c r="H13" s="187">
        <f ca="1"/>
        <v>1054.0898392858785</v>
      </c>
      <c r="J13" s="185"/>
      <c r="K13" s="227" t="s">
        <v>321</v>
      </c>
      <c r="L13" s="227"/>
      <c r="M13" s="227"/>
      <c r="N13" s="224" t="s">
        <v>322</v>
      </c>
      <c r="O13" s="224"/>
      <c r="P13" s="224"/>
    </row>
    <row r="14" spans="2:16" x14ac:dyDescent="0.2">
      <c r="B14" s="339">
        <v>45131.440972222219</v>
      </c>
      <c r="C14" s="340" t="str">
        <v>XRP</v>
      </c>
      <c r="D14" s="341">
        <v>1418.7446259999999</v>
      </c>
      <c r="E14" s="187">
        <v>1000</v>
      </c>
      <c r="F14" s="188">
        <f ca="1"/>
        <v>0.70484848483225204</v>
      </c>
      <c r="G14" s="187">
        <f ca="1"/>
        <v>707.56843595782595</v>
      </c>
      <c r="H14" s="187">
        <f ca="1"/>
        <v>-292.43156404217405</v>
      </c>
      <c r="J14" s="185"/>
      <c r="K14" s="228"/>
      <c r="L14" s="228"/>
      <c r="M14" s="228"/>
      <c r="N14" s="225"/>
      <c r="O14" s="225"/>
      <c r="P14" s="225"/>
    </row>
    <row r="15" spans="2:16" x14ac:dyDescent="0.2">
      <c r="B15" s="339">
        <v>45124.806944444441</v>
      </c>
      <c r="C15" s="340" t="str">
        <v>XRP</v>
      </c>
      <c r="D15" s="341">
        <v>922.76831300000003</v>
      </c>
      <c r="E15" s="187">
        <v>674.82</v>
      </c>
      <c r="F15" s="188">
        <f ca="1"/>
        <v>0.73129949359238566</v>
      </c>
      <c r="G15" s="187">
        <f ca="1"/>
        <v>460.21089350075306</v>
      </c>
      <c r="H15" s="187">
        <f ca="1"/>
        <v>-214.60910649924699</v>
      </c>
      <c r="J15" s="186"/>
      <c r="K15" s="229"/>
      <c r="L15" s="229"/>
      <c r="M15" s="229"/>
      <c r="N15" s="226"/>
      <c r="O15" s="226"/>
      <c r="P15" s="226"/>
    </row>
    <row r="16" spans="2:16" ht="18" x14ac:dyDescent="0.2">
      <c r="B16" s="339">
        <v>45124.775000000001</v>
      </c>
      <c r="C16" s="340" t="str">
        <v>XRP</v>
      </c>
      <c r="D16" s="341">
        <v>941.04330900000002</v>
      </c>
      <c r="E16" s="187">
        <v>681.5</v>
      </c>
      <c r="F16" s="188">
        <f ca="1"/>
        <v>0.7241962123126896</v>
      </c>
      <c r="G16" s="187">
        <f ca="1"/>
        <v>469.32515557433885</v>
      </c>
      <c r="H16" s="187">
        <f ca="1"/>
        <v>-212.17484442566115</v>
      </c>
      <c r="J16" s="176" t="s">
        <v>323</v>
      </c>
      <c r="K16" s="177" t="s">
        <v>324</v>
      </c>
      <c r="L16" s="178" t="s">
        <v>82</v>
      </c>
      <c r="M16" s="179" t="s">
        <v>325</v>
      </c>
      <c r="N16" s="177" t="s">
        <v>324</v>
      </c>
      <c r="O16" s="178" t="s">
        <v>82</v>
      </c>
      <c r="P16" s="180" t="s">
        <v>325</v>
      </c>
    </row>
    <row r="17" spans="2:16" ht="18" x14ac:dyDescent="0.2">
      <c r="B17" s="339">
        <v>45124.756249999999</v>
      </c>
      <c r="C17" s="340" t="str">
        <v>XRP</v>
      </c>
      <c r="D17" s="341">
        <v>971.85601499999996</v>
      </c>
      <c r="E17" s="187">
        <v>725.94</v>
      </c>
      <c r="F17" s="188">
        <f ca="1"/>
        <v>0.74696250143597664</v>
      </c>
      <c r="G17" s="187">
        <f ca="1"/>
        <v>484.69233145116806</v>
      </c>
      <c r="H17" s="187">
        <f ca="1"/>
        <v>-241.247668548832</v>
      </c>
      <c r="J17" s="181" t="str" cm="1">
        <f t="array" ref="J17:J19">_xlfn._xlws.FILTER(_xlfn.UNIQUE(C:C), NOT((_xlfn.UNIQUE(C:C)=0) + (_xlfn.UNIQUE(C:C)="Currency")+ (_xlfn.UNIQUE(C:C)="USDC")))</f>
        <v>XRP</v>
      </c>
      <c r="K17" s="164" cm="1">
        <f t="array" aca="1" ref="K17:K19" ca="1">IFERROR(SUMIFS(AFTER_SALES_QUANTITY, AFTER_SALES_DATES, "&lt;" &amp; DATE(YEAR(TODAY())-1, MONTH(TODAY()), DAY(TODAY())), AFTER_SALES_CURRENCY, AFTER_SALES_UNIQUE_CURRENCY), "")</f>
        <v>4464.5084969999998</v>
      </c>
      <c r="L17" s="163" cm="1">
        <f t="array" aca="1" ref="L17:L19" ca="1">IFERROR(SUMIFS(AFTER_SALES_COST_BASIS, AFTER_SALES_DATES, "&lt;" &amp; DATE(YEAR(TODAY())-1, MONTH(TODAY()), DAY(TODAY())), AFTER_SALES_CURRENCY, AFTER_SALES_UNIQUE_CURRENCY), "")</f>
        <v>2053.83</v>
      </c>
      <c r="M17" s="163" cm="1">
        <f t="array" aca="1" ref="M17:M19" ca="1">LONG_TERM_QUANTITY * INDEX(PRICES, MATCH(AFTER_SALES_UNIQUE_CURRENCY, PRICES_SYMBOL, 0))</f>
        <v>2226.5778045264042</v>
      </c>
      <c r="N17" s="166" cm="1">
        <f t="array" aca="1" ref="N17:N19" ca="1">IFERROR(SUMIFS(AFTER_SALES_QUANTITY, AFTER_SALES_DATES, "&gt;=" &amp; DATE(YEAR(TODAY())-1, MONTH(TODAY()), DAY(TODAY())), AFTER_SALES_CURRENCY, AFTER_SALES_UNIQUE_CURRENCY), "")</f>
        <v>8030.9792400000006</v>
      </c>
      <c r="O17" s="165" cm="1">
        <f t="array" aca="1" ref="O17:O19" ca="1">IFERROR(SUMIFS(AFTER_SALES_COST_BASIS, AFTER_SALES_DATES, "&gt;=" &amp; DATE(YEAR(TODAY())-1, MONTH(TODAY()), DAY(TODAY())), AFTER_SALES_CURRENCY, AFTER_SALES_UNIQUE_CURRENCY), "")</f>
        <v>5123.9200000000019</v>
      </c>
      <c r="P17" s="165" cm="1">
        <f t="array" aca="1" ref="P17:P19" ca="1">SHORT_TERM_QUANTITY * INDEX(PRICES, MATCH(AFTER_SALES_UNIQUE_CURRENCY, PRICES_SYMBOL, 0))</f>
        <v>4005.27855113551</v>
      </c>
    </row>
    <row r="18" spans="2:16" ht="18" x14ac:dyDescent="0.2">
      <c r="B18" s="339">
        <v>45087.117361111108</v>
      </c>
      <c r="C18" s="340" t="str">
        <v>HBAR</v>
      </c>
      <c r="D18" s="341">
        <v>130.24433859999999</v>
      </c>
      <c r="E18" s="187">
        <v>6.31</v>
      </c>
      <c r="F18" s="188">
        <f ca="1"/>
        <v>4.8447403302334401E-2</v>
      </c>
      <c r="G18" s="187">
        <f ca="1"/>
        <v>10.749980882358358</v>
      </c>
      <c r="H18" s="187">
        <f ca="1"/>
        <v>4.4399808823583582</v>
      </c>
      <c r="J18" s="181" t="str">
        <v>HBAR</v>
      </c>
      <c r="K18" s="164">
        <f ca="1"/>
        <v>41754.651309150002</v>
      </c>
      <c r="L18" s="163">
        <f ca="1"/>
        <v>2804.2799999999997</v>
      </c>
      <c r="M18" s="163">
        <f ca="1"/>
        <v>3446.3049077428527</v>
      </c>
      <c r="N18" s="166">
        <f ca="1"/>
        <v>45323.134357929994</v>
      </c>
      <c r="O18" s="165">
        <f ca="1"/>
        <v>2645.22</v>
      </c>
      <c r="P18" s="165">
        <f ca="1"/>
        <v>3740.8369001944984</v>
      </c>
    </row>
    <row r="19" spans="2:16" ht="18" x14ac:dyDescent="0.2">
      <c r="B19" s="339">
        <v>45067.31527777778</v>
      </c>
      <c r="C19" s="340" t="str">
        <v>HBAR</v>
      </c>
      <c r="D19" s="341">
        <v>58.46972882</v>
      </c>
      <c r="E19" s="187">
        <v>3.1</v>
      </c>
      <c r="F19" s="188">
        <f ca="1"/>
        <v>5.3018887936754418E-2</v>
      </c>
      <c r="G19" s="187">
        <f ca="1"/>
        <v>4.8259177617082045</v>
      </c>
      <c r="H19" s="187">
        <f ca="1"/>
        <v>1.7259177617082044</v>
      </c>
      <c r="J19" s="181" t="str">
        <v>ETH</v>
      </c>
      <c r="K19" s="164">
        <f ca="1"/>
        <v>1.697156E-2</v>
      </c>
      <c r="L19" s="163">
        <f ca="1"/>
        <v>20</v>
      </c>
      <c r="M19" s="163">
        <f ca="1"/>
        <v>51.842906886937925</v>
      </c>
      <c r="N19" s="166">
        <f ca="1"/>
        <v>0</v>
      </c>
      <c r="O19" s="165">
        <f ca="1"/>
        <v>0</v>
      </c>
      <c r="P19" s="165">
        <f ca="1"/>
        <v>0</v>
      </c>
    </row>
    <row r="20" spans="2:16" x14ac:dyDescent="0.2">
      <c r="B20" s="339">
        <v>45058.338888888888</v>
      </c>
      <c r="C20" s="340" t="str">
        <v>HBAR</v>
      </c>
      <c r="D20" s="341">
        <v>283.87965309999998</v>
      </c>
      <c r="E20" s="187">
        <v>14.59</v>
      </c>
      <c r="F20" s="188">
        <f ca="1"/>
        <v>5.1395018419514903E-2</v>
      </c>
      <c r="G20" s="187">
        <f ca="1"/>
        <v>23.43058344430429</v>
      </c>
      <c r="H20" s="187">
        <f ca="1"/>
        <v>8.8405834443042899</v>
      </c>
    </row>
    <row r="21" spans="2:16" x14ac:dyDescent="0.2">
      <c r="B21" s="339">
        <v>45058.196527777778</v>
      </c>
      <c r="C21" s="340" t="str">
        <v>XRP</v>
      </c>
      <c r="D21" s="341">
        <v>46.622587000000003</v>
      </c>
      <c r="E21" s="187">
        <v>20</v>
      </c>
      <c r="F21" s="188">
        <f ca="1"/>
        <v>0.42897662457040403</v>
      </c>
      <c r="G21" s="187">
        <f ca="1"/>
        <v>23.252014745532982</v>
      </c>
      <c r="H21" s="187">
        <f ca="1"/>
        <v>3.252014745532982</v>
      </c>
    </row>
    <row r="22" spans="2:16" x14ac:dyDescent="0.2">
      <c r="B22" s="339">
        <v>45054.774305555555</v>
      </c>
      <c r="C22" s="340" t="str">
        <v>XRP</v>
      </c>
      <c r="D22" s="341">
        <v>113.28700000000001</v>
      </c>
      <c r="E22" s="187">
        <v>51.02</v>
      </c>
      <c r="F22" s="188">
        <f ca="1"/>
        <v>0.45036058859357209</v>
      </c>
      <c r="G22" s="187">
        <f ca="1"/>
        <v>56.499460110980003</v>
      </c>
      <c r="H22" s="187">
        <f ca="1"/>
        <v>5.4794601109799999</v>
      </c>
    </row>
    <row r="23" spans="2:16" x14ac:dyDescent="0.2">
      <c r="B23" s="339">
        <v>45014.8125</v>
      </c>
      <c r="C23" s="340" t="str">
        <v>HBAR</v>
      </c>
      <c r="D23" s="341">
        <v>6.4506019400000003</v>
      </c>
      <c r="E23" s="187">
        <v>0.38</v>
      </c>
      <c r="F23" s="188">
        <f ca="1"/>
        <v>5.8909231035266761E-2</v>
      </c>
      <c r="G23" s="187">
        <f ca="1"/>
        <v>0.53241352583983825</v>
      </c>
      <c r="H23" s="187">
        <f ca="1"/>
        <v>0.15241352583983825</v>
      </c>
    </row>
    <row r="24" spans="2:16" x14ac:dyDescent="0.2">
      <c r="B24" s="339">
        <v>45013.152777777781</v>
      </c>
      <c r="C24" s="340" t="str">
        <v>XRP</v>
      </c>
      <c r="D24" s="341">
        <v>2066.6995160000001</v>
      </c>
      <c r="E24" s="187">
        <v>992.3</v>
      </c>
      <c r="F24" s="188">
        <f ca="1"/>
        <v>0.48013752958173134</v>
      </c>
      <c r="G24" s="187">
        <f ca="1"/>
        <v>1030.7220322333867</v>
      </c>
      <c r="H24" s="187">
        <f ca="1"/>
        <v>38.422032233386744</v>
      </c>
    </row>
    <row r="25" spans="2:16" x14ac:dyDescent="0.2">
      <c r="B25" s="339">
        <v>45012.126388888886</v>
      </c>
      <c r="C25" s="340" t="str">
        <v>XRP</v>
      </c>
      <c r="D25" s="341">
        <v>805.48410699999999</v>
      </c>
      <c r="E25" s="187">
        <v>361.53</v>
      </c>
      <c r="F25" s="188">
        <f ca="1"/>
        <v>0.44883567144050424</v>
      </c>
      <c r="G25" s="187">
        <f ca="1"/>
        <v>401.71791267731379</v>
      </c>
      <c r="H25" s="187">
        <f ca="1"/>
        <v>40.187912677313818</v>
      </c>
    </row>
    <row r="26" spans="2:16" x14ac:dyDescent="0.2">
      <c r="B26" s="339">
        <v>45010.509027777778</v>
      </c>
      <c r="C26" s="340" t="str">
        <v>XRP</v>
      </c>
      <c r="D26" s="341">
        <v>219.93842599999999</v>
      </c>
      <c r="E26" s="187">
        <v>100</v>
      </c>
      <c r="F26" s="188">
        <f ca="1"/>
        <v>0.45467270916997471</v>
      </c>
      <c r="G26" s="187">
        <f ca="1"/>
        <v>109.68957008887804</v>
      </c>
      <c r="H26" s="187">
        <f ca="1"/>
        <v>9.6895700888780425</v>
      </c>
    </row>
    <row r="27" spans="2:16" x14ac:dyDescent="0.2">
      <c r="B27" s="339">
        <v>45006.65625</v>
      </c>
      <c r="C27" s="340" t="str">
        <v>XRP</v>
      </c>
      <c r="D27" s="341">
        <v>1372.386448</v>
      </c>
      <c r="E27" s="187">
        <v>600</v>
      </c>
      <c r="F27" s="188">
        <f ca="1"/>
        <v>0.43719464067456315</v>
      </c>
      <c r="G27" s="187">
        <f ca="1"/>
        <v>684.44828952682587</v>
      </c>
      <c r="H27" s="187">
        <f ca="1"/>
        <v>84.448289526825874</v>
      </c>
    </row>
    <row r="28" spans="2:16" x14ac:dyDescent="0.2">
      <c r="B28" s="339">
        <v>45005.71875</v>
      </c>
      <c r="C28" s="340" t="str">
        <v>HBAR</v>
      </c>
      <c r="D28" s="341">
        <v>317.43499760999998</v>
      </c>
      <c r="E28" s="187">
        <v>20</v>
      </c>
      <c r="F28" s="188">
        <f ca="1"/>
        <v>6.3005025125087058E-2</v>
      </c>
      <c r="G28" s="187">
        <f ca="1"/>
        <v>26.200141920786496</v>
      </c>
      <c r="H28" s="187">
        <f ca="1"/>
        <v>6.2001419207864963</v>
      </c>
    </row>
    <row r="29" spans="2:16" x14ac:dyDescent="0.2">
      <c r="B29" s="339">
        <v>44998.836111111108</v>
      </c>
      <c r="C29" s="340" t="str">
        <v>HBAR</v>
      </c>
      <c r="D29" s="341">
        <v>309.67942733000001</v>
      </c>
      <c r="E29" s="187">
        <v>20</v>
      </c>
      <c r="F29" s="188">
        <f ca="1"/>
        <v>6.4582914572131514E-2</v>
      </c>
      <c r="G29" s="187">
        <f ca="1"/>
        <v>25.560020183919029</v>
      </c>
      <c r="H29" s="187">
        <f ca="1"/>
        <v>5.5600201839190291</v>
      </c>
    </row>
    <row r="30" spans="2:16" x14ac:dyDescent="0.2">
      <c r="B30" s="339">
        <v>44995.768055555556</v>
      </c>
      <c r="C30" s="340" t="str">
        <v>HBAR</v>
      </c>
      <c r="D30" s="341">
        <v>10127.87723785</v>
      </c>
      <c r="E30" s="187">
        <v>600</v>
      </c>
      <c r="F30" s="188">
        <f ca="1"/>
        <v>5.9242424242433971E-2</v>
      </c>
      <c r="G30" s="187">
        <f ca="1"/>
        <v>835.9249074167426</v>
      </c>
      <c r="H30" s="187">
        <f ca="1"/>
        <v>235.9249074167426</v>
      </c>
    </row>
    <row r="31" spans="2:16" x14ac:dyDescent="0.2">
      <c r="B31" s="339">
        <v>44991.706944444442</v>
      </c>
      <c r="C31" s="340" t="str">
        <v>HBAR</v>
      </c>
      <c r="D31" s="341">
        <v>311.96112242999999</v>
      </c>
      <c r="E31" s="187">
        <v>20</v>
      </c>
      <c r="F31" s="188">
        <f ca="1"/>
        <v>6.4110552764432172E-2</v>
      </c>
      <c r="G31" s="187">
        <f ca="1"/>
        <v>25.748344520838582</v>
      </c>
      <c r="H31" s="187">
        <f ca="1"/>
        <v>5.7483445208385824</v>
      </c>
    </row>
    <row r="32" spans="2:16" x14ac:dyDescent="0.2">
      <c r="B32" s="339">
        <v>44987.095138888886</v>
      </c>
      <c r="C32" s="340" t="str">
        <v>HBAR</v>
      </c>
      <c r="D32" s="341">
        <v>12639.46303323</v>
      </c>
      <c r="E32" s="187">
        <v>872.43</v>
      </c>
      <c r="F32" s="188">
        <f ca="1"/>
        <v>6.9024293018328603E-2</v>
      </c>
      <c r="G32" s="187">
        <f ca="1"/>
        <v>1043.2237395575955</v>
      </c>
      <c r="H32" s="187">
        <f ca="1"/>
        <v>170.79373955759559</v>
      </c>
    </row>
    <row r="33" spans="2:8" x14ac:dyDescent="0.2">
      <c r="B33" s="339">
        <v>44984.694444444445</v>
      </c>
      <c r="C33" s="340" t="str">
        <v>HBAR</v>
      </c>
      <c r="D33" s="341">
        <v>274.33140336000002</v>
      </c>
      <c r="E33" s="187">
        <v>20</v>
      </c>
      <c r="F33" s="188">
        <f ca="1"/>
        <v>7.2904522614038361E-2</v>
      </c>
      <c r="G33" s="187">
        <f ca="1"/>
        <v>22.642499269066423</v>
      </c>
      <c r="H33" s="187">
        <f ca="1"/>
        <v>2.6424992690664233</v>
      </c>
    </row>
    <row r="34" spans="2:8" x14ac:dyDescent="0.2">
      <c r="B34" s="339">
        <v>44963.714583333334</v>
      </c>
      <c r="C34" s="340" t="str">
        <v>HBAR</v>
      </c>
      <c r="D34" s="341">
        <v>264.01674599</v>
      </c>
      <c r="E34" s="187">
        <v>18.510000000000002</v>
      </c>
      <c r="F34" s="188">
        <f ca="1"/>
        <v>7.0109189212948994E-2</v>
      </c>
      <c r="G34" s="187">
        <f ca="1"/>
        <v>21.791158084279008</v>
      </c>
      <c r="H34" s="187">
        <f ca="1"/>
        <v>3.2811580842790065</v>
      </c>
    </row>
    <row r="35" spans="2:8" x14ac:dyDescent="0.2">
      <c r="B35" s="339">
        <v>44956.843055555553</v>
      </c>
      <c r="C35" s="340" t="str">
        <v>HBAR</v>
      </c>
      <c r="D35" s="341">
        <v>288.44870791</v>
      </c>
      <c r="E35" s="187">
        <v>18.510000000000002</v>
      </c>
      <c r="F35" s="188">
        <f ca="1"/>
        <v>6.4170854271170377E-2</v>
      </c>
      <c r="G35" s="187">
        <f ca="1"/>
        <v>23.807699658228906</v>
      </c>
      <c r="H35" s="187">
        <f ca="1"/>
        <v>5.297699658228904</v>
      </c>
    </row>
    <row r="36" spans="2:8" x14ac:dyDescent="0.2">
      <c r="B36" s="339">
        <v>44949.780555555553</v>
      </c>
      <c r="C36" s="340" t="str">
        <v>HBAR</v>
      </c>
      <c r="D36" s="341">
        <v>265.38112391999999</v>
      </c>
      <c r="E36" s="187">
        <v>18.510000000000002</v>
      </c>
      <c r="F36" s="188">
        <f ca="1"/>
        <v>6.9748743718411194E-2</v>
      </c>
      <c r="G36" s="187">
        <f ca="1"/>
        <v>21.903769786418756</v>
      </c>
      <c r="H36" s="187">
        <f ca="1"/>
        <v>3.3937697864187548</v>
      </c>
    </row>
    <row r="37" spans="2:8" x14ac:dyDescent="0.2">
      <c r="B37" s="339">
        <v>44946.913194444445</v>
      </c>
      <c r="C37" s="340" t="str">
        <v>HBAR</v>
      </c>
      <c r="D37" s="341">
        <v>13143.4273417</v>
      </c>
      <c r="E37" s="187">
        <v>1000</v>
      </c>
      <c r="F37" s="188">
        <f ca="1"/>
        <v>7.6083655655577107E-2</v>
      </c>
      <c r="G37" s="187">
        <f ca="1"/>
        <v>1084.8194568047131</v>
      </c>
      <c r="H37" s="187">
        <f ca="1"/>
        <v>84.819456804713127</v>
      </c>
    </row>
    <row r="38" spans="2:8" x14ac:dyDescent="0.2">
      <c r="B38" s="339">
        <v>44942.80972222222</v>
      </c>
      <c r="C38" s="340" t="str">
        <v>HBAR</v>
      </c>
      <c r="D38" s="341">
        <v>372.58940273000002</v>
      </c>
      <c r="E38" s="187">
        <v>20</v>
      </c>
      <c r="F38" s="188">
        <f ca="1"/>
        <v>5.367839196031339E-2</v>
      </c>
      <c r="G38" s="187">
        <f ca="1"/>
        <v>30.752422710808091</v>
      </c>
      <c r="H38" s="187">
        <f ca="1"/>
        <v>10.752422710808091</v>
      </c>
    </row>
    <row r="39" spans="2:8" x14ac:dyDescent="0.2">
      <c r="B39" s="339">
        <v>44937.76458333333</v>
      </c>
      <c r="C39" s="340" t="str">
        <v>HBAR</v>
      </c>
      <c r="D39" s="341">
        <v>655.50684043000001</v>
      </c>
      <c r="E39" s="187">
        <v>29.23</v>
      </c>
      <c r="F39" s="188">
        <f ca="1"/>
        <v>4.4591449237700823E-2</v>
      </c>
      <c r="G39" s="187">
        <f ca="1"/>
        <v>54.103587753776125</v>
      </c>
      <c r="H39" s="187">
        <f ca="1"/>
        <v>24.873587753776125</v>
      </c>
    </row>
    <row r="40" spans="2:8" x14ac:dyDescent="0.2">
      <c r="B40" s="339">
        <v>44937.763888888891</v>
      </c>
      <c r="C40" s="340" t="str">
        <v>HBAR</v>
      </c>
      <c r="D40" s="341">
        <v>656.21331996000004</v>
      </c>
      <c r="E40" s="187">
        <v>29.24</v>
      </c>
      <c r="F40" s="188">
        <f ca="1"/>
        <v>4.4558681012117136E-2</v>
      </c>
      <c r="G40" s="187">
        <f ca="1"/>
        <v>54.161898475938123</v>
      </c>
      <c r="H40" s="187">
        <f ca="1"/>
        <v>24.921898475938125</v>
      </c>
    </row>
    <row r="41" spans="2:8" x14ac:dyDescent="0.2">
      <c r="B41" s="339">
        <v>44935.668055555558</v>
      </c>
      <c r="C41" s="340" t="str">
        <v>HBAR</v>
      </c>
      <c r="D41" s="341">
        <v>443.1084391</v>
      </c>
      <c r="E41" s="187">
        <v>20</v>
      </c>
      <c r="F41" s="188">
        <f ca="1"/>
        <v>4.5135678392002894E-2</v>
      </c>
      <c r="G41" s="187">
        <f ca="1"/>
        <v>36.572854531249874</v>
      </c>
      <c r="H41" s="187">
        <f ca="1"/>
        <v>16.572854531249874</v>
      </c>
    </row>
    <row r="42" spans="2:8" x14ac:dyDescent="0.2">
      <c r="B42" s="339">
        <v>44893.297222222223</v>
      </c>
      <c r="C42" s="340" t="str">
        <v>ETH</v>
      </c>
      <c r="D42" s="341">
        <v>1.697156E-2</v>
      </c>
      <c r="E42" s="187">
        <v>20</v>
      </c>
      <c r="F42" s="188">
        <f ca="1"/>
        <v>1178.442052468954</v>
      </c>
      <c r="G42" s="187">
        <f ca="1"/>
        <v>51.842906886937925</v>
      </c>
      <c r="H42" s="187">
        <f ca="1"/>
        <v>31.842906886937925</v>
      </c>
    </row>
    <row r="43" spans="2:8" x14ac:dyDescent="0.2">
      <c r="B43" s="339">
        <v>44867.116666666669</v>
      </c>
      <c r="C43" s="340" t="str">
        <v>HBAR</v>
      </c>
      <c r="D43" s="341">
        <v>839.14913694999996</v>
      </c>
      <c r="E43" s="187">
        <v>48.73</v>
      </c>
      <c r="F43" s="188">
        <f ca="1"/>
        <v>5.8070726470762654E-2</v>
      </c>
      <c r="G43" s="187">
        <f ca="1"/>
        <v>69.260877490916258</v>
      </c>
      <c r="H43" s="187">
        <f ca="1"/>
        <v>20.530877490916261</v>
      </c>
    </row>
    <row r="44" spans="2:8" x14ac:dyDescent="0.2">
      <c r="B44" s="339">
        <v>44867.115972222222</v>
      </c>
      <c r="C44" s="340" t="str">
        <v>HBAR</v>
      </c>
      <c r="D44" s="341">
        <v>839.61242671000002</v>
      </c>
      <c r="E44" s="187">
        <v>48.74</v>
      </c>
      <c r="F44" s="188">
        <f ca="1"/>
        <v>5.8050593880543733E-2</v>
      </c>
      <c r="G44" s="187">
        <f ca="1"/>
        <v>69.299116051736064</v>
      </c>
      <c r="H44" s="187">
        <f ca="1"/>
        <v>20.559116051736062</v>
      </c>
    </row>
    <row r="47" spans="2:8" x14ac:dyDescent="0.2">
      <c r="E47" s="183" cm="1">
        <f t="array" aca="1" ref="E47" ca="1">SUMIF(AFTER_SALES_CURRENCY, "HBAR", AFTER_SALES_COST_BASIS)</f>
        <v>5449.4999999999991</v>
      </c>
    </row>
  </sheetData>
  <mergeCells count="14">
    <mergeCell ref="K2:M2"/>
    <mergeCell ref="N13:P15"/>
    <mergeCell ref="K13:M15"/>
    <mergeCell ref="N11:P12"/>
    <mergeCell ref="K3:M4"/>
    <mergeCell ref="K6:M6"/>
    <mergeCell ref="K7:M8"/>
    <mergeCell ref="K10:M10"/>
    <mergeCell ref="K11:M12"/>
    <mergeCell ref="N2:P2"/>
    <mergeCell ref="N3:P4"/>
    <mergeCell ref="N6:P6"/>
    <mergeCell ref="N7:P8"/>
    <mergeCell ref="N10:P10"/>
  </mergeCells>
  <conditionalFormatting sqref="B1:H1048576">
    <cfRule type="containsBlanks" dxfId="12" priority="1">
      <formula>LEN(TRIM(B1))=0</formula>
    </cfRule>
    <cfRule type="expression" dxfId="11" priority="3">
      <formula>DATEDIF($B1, TODAY(), "Y") &gt;= 1</formula>
    </cfRule>
    <cfRule type="expression" dxfId="10" priority="4">
      <formula>DATEDIF($B1, TODAY(), "Y") &lt; 1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02"/>
  <sheetViews>
    <sheetView zoomScale="88" workbookViewId="0">
      <selection activeCell="A7" sqref="A7"/>
    </sheetView>
  </sheetViews>
  <sheetFormatPr baseColWidth="10" defaultRowHeight="16" x14ac:dyDescent="0.2"/>
  <cols>
    <col min="1" max="1" width="12.140625" style="58" customWidth="1"/>
    <col min="2" max="2" width="10.7109375" style="35" customWidth="1"/>
    <col min="3" max="3" width="19.85546875" style="35" customWidth="1"/>
    <col min="4" max="4" width="20.5703125" style="35" customWidth="1"/>
    <col min="5" max="5" width="28.140625" style="35" customWidth="1"/>
    <col min="6" max="6" width="15.85546875" style="35" customWidth="1"/>
    <col min="7" max="7" width="16" style="35" customWidth="1"/>
    <col min="8" max="8" width="23.28515625" style="35" customWidth="1"/>
    <col min="9" max="9" width="13.28515625" style="35" customWidth="1"/>
    <col min="10" max="10" width="15.140625" style="35" customWidth="1"/>
    <col min="11" max="11" width="22" style="35" customWidth="1"/>
    <col min="12" max="12" width="23.28515625" style="35" customWidth="1"/>
    <col min="13" max="13" width="27.5703125" style="35" customWidth="1"/>
    <col min="14" max="34" width="10.7109375" style="35" customWidth="1"/>
    <col min="35" max="16384" width="10.7109375" style="35"/>
  </cols>
  <sheetData>
    <row r="1" spans="1:13" x14ac:dyDescent="0.2">
      <c r="A1" s="230" t="s">
        <v>33</v>
      </c>
      <c r="B1" s="231"/>
      <c r="C1" s="231"/>
    </row>
    <row r="2" spans="1:13" x14ac:dyDescent="0.2">
      <c r="A2" s="232"/>
      <c r="B2" s="231"/>
      <c r="C2" s="231"/>
    </row>
    <row r="3" spans="1:13" x14ac:dyDescent="0.2">
      <c r="A3" s="232"/>
      <c r="B3" s="231"/>
      <c r="C3" s="231"/>
    </row>
    <row r="4" spans="1:13" x14ac:dyDescent="0.2">
      <c r="A4" s="232"/>
      <c r="B4" s="231"/>
      <c r="C4" s="231"/>
    </row>
    <row r="6" spans="1:13" s="54" customFormat="1" ht="19" customHeight="1" x14ac:dyDescent="0.2">
      <c r="A6" s="59" t="s">
        <v>17</v>
      </c>
      <c r="B6" s="60" t="s">
        <v>18</v>
      </c>
      <c r="C6" s="61" t="s">
        <v>19</v>
      </c>
      <c r="D6" s="61" t="s">
        <v>20</v>
      </c>
      <c r="E6" s="62" t="s">
        <v>21</v>
      </c>
      <c r="F6" s="63" t="s">
        <v>22</v>
      </c>
      <c r="G6" s="63" t="s">
        <v>23</v>
      </c>
      <c r="H6" s="64" t="s">
        <v>24</v>
      </c>
      <c r="I6" s="65" t="s">
        <v>25</v>
      </c>
      <c r="J6" s="65" t="s">
        <v>26</v>
      </c>
      <c r="K6" s="66" t="s">
        <v>27</v>
      </c>
      <c r="L6" s="67" t="s">
        <v>28</v>
      </c>
      <c r="M6" s="68" t="s">
        <v>29</v>
      </c>
    </row>
    <row r="7" spans="1:13" s="54" customFormat="1" x14ac:dyDescent="0.2">
      <c r="A7" s="69" cm="1">
        <f t="array" aca="1" ref="A7:M30" ca="1">_xlfn._xlws.FILTER(TRANSACTIONS, (RECEIVED_CURRENCY=A1) + (SENT_CURRENCY=A1))</f>
        <v>45268.5000462963</v>
      </c>
      <c r="B7" s="54" t="str">
        <f ca="1"/>
        <v>TRANSFER</v>
      </c>
      <c r="C7" s="54">
        <f ca="1"/>
        <v>2.5099999999999998E-4</v>
      </c>
      <c r="D7" s="54" t="str">
        <f ca="1"/>
        <v>ATOM</v>
      </c>
      <c r="E7" s="54" t="str">
        <f ca="1"/>
        <v/>
      </c>
      <c r="F7" s="54">
        <f ca="1"/>
        <v>0</v>
      </c>
      <c r="G7" s="54">
        <f ca="1"/>
        <v>2.5099999999999998E-4</v>
      </c>
      <c r="H7" s="54" t="str">
        <f ca="1"/>
        <v>ATOM</v>
      </c>
      <c r="I7" s="54">
        <f ca="1"/>
        <v>0</v>
      </c>
      <c r="J7" s="54">
        <f ca="1"/>
        <v>0</v>
      </c>
      <c r="K7" s="54">
        <f ca="1"/>
        <v>0</v>
      </c>
      <c r="L7" s="54">
        <f ca="1"/>
        <v>0</v>
      </c>
      <c r="M7" s="54">
        <f ca="1"/>
        <v>0</v>
      </c>
    </row>
    <row r="8" spans="1:13" s="54" customFormat="1" x14ac:dyDescent="0.2">
      <c r="A8" s="69">
        <f ca="1"/>
        <v>45254.750219907408</v>
      </c>
      <c r="B8" s="54" t="str">
        <f ca="1"/>
        <v>TRANSFER</v>
      </c>
      <c r="C8" s="54">
        <f ca="1"/>
        <v>3.4547000000000001E-2</v>
      </c>
      <c r="D8" s="54" t="str">
        <f ca="1"/>
        <v>ATOM</v>
      </c>
      <c r="E8" s="54" t="str">
        <f ca="1"/>
        <v/>
      </c>
      <c r="F8" s="54">
        <f ca="1"/>
        <v>0</v>
      </c>
      <c r="G8" s="54">
        <f ca="1"/>
        <v>3.4547000000000001E-2</v>
      </c>
      <c r="H8" s="54" t="str">
        <f ca="1"/>
        <v>ATOM</v>
      </c>
      <c r="I8" s="54">
        <f ca="1"/>
        <v>0</v>
      </c>
      <c r="J8" s="54">
        <f ca="1"/>
        <v>0</v>
      </c>
      <c r="K8" s="54">
        <f ca="1"/>
        <v>0</v>
      </c>
      <c r="L8" s="54">
        <f ca="1"/>
        <v>0</v>
      </c>
      <c r="M8" s="54">
        <f ca="1"/>
        <v>0</v>
      </c>
    </row>
    <row r="9" spans="1:13" s="54" customFormat="1" x14ac:dyDescent="0.2">
      <c r="A9" s="69">
        <f ca="1"/>
        <v>45124.775393518517</v>
      </c>
      <c r="B9" s="54" t="str">
        <f ca="1"/>
        <v>TRADE</v>
      </c>
      <c r="C9" s="54">
        <f ca="1"/>
        <v>941.04330900000002</v>
      </c>
      <c r="D9" s="54" t="str">
        <f ca="1"/>
        <v>XRP</v>
      </c>
      <c r="E9" s="54">
        <f ca="1"/>
        <v>0.7241962123126896</v>
      </c>
      <c r="F9" s="54">
        <f ca="1"/>
        <v>681.5</v>
      </c>
      <c r="G9" s="54">
        <f ca="1"/>
        <v>75.606707</v>
      </c>
      <c r="H9" s="54" t="str">
        <f ca="1"/>
        <v>ATOM</v>
      </c>
      <c r="I9" s="54">
        <f ca="1"/>
        <v>746.63</v>
      </c>
      <c r="J9" s="54">
        <f ca="1"/>
        <v>0</v>
      </c>
      <c r="K9" s="54">
        <f ca="1"/>
        <v>0</v>
      </c>
      <c r="L9" s="54">
        <f ca="1"/>
        <v>0</v>
      </c>
      <c r="M9" s="54">
        <f ca="1"/>
        <v>-65.13</v>
      </c>
    </row>
    <row r="10" spans="1:13" s="54" customFormat="1" x14ac:dyDescent="0.2">
      <c r="A10" s="69">
        <f ca="1"/>
        <v>45124.773773148147</v>
      </c>
      <c r="B10" s="54" t="str">
        <f ca="1"/>
        <v>TRANSFER</v>
      </c>
      <c r="C10" s="54">
        <f ca="1"/>
        <v>74.602784999999997</v>
      </c>
      <c r="D10" s="54" t="str">
        <f ca="1"/>
        <v>ATOM</v>
      </c>
      <c r="E10" s="54" t="str">
        <f ca="1"/>
        <v/>
      </c>
      <c r="F10" s="54">
        <f ca="1"/>
        <v>0</v>
      </c>
      <c r="G10" s="54">
        <f ca="1"/>
        <v>74.604799999999997</v>
      </c>
      <c r="H10" s="54" t="str">
        <f ca="1"/>
        <v>ATOM</v>
      </c>
      <c r="I10" s="54">
        <f ca="1"/>
        <v>0</v>
      </c>
      <c r="J10" s="54">
        <f ca="1"/>
        <v>2.065E-3</v>
      </c>
      <c r="K10" s="54" t="str">
        <f ca="1"/>
        <v>ATOM</v>
      </c>
      <c r="L10" s="54">
        <f ca="1"/>
        <v>0</v>
      </c>
      <c r="M10" s="54">
        <f ca="1"/>
        <v>0</v>
      </c>
    </row>
    <row r="11" spans="1:13" s="54" customFormat="1" x14ac:dyDescent="0.2">
      <c r="A11" s="69">
        <f ca="1"/>
        <v>45124.772534722222</v>
      </c>
      <c r="B11" s="54" t="str">
        <f ca="1"/>
        <v>TRANSFER</v>
      </c>
      <c r="C11" s="54">
        <f ca="1"/>
        <v>1</v>
      </c>
      <c r="D11" s="54" t="str">
        <f ca="1"/>
        <v>ATOM</v>
      </c>
      <c r="E11" s="54" t="str">
        <f ca="1"/>
        <v/>
      </c>
      <c r="F11" s="54">
        <f ca="1"/>
        <v>0</v>
      </c>
      <c r="G11" s="54">
        <f ca="1"/>
        <v>1.0025999999999999</v>
      </c>
      <c r="H11" s="54" t="str">
        <f ca="1"/>
        <v>ATOM</v>
      </c>
      <c r="I11" s="54">
        <f ca="1"/>
        <v>0</v>
      </c>
      <c r="J11" s="54">
        <f ca="1"/>
        <v>2.6050000000000001E-3</v>
      </c>
      <c r="K11" s="54" t="str">
        <f ca="1"/>
        <v>ATOM</v>
      </c>
      <c r="L11" s="54">
        <f ca="1"/>
        <v>0</v>
      </c>
      <c r="M11" s="54">
        <f ca="1"/>
        <v>0</v>
      </c>
    </row>
    <row r="12" spans="1:13" s="54" customFormat="1" x14ac:dyDescent="0.2">
      <c r="A12" s="69">
        <f ca="1"/>
        <v>45120.656944444447</v>
      </c>
      <c r="B12" s="54" t="str">
        <f ca="1"/>
        <v>TRANSFER</v>
      </c>
      <c r="C12" s="54">
        <f ca="1"/>
        <v>41.127263999999997</v>
      </c>
      <c r="D12" s="54" t="str">
        <f ca="1"/>
        <v>ATOM</v>
      </c>
      <c r="E12" s="54" t="str">
        <f ca="1"/>
        <v/>
      </c>
      <c r="F12" s="54">
        <f ca="1"/>
        <v>0</v>
      </c>
      <c r="G12" s="54">
        <f ca="1"/>
        <v>41.127263999999997</v>
      </c>
      <c r="H12" s="54" t="str">
        <f ca="1"/>
        <v>ATOM</v>
      </c>
      <c r="I12" s="54">
        <f ca="1"/>
        <v>0</v>
      </c>
      <c r="J12" s="54">
        <f ca="1"/>
        <v>0</v>
      </c>
      <c r="K12" s="54">
        <f ca="1"/>
        <v>0</v>
      </c>
      <c r="L12" s="54">
        <f ca="1"/>
        <v>0</v>
      </c>
      <c r="M12" s="54">
        <f ca="1"/>
        <v>0</v>
      </c>
    </row>
    <row r="13" spans="1:13" s="54" customFormat="1" x14ac:dyDescent="0.2">
      <c r="A13" s="69">
        <f ca="1"/>
        <v>45120.615624999999</v>
      </c>
      <c r="B13" s="54" t="str">
        <f ca="1"/>
        <v>TRADE</v>
      </c>
      <c r="C13" s="54">
        <f ca="1"/>
        <v>41.127263999999997</v>
      </c>
      <c r="D13" s="54" t="str">
        <f ca="1"/>
        <v>ATOM</v>
      </c>
      <c r="E13" s="54">
        <f ca="1"/>
        <v>9.0715978578103318</v>
      </c>
      <c r="F13" s="54">
        <f ca="1"/>
        <v>373.09</v>
      </c>
      <c r="G13" s="54">
        <f ca="1"/>
        <v>10480.330599770001</v>
      </c>
      <c r="H13" s="54" t="str">
        <f ca="1"/>
        <v>CSPR</v>
      </c>
      <c r="I13" s="54">
        <f ca="1"/>
        <v>496.16</v>
      </c>
      <c r="J13" s="54">
        <f ca="1"/>
        <v>28.193308819999999</v>
      </c>
      <c r="K13" s="54" t="str">
        <f ca="1"/>
        <v>CSPR</v>
      </c>
      <c r="L13" s="54">
        <f ca="1"/>
        <v>1.33</v>
      </c>
      <c r="M13" s="54">
        <f ca="1"/>
        <v>-124.07</v>
      </c>
    </row>
    <row r="14" spans="1:13" s="54" customFormat="1" x14ac:dyDescent="0.2">
      <c r="A14" s="69">
        <f ca="1"/>
        <v>45116.610625000001</v>
      </c>
      <c r="B14" s="54" t="str">
        <f ca="1"/>
        <v>TRANSFER</v>
      </c>
      <c r="C14" s="54">
        <f ca="1"/>
        <v>0.16642000000000001</v>
      </c>
      <c r="D14" s="54" t="str">
        <f ca="1"/>
        <v>ATOM</v>
      </c>
      <c r="E14" s="54" t="str">
        <f ca="1"/>
        <v/>
      </c>
      <c r="F14" s="54">
        <f ca="1"/>
        <v>0</v>
      </c>
      <c r="G14" s="54">
        <f ca="1"/>
        <v>0.16642000000000001</v>
      </c>
      <c r="H14" s="54" t="str">
        <f ca="1"/>
        <v>ATOM</v>
      </c>
      <c r="I14" s="54">
        <f ca="1"/>
        <v>0</v>
      </c>
      <c r="J14" s="54">
        <f ca="1"/>
        <v>5.0000000000000001E-3</v>
      </c>
      <c r="K14" s="54" t="str">
        <f ca="1"/>
        <v>ATOM</v>
      </c>
      <c r="L14" s="54">
        <f ca="1"/>
        <v>0.05</v>
      </c>
      <c r="M14" s="54">
        <f ca="1"/>
        <v>0</v>
      </c>
    </row>
    <row r="15" spans="1:13" s="54" customFormat="1" x14ac:dyDescent="0.2">
      <c r="A15" s="69">
        <f ca="1"/>
        <v>45116.609988425917</v>
      </c>
      <c r="B15" s="54" t="str">
        <f ca="1"/>
        <v>TRANSFER</v>
      </c>
      <c r="C15" s="54">
        <f ca="1"/>
        <v>34.313771000000003</v>
      </c>
      <c r="D15" s="54" t="str">
        <f ca="1"/>
        <v>ATOM</v>
      </c>
      <c r="E15" s="54" t="str">
        <f ca="1"/>
        <v/>
      </c>
      <c r="F15" s="54">
        <f ca="1"/>
        <v>0</v>
      </c>
      <c r="G15" s="54">
        <f ca="1"/>
        <v>34.313771000000003</v>
      </c>
      <c r="H15" s="54" t="str">
        <f ca="1"/>
        <v>ATOM</v>
      </c>
      <c r="I15" s="54">
        <f ca="1"/>
        <v>0</v>
      </c>
      <c r="J15" s="54">
        <f ca="1"/>
        <v>5.0000000000000001E-3</v>
      </c>
      <c r="K15" s="54" t="str">
        <f ca="1"/>
        <v>ATOM</v>
      </c>
      <c r="L15" s="54">
        <f ca="1"/>
        <v>0.05</v>
      </c>
      <c r="M15" s="54">
        <f ca="1"/>
        <v>0</v>
      </c>
    </row>
    <row r="16" spans="1:13" s="54" customFormat="1" x14ac:dyDescent="0.2">
      <c r="A16" s="69">
        <f ca="1"/>
        <v>45096.837106481478</v>
      </c>
      <c r="B16" s="54" t="str">
        <f ca="1"/>
        <v>SELL</v>
      </c>
      <c r="C16" s="54">
        <f ca="1"/>
        <v>0</v>
      </c>
      <c r="D16" s="54" t="str">
        <f ca="1"/>
        <v>USD</v>
      </c>
      <c r="E16" s="54" t="str">
        <f ca="1"/>
        <v/>
      </c>
      <c r="F16" s="54">
        <f ca="1"/>
        <v>0</v>
      </c>
      <c r="G16" s="54">
        <f ca="1"/>
        <v>11.674170999999999</v>
      </c>
      <c r="H16" s="54" t="str">
        <f ca="1"/>
        <v>ATOM</v>
      </c>
      <c r="I16" s="54">
        <f ca="1"/>
        <v>126.43</v>
      </c>
      <c r="J16" s="54">
        <f ca="1"/>
        <v>5.0000000000000001E-3</v>
      </c>
      <c r="K16" s="54" t="str">
        <f ca="1"/>
        <v>ATOM</v>
      </c>
      <c r="L16" s="54">
        <f ca="1"/>
        <v>0.05</v>
      </c>
      <c r="M16" s="54">
        <f ca="1"/>
        <v>-26.54</v>
      </c>
    </row>
    <row r="17" spans="1:13" s="54" customFormat="1" x14ac:dyDescent="0.2">
      <c r="A17" s="69">
        <f ca="1"/>
        <v>45080.62127314815</v>
      </c>
      <c r="B17" s="54" t="str">
        <f ca="1"/>
        <v>BUY</v>
      </c>
      <c r="C17" s="54">
        <f ca="1"/>
        <v>46.169621999999997</v>
      </c>
      <c r="D17" s="54" t="str">
        <f ca="1"/>
        <v>ATOM</v>
      </c>
      <c r="E17" s="54">
        <f ca="1"/>
        <v>10.829631656936677</v>
      </c>
      <c r="F17" s="54">
        <f ca="1"/>
        <v>500</v>
      </c>
      <c r="G17" s="54">
        <f ca="1"/>
        <v>500</v>
      </c>
      <c r="H17" s="54" t="str">
        <f ca="1"/>
        <v>USD</v>
      </c>
      <c r="I17" s="54">
        <f ca="1"/>
        <v>0</v>
      </c>
      <c r="J17" s="54">
        <f ca="1"/>
        <v>0</v>
      </c>
      <c r="K17" s="54">
        <f ca="1"/>
        <v>0</v>
      </c>
      <c r="L17" s="54">
        <f ca="1"/>
        <v>0</v>
      </c>
      <c r="M17" s="54">
        <f ca="1"/>
        <v>0</v>
      </c>
    </row>
    <row r="18" spans="1:13" s="54" customFormat="1" x14ac:dyDescent="0.2">
      <c r="A18" s="69">
        <f ca="1"/>
        <v>45009.832152777781</v>
      </c>
      <c r="B18" s="54" t="str">
        <f ca="1"/>
        <v>TRANSFER</v>
      </c>
      <c r="C18" s="54">
        <f ca="1"/>
        <v>4.1019999999999997E-3</v>
      </c>
      <c r="D18" s="54" t="str">
        <f ca="1"/>
        <v>ATOM</v>
      </c>
      <c r="E18" s="54" t="str">
        <f ca="1"/>
        <v/>
      </c>
      <c r="F18" s="54">
        <f ca="1"/>
        <v>0</v>
      </c>
      <c r="G18" s="54">
        <f ca="1"/>
        <v>4.1019999999999997E-3</v>
      </c>
      <c r="H18" s="54" t="str">
        <f ca="1"/>
        <v>ATOM</v>
      </c>
      <c r="I18" s="54">
        <f ca="1"/>
        <v>0</v>
      </c>
      <c r="J18" s="54">
        <f ca="1"/>
        <v>0</v>
      </c>
      <c r="K18" s="54">
        <f ca="1"/>
        <v>0</v>
      </c>
      <c r="L18" s="54">
        <f ca="1"/>
        <v>0</v>
      </c>
      <c r="M18" s="54">
        <f ca="1"/>
        <v>0</v>
      </c>
    </row>
    <row r="19" spans="1:13" s="54" customFormat="1" x14ac:dyDescent="0.2">
      <c r="A19" s="69">
        <f ca="1"/>
        <v>44988.631215277783</v>
      </c>
      <c r="B19" s="54" t="str">
        <f ca="1"/>
        <v>TRADE</v>
      </c>
      <c r="C19" s="54">
        <f ca="1"/>
        <v>26.008521089999999</v>
      </c>
      <c r="D19" s="54" t="str">
        <f ca="1"/>
        <v>LINK</v>
      </c>
      <c r="E19" s="54">
        <f ca="1"/>
        <v>6.9111965027920013</v>
      </c>
      <c r="F19" s="54">
        <f ca="1"/>
        <v>179.75</v>
      </c>
      <c r="G19" s="54">
        <f ca="1"/>
        <v>15.414179000000001</v>
      </c>
      <c r="H19" s="54" t="str">
        <f ca="1"/>
        <v>ATOM</v>
      </c>
      <c r="I19" s="54">
        <f ca="1"/>
        <v>200.34</v>
      </c>
      <c r="J19" s="54">
        <f ca="1"/>
        <v>0</v>
      </c>
      <c r="K19" s="54">
        <f ca="1"/>
        <v>0</v>
      </c>
      <c r="L19" s="54">
        <f ca="1"/>
        <v>0</v>
      </c>
      <c r="M19" s="54">
        <f ca="1"/>
        <v>-20.59</v>
      </c>
    </row>
    <row r="20" spans="1:13" s="54" customFormat="1" x14ac:dyDescent="0.2">
      <c r="A20" s="69">
        <f ca="1"/>
        <v>44987.098090277781</v>
      </c>
      <c r="B20" s="54" t="str">
        <f ca="1"/>
        <v>TRADE</v>
      </c>
      <c r="C20" s="54">
        <f ca="1"/>
        <v>15.381562000000001</v>
      </c>
      <c r="D20" s="54" t="str">
        <f ca="1"/>
        <v>ATOM</v>
      </c>
      <c r="E20" s="54">
        <f ca="1"/>
        <v>12.999329977020539</v>
      </c>
      <c r="F20" s="54">
        <f ca="1"/>
        <v>199.95</v>
      </c>
      <c r="G20" s="54">
        <f ca="1"/>
        <v>2900.6526468500001</v>
      </c>
      <c r="H20" s="54" t="str">
        <f ca="1"/>
        <v>HBAR</v>
      </c>
      <c r="I20" s="54">
        <f ca="1"/>
        <v>226.11</v>
      </c>
      <c r="J20" s="54">
        <f ca="1"/>
        <v>0</v>
      </c>
      <c r="K20" s="54">
        <f ca="1"/>
        <v>0</v>
      </c>
      <c r="L20" s="54">
        <f ca="1"/>
        <v>0</v>
      </c>
      <c r="M20" s="54">
        <f ca="1"/>
        <v>-26.16</v>
      </c>
    </row>
    <row r="21" spans="1:13" s="54" customFormat="1" x14ac:dyDescent="0.2">
      <c r="A21" s="69">
        <f ca="1"/>
        <v>44982.996921296297</v>
      </c>
      <c r="B21" s="54" t="str">
        <f ca="1"/>
        <v>TRADE</v>
      </c>
      <c r="C21" s="54">
        <f ca="1"/>
        <v>838.19814699999995</v>
      </c>
      <c r="D21" s="54" t="str">
        <f ca="1"/>
        <v>ALGO</v>
      </c>
      <c r="E21" s="54">
        <f ca="1"/>
        <v>0.25048969715749086</v>
      </c>
      <c r="F21" s="54">
        <f ca="1"/>
        <v>209.96</v>
      </c>
      <c r="G21" s="54">
        <f ca="1"/>
        <v>16.782613999999999</v>
      </c>
      <c r="H21" s="54" t="str">
        <f ca="1"/>
        <v>ATOM</v>
      </c>
      <c r="I21" s="54">
        <f ca="1"/>
        <v>225.21</v>
      </c>
      <c r="J21" s="54">
        <f ca="1"/>
        <v>0</v>
      </c>
      <c r="K21" s="54">
        <f ca="1"/>
        <v>0</v>
      </c>
      <c r="L21" s="54">
        <f ca="1"/>
        <v>0</v>
      </c>
      <c r="M21" s="54">
        <f ca="1"/>
        <v>-15.25</v>
      </c>
    </row>
    <row r="22" spans="1:13" s="54" customFormat="1" x14ac:dyDescent="0.2">
      <c r="A22" s="69">
        <f ca="1"/>
        <v>44982.6640625</v>
      </c>
      <c r="B22" s="54" t="str">
        <f ca="1"/>
        <v>BUY</v>
      </c>
      <c r="C22" s="54">
        <f ca="1"/>
        <v>1.5312399999999999</v>
      </c>
      <c r="D22" s="54" t="str">
        <f ca="1"/>
        <v>ATOM</v>
      </c>
      <c r="E22" s="54">
        <f ca="1"/>
        <v>13.061309788145556</v>
      </c>
      <c r="F22" s="54">
        <f ca="1"/>
        <v>20</v>
      </c>
      <c r="G22" s="54">
        <f ca="1"/>
        <v>20</v>
      </c>
      <c r="H22" s="54" t="str">
        <f ca="1"/>
        <v>USD</v>
      </c>
      <c r="I22" s="54">
        <f ca="1"/>
        <v>0</v>
      </c>
      <c r="J22" s="54">
        <f ca="1"/>
        <v>0</v>
      </c>
      <c r="K22" s="54">
        <f ca="1"/>
        <v>0</v>
      </c>
      <c r="L22" s="54">
        <f ca="1"/>
        <v>0</v>
      </c>
      <c r="M22" s="54">
        <f ca="1"/>
        <v>0</v>
      </c>
    </row>
    <row r="23" spans="1:13" s="54" customFormat="1" x14ac:dyDescent="0.2">
      <c r="A23" s="69">
        <f ca="1"/>
        <v>44968.093576388892</v>
      </c>
      <c r="B23" s="54" t="str">
        <f ca="1"/>
        <v>TRADE</v>
      </c>
      <c r="C23" s="54">
        <f ca="1"/>
        <v>5.7539899999999999</v>
      </c>
      <c r="D23" s="54" t="str">
        <f ca="1"/>
        <v>ATOM</v>
      </c>
      <c r="E23" s="54">
        <f ca="1"/>
        <v>13.995505727330078</v>
      </c>
      <c r="F23" s="54">
        <f ca="1"/>
        <v>80.53</v>
      </c>
      <c r="G23" s="54">
        <f ca="1"/>
        <v>4.5437105100000004</v>
      </c>
      <c r="H23" s="54" t="str">
        <f ca="1"/>
        <v>AVAX</v>
      </c>
      <c r="I23" s="54">
        <f ca="1"/>
        <v>60</v>
      </c>
      <c r="J23" s="54">
        <f ca="1"/>
        <v>0</v>
      </c>
      <c r="K23" s="54">
        <f ca="1"/>
        <v>0</v>
      </c>
      <c r="L23" s="54">
        <f ca="1"/>
        <v>0</v>
      </c>
      <c r="M23" s="54">
        <f ca="1"/>
        <v>20.53</v>
      </c>
    </row>
    <row r="24" spans="1:13" s="54" customFormat="1" x14ac:dyDescent="0.2">
      <c r="A24" s="69">
        <f ca="1"/>
        <v>44937.765011574083</v>
      </c>
      <c r="B24" s="54" t="str">
        <f ca="1"/>
        <v>TRADE</v>
      </c>
      <c r="C24" s="54">
        <f ca="1"/>
        <v>655.50684043000001</v>
      </c>
      <c r="D24" s="54" t="str">
        <f ca="1"/>
        <v>HBAR</v>
      </c>
      <c r="E24" s="54">
        <f ca="1"/>
        <v>4.4591449237700823E-2</v>
      </c>
      <c r="F24" s="54">
        <f ca="1"/>
        <v>29.23</v>
      </c>
      <c r="G24" s="54">
        <f ca="1"/>
        <v>2.6812049999999998</v>
      </c>
      <c r="H24" s="54" t="str">
        <f ca="1"/>
        <v>ATOM</v>
      </c>
      <c r="I24" s="54">
        <f ca="1"/>
        <v>35.47</v>
      </c>
      <c r="J24" s="54">
        <f ca="1"/>
        <v>0</v>
      </c>
      <c r="K24" s="54">
        <f ca="1"/>
        <v>0</v>
      </c>
      <c r="L24" s="54">
        <f ca="1"/>
        <v>0</v>
      </c>
      <c r="M24" s="54">
        <f ca="1"/>
        <v>-6.24</v>
      </c>
    </row>
    <row r="25" spans="1:13" s="54" customFormat="1" x14ac:dyDescent="0.2">
      <c r="A25" s="69">
        <f ca="1"/>
        <v>44867.116469907407</v>
      </c>
      <c r="B25" s="54" t="str">
        <f ca="1"/>
        <v>TRADE</v>
      </c>
      <c r="C25" s="54">
        <f ca="1"/>
        <v>839.61242671000002</v>
      </c>
      <c r="D25" s="54" t="str">
        <f ca="1"/>
        <v>HBAR</v>
      </c>
      <c r="E25" s="54">
        <f ca="1"/>
        <v>5.8050593880543733E-2</v>
      </c>
      <c r="F25" s="54">
        <f ca="1"/>
        <v>48.74</v>
      </c>
      <c r="G25" s="54">
        <f ca="1"/>
        <v>3.5898910000000002</v>
      </c>
      <c r="H25" s="54" t="str">
        <f ca="1"/>
        <v>ATOM</v>
      </c>
      <c r="I25" s="54">
        <f ca="1"/>
        <v>47.39</v>
      </c>
      <c r="J25" s="54">
        <f ca="1"/>
        <v>0</v>
      </c>
      <c r="K25" s="54">
        <f ca="1"/>
        <v>0</v>
      </c>
      <c r="L25" s="54">
        <f ca="1"/>
        <v>0</v>
      </c>
      <c r="M25" s="54">
        <f ca="1"/>
        <v>1.35</v>
      </c>
    </row>
    <row r="26" spans="1:13" s="54" customFormat="1" x14ac:dyDescent="0.2">
      <c r="A26" s="69">
        <f ca="1"/>
        <v>44843.656585648147</v>
      </c>
      <c r="B26" s="54" t="str">
        <f ca="1"/>
        <v>TRADE</v>
      </c>
      <c r="C26" s="54">
        <f ca="1"/>
        <v>460.09175800000003</v>
      </c>
      <c r="D26" s="54" t="str">
        <f ca="1"/>
        <v>ADA</v>
      </c>
      <c r="E26" s="54">
        <f ca="1"/>
        <v>0.41341753398677489</v>
      </c>
      <c r="F26" s="54">
        <f ca="1"/>
        <v>190.21</v>
      </c>
      <c r="G26" s="54">
        <f ca="1"/>
        <v>15.158405</v>
      </c>
      <c r="H26" s="54" t="str">
        <f ca="1"/>
        <v>ATOM</v>
      </c>
      <c r="I26" s="54">
        <f ca="1"/>
        <v>200.09</v>
      </c>
      <c r="J26" s="54">
        <f ca="1"/>
        <v>0</v>
      </c>
      <c r="K26" s="54">
        <f ca="1"/>
        <v>0</v>
      </c>
      <c r="L26" s="54">
        <f ca="1"/>
        <v>0</v>
      </c>
      <c r="M26" s="54">
        <f ca="1"/>
        <v>-0.13</v>
      </c>
    </row>
    <row r="27" spans="1:13" s="54" customFormat="1" x14ac:dyDescent="0.2">
      <c r="A27" s="69">
        <f ca="1"/>
        <v>44843.656053240738</v>
      </c>
      <c r="B27" s="54" t="str">
        <f ca="1"/>
        <v>TRADE</v>
      </c>
      <c r="C27" s="54">
        <f ca="1"/>
        <v>7.3598159999999996E-2</v>
      </c>
      <c r="D27" s="54" t="str">
        <f ca="1"/>
        <v>ETH</v>
      </c>
      <c r="E27" s="54">
        <f ca="1"/>
        <v>1358.5937474523819</v>
      </c>
      <c r="F27" s="54">
        <f ca="1"/>
        <v>99.99</v>
      </c>
      <c r="G27" s="54">
        <f ca="1"/>
        <v>7.5809259999999998</v>
      </c>
      <c r="H27" s="54" t="str">
        <f ca="1"/>
        <v>ATOM</v>
      </c>
      <c r="I27" s="54">
        <f ca="1"/>
        <v>100.07</v>
      </c>
      <c r="J27" s="54">
        <f ca="1"/>
        <v>0</v>
      </c>
      <c r="K27" s="54">
        <f ca="1"/>
        <v>0</v>
      </c>
      <c r="L27" s="54">
        <f ca="1"/>
        <v>0</v>
      </c>
      <c r="M27" s="54">
        <f ca="1"/>
        <v>-0.08</v>
      </c>
    </row>
    <row r="28" spans="1:13" s="54" customFormat="1" x14ac:dyDescent="0.2">
      <c r="A28" s="69">
        <f ca="1"/>
        <v>44843.653310185182</v>
      </c>
      <c r="B28" s="54" t="str">
        <f ca="1"/>
        <v>TRADE</v>
      </c>
      <c r="C28" s="54">
        <f ca="1"/>
        <v>5.8921217700000001</v>
      </c>
      <c r="D28" s="54" t="str">
        <f ca="1"/>
        <v>SOL</v>
      </c>
      <c r="E28" s="54">
        <f ca="1"/>
        <v>33.93684105751263</v>
      </c>
      <c r="F28" s="54">
        <f ca="1"/>
        <v>199.96</v>
      </c>
      <c r="G28" s="54">
        <f ca="1"/>
        <v>15.146925</v>
      </c>
      <c r="H28" s="54" t="str">
        <f ca="1"/>
        <v>ATOM</v>
      </c>
      <c r="I28" s="54">
        <f ca="1"/>
        <v>200</v>
      </c>
      <c r="J28" s="54">
        <f ca="1"/>
        <v>0</v>
      </c>
      <c r="K28" s="54">
        <f ca="1"/>
        <v>0</v>
      </c>
      <c r="L28" s="54">
        <f ca="1"/>
        <v>0</v>
      </c>
      <c r="M28" s="54">
        <f ca="1"/>
        <v>-0.04</v>
      </c>
    </row>
    <row r="29" spans="1:13" s="54" customFormat="1" x14ac:dyDescent="0.2">
      <c r="A29" s="69">
        <f ca="1"/>
        <v>44843.645138888889</v>
      </c>
      <c r="B29" s="54" t="str">
        <f ca="1"/>
        <v>TRADE</v>
      </c>
      <c r="C29" s="54">
        <f ca="1"/>
        <v>42.219026999999997</v>
      </c>
      <c r="D29" s="54" t="str">
        <f ca="1"/>
        <v>ATOM</v>
      </c>
      <c r="E29" s="54">
        <f ca="1"/>
        <v>13.199972609506135</v>
      </c>
      <c r="F29" s="54">
        <f ca="1"/>
        <v>557.29</v>
      </c>
      <c r="G29" s="54">
        <f ca="1"/>
        <v>0.43150338999999999</v>
      </c>
      <c r="H29" s="54" t="str">
        <f ca="1"/>
        <v>ETH</v>
      </c>
      <c r="I29" s="54">
        <f ca="1"/>
        <v>644.63</v>
      </c>
      <c r="J29" s="54">
        <f ca="1"/>
        <v>0</v>
      </c>
      <c r="K29" s="54">
        <f ca="1"/>
        <v>0</v>
      </c>
      <c r="L29" s="54">
        <f ca="1"/>
        <v>0</v>
      </c>
      <c r="M29" s="54">
        <f ca="1"/>
        <v>-87.34</v>
      </c>
    </row>
    <row r="30" spans="1:13" s="54" customFormat="1" x14ac:dyDescent="0.2">
      <c r="A30" s="69">
        <f ca="1"/>
        <v>44843.644467592603</v>
      </c>
      <c r="B30" s="54" t="str">
        <f ca="1"/>
        <v>TRADE</v>
      </c>
      <c r="C30" s="54">
        <f ca="1"/>
        <v>11.074009999999999</v>
      </c>
      <c r="D30" s="54" t="str">
        <f ca="1"/>
        <v>ATOM</v>
      </c>
      <c r="E30" s="54">
        <f ca="1"/>
        <v>13.499175095561592</v>
      </c>
      <c r="F30" s="54">
        <f ca="1"/>
        <v>149.49</v>
      </c>
      <c r="G30" s="54">
        <f ca="1"/>
        <v>0.11320669</v>
      </c>
      <c r="H30" s="54" t="str">
        <f ca="1"/>
        <v>ETH</v>
      </c>
      <c r="I30" s="54">
        <f ca="1"/>
        <v>193.81</v>
      </c>
      <c r="J30" s="54">
        <f ca="1"/>
        <v>0</v>
      </c>
      <c r="K30" s="54">
        <f ca="1"/>
        <v>0</v>
      </c>
      <c r="L30" s="54">
        <f ca="1"/>
        <v>0</v>
      </c>
      <c r="M30" s="54">
        <f ca="1"/>
        <v>-47.57</v>
      </c>
    </row>
    <row r="31" spans="1:13" s="54" customFormat="1" x14ac:dyDescent="0.2">
      <c r="A31" s="69"/>
    </row>
    <row r="32" spans="1:13" s="54" customFormat="1" x14ac:dyDescent="0.2">
      <c r="A32" s="69"/>
    </row>
    <row r="33" spans="1:1" s="54" customFormat="1" x14ac:dyDescent="0.2">
      <c r="A33" s="69"/>
    </row>
    <row r="34" spans="1:1" s="54" customFormat="1" x14ac:dyDescent="0.2">
      <c r="A34" s="69"/>
    </row>
    <row r="35" spans="1:1" s="54" customFormat="1" x14ac:dyDescent="0.2">
      <c r="A35" s="69"/>
    </row>
    <row r="36" spans="1:1" s="54" customFormat="1" x14ac:dyDescent="0.2">
      <c r="A36" s="69"/>
    </row>
    <row r="37" spans="1:1" s="54" customFormat="1" x14ac:dyDescent="0.2">
      <c r="A37" s="69"/>
    </row>
    <row r="38" spans="1:1" s="54" customFormat="1" x14ac:dyDescent="0.2">
      <c r="A38" s="69"/>
    </row>
    <row r="39" spans="1:1" s="54" customFormat="1" x14ac:dyDescent="0.2">
      <c r="A39" s="69"/>
    </row>
    <row r="40" spans="1:1" s="54" customFormat="1" x14ac:dyDescent="0.2">
      <c r="A40" s="69"/>
    </row>
    <row r="41" spans="1:1" s="54" customFormat="1" x14ac:dyDescent="0.2">
      <c r="A41" s="69"/>
    </row>
    <row r="42" spans="1:1" s="54" customFormat="1" x14ac:dyDescent="0.2">
      <c r="A42" s="69"/>
    </row>
    <row r="43" spans="1:1" s="54" customFormat="1" x14ac:dyDescent="0.2">
      <c r="A43" s="69"/>
    </row>
    <row r="44" spans="1:1" s="54" customFormat="1" x14ac:dyDescent="0.2">
      <c r="A44" s="69"/>
    </row>
    <row r="45" spans="1:1" s="54" customFormat="1" x14ac:dyDescent="0.2">
      <c r="A45" s="69"/>
    </row>
    <row r="46" spans="1:1" s="54" customFormat="1" x14ac:dyDescent="0.2">
      <c r="A46" s="69"/>
    </row>
    <row r="47" spans="1:1" s="54" customFormat="1" x14ac:dyDescent="0.2">
      <c r="A47" s="69"/>
    </row>
    <row r="48" spans="1:1" s="54" customFormat="1" x14ac:dyDescent="0.2">
      <c r="A48" s="69"/>
    </row>
    <row r="49" spans="1:1" s="54" customFormat="1" x14ac:dyDescent="0.2">
      <c r="A49" s="69"/>
    </row>
    <row r="50" spans="1:1" s="54" customFormat="1" x14ac:dyDescent="0.2">
      <c r="A50" s="69"/>
    </row>
    <row r="51" spans="1:1" s="54" customFormat="1" x14ac:dyDescent="0.2">
      <c r="A51" s="69"/>
    </row>
    <row r="52" spans="1:1" s="54" customFormat="1" x14ac:dyDescent="0.2">
      <c r="A52" s="69"/>
    </row>
    <row r="53" spans="1:1" s="54" customFormat="1" x14ac:dyDescent="0.2">
      <c r="A53" s="69"/>
    </row>
    <row r="54" spans="1:1" s="54" customFormat="1" x14ac:dyDescent="0.2">
      <c r="A54" s="69"/>
    </row>
    <row r="55" spans="1:1" s="54" customFormat="1" x14ac:dyDescent="0.2">
      <c r="A55" s="69"/>
    </row>
    <row r="56" spans="1:1" s="54" customFormat="1" x14ac:dyDescent="0.2">
      <c r="A56" s="69"/>
    </row>
    <row r="57" spans="1:1" s="54" customFormat="1" x14ac:dyDescent="0.2">
      <c r="A57" s="69"/>
    </row>
    <row r="58" spans="1:1" s="54" customFormat="1" x14ac:dyDescent="0.2">
      <c r="A58" s="69"/>
    </row>
    <row r="59" spans="1:1" s="54" customFormat="1" x14ac:dyDescent="0.2">
      <c r="A59" s="69"/>
    </row>
    <row r="60" spans="1:1" s="54" customFormat="1" x14ac:dyDescent="0.2">
      <c r="A60" s="69"/>
    </row>
    <row r="61" spans="1:1" s="54" customFormat="1" x14ac:dyDescent="0.2">
      <c r="A61" s="69"/>
    </row>
    <row r="62" spans="1:1" s="54" customFormat="1" x14ac:dyDescent="0.2">
      <c r="A62" s="69"/>
    </row>
    <row r="63" spans="1:1" s="54" customFormat="1" x14ac:dyDescent="0.2">
      <c r="A63" s="69"/>
    </row>
    <row r="64" spans="1:1" s="54" customFormat="1" x14ac:dyDescent="0.2">
      <c r="A64" s="69"/>
    </row>
    <row r="65" spans="1:1" s="54" customFormat="1" x14ac:dyDescent="0.2">
      <c r="A65" s="69"/>
    </row>
    <row r="66" spans="1:1" s="54" customFormat="1" x14ac:dyDescent="0.2">
      <c r="A66" s="69"/>
    </row>
    <row r="67" spans="1:1" s="54" customFormat="1" x14ac:dyDescent="0.2">
      <c r="A67" s="69"/>
    </row>
    <row r="68" spans="1:1" s="54" customFormat="1" x14ac:dyDescent="0.2">
      <c r="A68" s="69"/>
    </row>
    <row r="69" spans="1:1" s="54" customFormat="1" x14ac:dyDescent="0.2">
      <c r="A69" s="69"/>
    </row>
    <row r="70" spans="1:1" s="54" customFormat="1" x14ac:dyDescent="0.2">
      <c r="A70" s="69"/>
    </row>
    <row r="71" spans="1:1" s="54" customFormat="1" x14ac:dyDescent="0.2">
      <c r="A71" s="69"/>
    </row>
    <row r="72" spans="1:1" s="54" customFormat="1" x14ac:dyDescent="0.2">
      <c r="A72" s="69"/>
    </row>
    <row r="73" spans="1:1" s="54" customFormat="1" x14ac:dyDescent="0.2">
      <c r="A73" s="69"/>
    </row>
    <row r="74" spans="1:1" s="54" customFormat="1" x14ac:dyDescent="0.2">
      <c r="A74" s="69"/>
    </row>
    <row r="75" spans="1:1" s="54" customFormat="1" x14ac:dyDescent="0.2">
      <c r="A75" s="69"/>
    </row>
    <row r="76" spans="1:1" s="54" customFormat="1" x14ac:dyDescent="0.2">
      <c r="A76" s="69"/>
    </row>
    <row r="77" spans="1:1" s="54" customFormat="1" x14ac:dyDescent="0.2">
      <c r="A77" s="69"/>
    </row>
    <row r="78" spans="1:1" s="54" customFormat="1" x14ac:dyDescent="0.2">
      <c r="A78" s="69"/>
    </row>
    <row r="79" spans="1:1" s="54" customFormat="1" x14ac:dyDescent="0.2">
      <c r="A79" s="69"/>
    </row>
    <row r="80" spans="1:1" s="54" customFormat="1" x14ac:dyDescent="0.2">
      <c r="A80" s="69"/>
    </row>
    <row r="81" spans="1:1" s="54" customFormat="1" x14ac:dyDescent="0.2">
      <c r="A81" s="69"/>
    </row>
    <row r="82" spans="1:1" s="54" customFormat="1" x14ac:dyDescent="0.2">
      <c r="A82" s="69"/>
    </row>
    <row r="83" spans="1:1" s="54" customFormat="1" x14ac:dyDescent="0.2">
      <c r="A83" s="69"/>
    </row>
    <row r="84" spans="1:1" s="54" customFormat="1" x14ac:dyDescent="0.2">
      <c r="A84" s="69"/>
    </row>
    <row r="85" spans="1:1" s="54" customFormat="1" x14ac:dyDescent="0.2">
      <c r="A85" s="69"/>
    </row>
    <row r="86" spans="1:1" s="54" customFormat="1" x14ac:dyDescent="0.2">
      <c r="A86" s="69"/>
    </row>
    <row r="87" spans="1:1" s="54" customFormat="1" x14ac:dyDescent="0.2">
      <c r="A87" s="69"/>
    </row>
    <row r="88" spans="1:1" s="54" customFormat="1" x14ac:dyDescent="0.2">
      <c r="A88" s="69"/>
    </row>
    <row r="89" spans="1:1" s="54" customFormat="1" x14ac:dyDescent="0.2">
      <c r="A89" s="69"/>
    </row>
    <row r="90" spans="1:1" s="54" customFormat="1" x14ac:dyDescent="0.2">
      <c r="A90" s="69"/>
    </row>
    <row r="91" spans="1:1" s="54" customFormat="1" x14ac:dyDescent="0.2">
      <c r="A91" s="69"/>
    </row>
    <row r="92" spans="1:1" s="54" customFormat="1" x14ac:dyDescent="0.2">
      <c r="A92" s="69"/>
    </row>
    <row r="93" spans="1:1" s="54" customFormat="1" x14ac:dyDescent="0.2">
      <c r="A93" s="69"/>
    </row>
    <row r="94" spans="1:1" s="54" customFormat="1" x14ac:dyDescent="0.2">
      <c r="A94" s="69"/>
    </row>
    <row r="95" spans="1:1" s="54" customFormat="1" x14ac:dyDescent="0.2">
      <c r="A95" s="69"/>
    </row>
    <row r="96" spans="1:1" s="54" customFormat="1" x14ac:dyDescent="0.2">
      <c r="A96" s="69"/>
    </row>
    <row r="97" spans="1:1" s="54" customFormat="1" x14ac:dyDescent="0.2">
      <c r="A97" s="69"/>
    </row>
    <row r="98" spans="1:1" s="54" customFormat="1" x14ac:dyDescent="0.2">
      <c r="A98" s="69"/>
    </row>
    <row r="99" spans="1:1" s="54" customFormat="1" x14ac:dyDescent="0.2">
      <c r="A99" s="69"/>
    </row>
    <row r="100" spans="1:1" s="54" customFormat="1" x14ac:dyDescent="0.2">
      <c r="A100" s="69"/>
    </row>
    <row r="101" spans="1:1" s="54" customFormat="1" x14ac:dyDescent="0.2">
      <c r="A101" s="69"/>
    </row>
    <row r="102" spans="1:1" s="54" customFormat="1" x14ac:dyDescent="0.2">
      <c r="A102" s="69"/>
    </row>
    <row r="103" spans="1:1" s="54" customFormat="1" x14ac:dyDescent="0.2">
      <c r="A103" s="69"/>
    </row>
    <row r="104" spans="1:1" s="54" customFormat="1" x14ac:dyDescent="0.2">
      <c r="A104" s="69"/>
    </row>
    <row r="105" spans="1:1" s="54" customFormat="1" x14ac:dyDescent="0.2">
      <c r="A105" s="69"/>
    </row>
    <row r="106" spans="1:1" s="54" customFormat="1" x14ac:dyDescent="0.2">
      <c r="A106" s="69"/>
    </row>
    <row r="107" spans="1:1" s="54" customFormat="1" x14ac:dyDescent="0.2">
      <c r="A107" s="69"/>
    </row>
    <row r="108" spans="1:1" s="54" customFormat="1" x14ac:dyDescent="0.2">
      <c r="A108" s="69"/>
    </row>
    <row r="109" spans="1:1" s="54" customFormat="1" x14ac:dyDescent="0.2">
      <c r="A109" s="69"/>
    </row>
    <row r="110" spans="1:1" s="54" customFormat="1" x14ac:dyDescent="0.2">
      <c r="A110" s="69"/>
    </row>
    <row r="111" spans="1:1" s="54" customFormat="1" x14ac:dyDescent="0.2">
      <c r="A111" s="69"/>
    </row>
    <row r="112" spans="1:1" s="54" customFormat="1" x14ac:dyDescent="0.2">
      <c r="A112" s="69"/>
    </row>
    <row r="113" spans="1:1" s="54" customFormat="1" x14ac:dyDescent="0.2">
      <c r="A113" s="69"/>
    </row>
    <row r="114" spans="1:1" s="54" customFormat="1" x14ac:dyDescent="0.2">
      <c r="A114" s="69"/>
    </row>
    <row r="115" spans="1:1" s="54" customFormat="1" x14ac:dyDescent="0.2">
      <c r="A115" s="69"/>
    </row>
    <row r="116" spans="1:1" s="54" customFormat="1" x14ac:dyDescent="0.2">
      <c r="A116" s="69"/>
    </row>
    <row r="117" spans="1:1" s="54" customFormat="1" x14ac:dyDescent="0.2">
      <c r="A117" s="69"/>
    </row>
    <row r="118" spans="1:1" s="54" customFormat="1" x14ac:dyDescent="0.2">
      <c r="A118" s="69"/>
    </row>
    <row r="119" spans="1:1" s="54" customFormat="1" x14ac:dyDescent="0.2">
      <c r="A119" s="69"/>
    </row>
    <row r="120" spans="1:1" s="54" customFormat="1" x14ac:dyDescent="0.2">
      <c r="A120" s="69"/>
    </row>
    <row r="121" spans="1:1" s="54" customFormat="1" x14ac:dyDescent="0.2">
      <c r="A121" s="69"/>
    </row>
    <row r="122" spans="1:1" s="54" customFormat="1" x14ac:dyDescent="0.2">
      <c r="A122" s="69"/>
    </row>
    <row r="123" spans="1:1" s="54" customFormat="1" x14ac:dyDescent="0.2">
      <c r="A123" s="69"/>
    </row>
    <row r="124" spans="1:1" s="54" customFormat="1" x14ac:dyDescent="0.2">
      <c r="A124" s="69"/>
    </row>
    <row r="125" spans="1:1" s="54" customFormat="1" x14ac:dyDescent="0.2">
      <c r="A125" s="69"/>
    </row>
    <row r="126" spans="1:1" s="54" customFormat="1" x14ac:dyDescent="0.2">
      <c r="A126" s="69"/>
    </row>
    <row r="127" spans="1:1" s="54" customFormat="1" x14ac:dyDescent="0.2">
      <c r="A127" s="69"/>
    </row>
    <row r="128" spans="1:1" s="54" customFormat="1" x14ac:dyDescent="0.2">
      <c r="A128" s="69"/>
    </row>
    <row r="129" spans="1:1" s="54" customFormat="1" x14ac:dyDescent="0.2">
      <c r="A129" s="69"/>
    </row>
    <row r="130" spans="1:1" s="54" customFormat="1" x14ac:dyDescent="0.2">
      <c r="A130" s="69"/>
    </row>
    <row r="131" spans="1:1" s="54" customFormat="1" x14ac:dyDescent="0.2">
      <c r="A131" s="69"/>
    </row>
    <row r="132" spans="1:1" s="54" customFormat="1" x14ac:dyDescent="0.2">
      <c r="A132" s="69"/>
    </row>
    <row r="133" spans="1:1" s="54" customFormat="1" x14ac:dyDescent="0.2">
      <c r="A133" s="69"/>
    </row>
    <row r="134" spans="1:1" s="54" customFormat="1" x14ac:dyDescent="0.2">
      <c r="A134" s="69"/>
    </row>
    <row r="135" spans="1:1" s="54" customFormat="1" x14ac:dyDescent="0.2">
      <c r="A135" s="69"/>
    </row>
    <row r="136" spans="1:1" s="54" customFormat="1" x14ac:dyDescent="0.2">
      <c r="A136" s="69"/>
    </row>
    <row r="137" spans="1:1" s="54" customFormat="1" x14ac:dyDescent="0.2">
      <c r="A137" s="69"/>
    </row>
    <row r="138" spans="1:1" s="54" customFormat="1" x14ac:dyDescent="0.2">
      <c r="A138" s="69"/>
    </row>
    <row r="139" spans="1:1" s="54" customFormat="1" x14ac:dyDescent="0.2">
      <c r="A139" s="69"/>
    </row>
    <row r="140" spans="1:1" s="54" customFormat="1" x14ac:dyDescent="0.2">
      <c r="A140" s="69"/>
    </row>
    <row r="141" spans="1:1" s="54" customFormat="1" x14ac:dyDescent="0.2">
      <c r="A141" s="69"/>
    </row>
    <row r="142" spans="1:1" s="54" customFormat="1" x14ac:dyDescent="0.2">
      <c r="A142" s="69"/>
    </row>
    <row r="143" spans="1:1" s="54" customFormat="1" x14ac:dyDescent="0.2">
      <c r="A143" s="69"/>
    </row>
    <row r="144" spans="1:1" s="54" customFormat="1" x14ac:dyDescent="0.2">
      <c r="A144" s="69"/>
    </row>
    <row r="145" spans="1:1" s="54" customFormat="1" x14ac:dyDescent="0.2">
      <c r="A145" s="69"/>
    </row>
    <row r="146" spans="1:1" s="54" customFormat="1" x14ac:dyDescent="0.2">
      <c r="A146" s="69"/>
    </row>
    <row r="147" spans="1:1" s="54" customFormat="1" x14ac:dyDescent="0.2">
      <c r="A147" s="69"/>
    </row>
    <row r="148" spans="1:1" s="54" customFormat="1" x14ac:dyDescent="0.2">
      <c r="A148" s="69"/>
    </row>
    <row r="149" spans="1:1" s="54" customFormat="1" x14ac:dyDescent="0.2">
      <c r="A149" s="69"/>
    </row>
    <row r="150" spans="1:1" s="54" customFormat="1" x14ac:dyDescent="0.2">
      <c r="A150" s="69"/>
    </row>
    <row r="151" spans="1:1" s="54" customFormat="1" x14ac:dyDescent="0.2">
      <c r="A151" s="69"/>
    </row>
    <row r="152" spans="1:1" s="54" customFormat="1" x14ac:dyDescent="0.2">
      <c r="A152" s="69"/>
    </row>
    <row r="153" spans="1:1" s="54" customFormat="1" x14ac:dyDescent="0.2">
      <c r="A153" s="69"/>
    </row>
    <row r="154" spans="1:1" s="54" customFormat="1" x14ac:dyDescent="0.2">
      <c r="A154" s="69"/>
    </row>
    <row r="155" spans="1:1" s="54" customFormat="1" x14ac:dyDescent="0.2">
      <c r="A155" s="69"/>
    </row>
    <row r="156" spans="1:1" s="54" customFormat="1" x14ac:dyDescent="0.2">
      <c r="A156" s="69"/>
    </row>
    <row r="157" spans="1:1" s="54" customFormat="1" x14ac:dyDescent="0.2">
      <c r="A157" s="69"/>
    </row>
    <row r="158" spans="1:1" s="54" customFormat="1" x14ac:dyDescent="0.2">
      <c r="A158" s="69"/>
    </row>
    <row r="159" spans="1:1" s="54" customFormat="1" x14ac:dyDescent="0.2">
      <c r="A159" s="69"/>
    </row>
    <row r="160" spans="1:1" s="54" customFormat="1" x14ac:dyDescent="0.2">
      <c r="A160" s="69"/>
    </row>
    <row r="161" spans="1:1" s="54" customFormat="1" x14ac:dyDescent="0.2">
      <c r="A161" s="69"/>
    </row>
    <row r="162" spans="1:1" s="54" customFormat="1" x14ac:dyDescent="0.2">
      <c r="A162" s="69"/>
    </row>
    <row r="163" spans="1:1" s="54" customFormat="1" x14ac:dyDescent="0.2">
      <c r="A163" s="69"/>
    </row>
    <row r="164" spans="1:1" s="54" customFormat="1" x14ac:dyDescent="0.2">
      <c r="A164" s="69"/>
    </row>
    <row r="165" spans="1:1" s="54" customFormat="1" x14ac:dyDescent="0.2">
      <c r="A165" s="69"/>
    </row>
    <row r="166" spans="1:1" s="54" customFormat="1" x14ac:dyDescent="0.2">
      <c r="A166" s="69"/>
    </row>
    <row r="167" spans="1:1" s="54" customFormat="1" x14ac:dyDescent="0.2">
      <c r="A167" s="69"/>
    </row>
    <row r="168" spans="1:1" s="54" customFormat="1" x14ac:dyDescent="0.2">
      <c r="A168" s="69"/>
    </row>
    <row r="169" spans="1:1" s="54" customFormat="1" x14ac:dyDescent="0.2">
      <c r="A169" s="69"/>
    </row>
    <row r="170" spans="1:1" s="54" customFormat="1" x14ac:dyDescent="0.2">
      <c r="A170" s="69"/>
    </row>
    <row r="171" spans="1:1" s="54" customFormat="1" x14ac:dyDescent="0.2">
      <c r="A171" s="69"/>
    </row>
    <row r="172" spans="1:1" s="54" customFormat="1" x14ac:dyDescent="0.2">
      <c r="A172" s="69"/>
    </row>
    <row r="173" spans="1:1" s="54" customFormat="1" x14ac:dyDescent="0.2">
      <c r="A173" s="69"/>
    </row>
    <row r="174" spans="1:1" s="54" customFormat="1" x14ac:dyDescent="0.2">
      <c r="A174" s="69"/>
    </row>
    <row r="175" spans="1:1" s="54" customFormat="1" x14ac:dyDescent="0.2">
      <c r="A175" s="69"/>
    </row>
    <row r="176" spans="1:1" s="54" customFormat="1" x14ac:dyDescent="0.2">
      <c r="A176" s="69"/>
    </row>
    <row r="177" spans="1:1" s="54" customFormat="1" x14ac:dyDescent="0.2">
      <c r="A177" s="69"/>
    </row>
    <row r="178" spans="1:1" s="54" customFormat="1" x14ac:dyDescent="0.2">
      <c r="A178" s="69"/>
    </row>
    <row r="179" spans="1:1" s="54" customFormat="1" x14ac:dyDescent="0.2">
      <c r="A179" s="69"/>
    </row>
    <row r="180" spans="1:1" s="54" customFormat="1" x14ac:dyDescent="0.2">
      <c r="A180" s="69"/>
    </row>
    <row r="181" spans="1:1" s="54" customFormat="1" x14ac:dyDescent="0.2">
      <c r="A181" s="69"/>
    </row>
    <row r="182" spans="1:1" s="54" customFormat="1" x14ac:dyDescent="0.2">
      <c r="A182" s="69"/>
    </row>
    <row r="183" spans="1:1" s="54" customFormat="1" x14ac:dyDescent="0.2">
      <c r="A183" s="69"/>
    </row>
    <row r="184" spans="1:1" s="54" customFormat="1" x14ac:dyDescent="0.2">
      <c r="A184" s="69"/>
    </row>
    <row r="185" spans="1:1" s="54" customFormat="1" x14ac:dyDescent="0.2">
      <c r="A185" s="69"/>
    </row>
    <row r="186" spans="1:1" s="54" customFormat="1" x14ac:dyDescent="0.2">
      <c r="A186" s="69"/>
    </row>
    <row r="187" spans="1:1" s="54" customFormat="1" x14ac:dyDescent="0.2">
      <c r="A187" s="69"/>
    </row>
    <row r="188" spans="1:1" s="54" customFormat="1" x14ac:dyDescent="0.2">
      <c r="A188" s="69"/>
    </row>
    <row r="189" spans="1:1" s="54" customFormat="1" x14ac:dyDescent="0.2">
      <c r="A189" s="69"/>
    </row>
    <row r="190" spans="1:1" s="54" customFormat="1" x14ac:dyDescent="0.2">
      <c r="A190" s="69"/>
    </row>
    <row r="191" spans="1:1" s="54" customFormat="1" x14ac:dyDescent="0.2">
      <c r="A191" s="69"/>
    </row>
    <row r="192" spans="1:1" s="54" customFormat="1" x14ac:dyDescent="0.2">
      <c r="A192" s="69"/>
    </row>
    <row r="193" spans="1:1" s="54" customFormat="1" x14ac:dyDescent="0.2">
      <c r="A193" s="69"/>
    </row>
    <row r="194" spans="1:1" s="54" customFormat="1" x14ac:dyDescent="0.2">
      <c r="A194" s="69"/>
    </row>
    <row r="195" spans="1:1" s="54" customFormat="1" x14ac:dyDescent="0.2">
      <c r="A195" s="69"/>
    </row>
    <row r="196" spans="1:1" s="54" customFormat="1" x14ac:dyDescent="0.2">
      <c r="A196" s="69"/>
    </row>
    <row r="197" spans="1:1" s="54" customFormat="1" x14ac:dyDescent="0.2">
      <c r="A197" s="69"/>
    </row>
    <row r="198" spans="1:1" s="54" customFormat="1" x14ac:dyDescent="0.2">
      <c r="A198" s="69"/>
    </row>
    <row r="199" spans="1:1" s="54" customFormat="1" x14ac:dyDescent="0.2">
      <c r="A199" s="69"/>
    </row>
    <row r="200" spans="1:1" s="54" customFormat="1" x14ac:dyDescent="0.2">
      <c r="A200" s="69"/>
    </row>
    <row r="201" spans="1:1" s="54" customFormat="1" x14ac:dyDescent="0.2">
      <c r="A201" s="69"/>
    </row>
    <row r="202" spans="1:1" s="54" customFormat="1" x14ac:dyDescent="0.2">
      <c r="A202" s="69"/>
    </row>
    <row r="203" spans="1:1" s="54" customFormat="1" x14ac:dyDescent="0.2">
      <c r="A203" s="69"/>
    </row>
    <row r="204" spans="1:1" s="54" customFormat="1" x14ac:dyDescent="0.2">
      <c r="A204" s="69"/>
    </row>
    <row r="205" spans="1:1" s="54" customFormat="1" x14ac:dyDescent="0.2">
      <c r="A205" s="69"/>
    </row>
    <row r="206" spans="1:1" s="54" customFormat="1" x14ac:dyDescent="0.2">
      <c r="A206" s="69"/>
    </row>
    <row r="207" spans="1:1" s="54" customFormat="1" x14ac:dyDescent="0.2">
      <c r="A207" s="69"/>
    </row>
    <row r="208" spans="1:1" s="54" customFormat="1" x14ac:dyDescent="0.2">
      <c r="A208" s="69"/>
    </row>
    <row r="209" spans="1:1" s="54" customFormat="1" x14ac:dyDescent="0.2">
      <c r="A209" s="69"/>
    </row>
    <row r="210" spans="1:1" s="54" customFormat="1" x14ac:dyDescent="0.2">
      <c r="A210" s="69"/>
    </row>
    <row r="211" spans="1:1" s="54" customFormat="1" x14ac:dyDescent="0.2">
      <c r="A211" s="69"/>
    </row>
    <row r="212" spans="1:1" s="54" customFormat="1" x14ac:dyDescent="0.2">
      <c r="A212" s="69"/>
    </row>
    <row r="213" spans="1:1" s="54" customFormat="1" x14ac:dyDescent="0.2">
      <c r="A213" s="69"/>
    </row>
    <row r="214" spans="1:1" s="54" customFormat="1" x14ac:dyDescent="0.2">
      <c r="A214" s="69"/>
    </row>
    <row r="215" spans="1:1" s="54" customFormat="1" x14ac:dyDescent="0.2">
      <c r="A215" s="69"/>
    </row>
    <row r="216" spans="1:1" s="54" customFormat="1" x14ac:dyDescent="0.2">
      <c r="A216" s="69"/>
    </row>
    <row r="217" spans="1:1" s="54" customFormat="1" x14ac:dyDescent="0.2">
      <c r="A217" s="69"/>
    </row>
    <row r="218" spans="1:1" s="54" customFormat="1" x14ac:dyDescent="0.2">
      <c r="A218" s="69"/>
    </row>
    <row r="219" spans="1:1" s="54" customFormat="1" x14ac:dyDescent="0.2">
      <c r="A219" s="69"/>
    </row>
    <row r="220" spans="1:1" s="54" customFormat="1" x14ac:dyDescent="0.2">
      <c r="A220" s="69"/>
    </row>
    <row r="221" spans="1:1" s="54" customFormat="1" x14ac:dyDescent="0.2">
      <c r="A221" s="69"/>
    </row>
    <row r="222" spans="1:1" s="54" customFormat="1" x14ac:dyDescent="0.2">
      <c r="A222" s="69"/>
    </row>
    <row r="223" spans="1:1" s="54" customFormat="1" x14ac:dyDescent="0.2">
      <c r="A223" s="69"/>
    </row>
    <row r="224" spans="1:1" s="54" customFormat="1" x14ac:dyDescent="0.2">
      <c r="A224" s="69"/>
    </row>
    <row r="225" spans="1:1" s="54" customFormat="1" x14ac:dyDescent="0.2">
      <c r="A225" s="69"/>
    </row>
    <row r="226" spans="1:1" s="54" customFormat="1" x14ac:dyDescent="0.2">
      <c r="A226" s="69"/>
    </row>
    <row r="227" spans="1:1" s="54" customFormat="1" x14ac:dyDescent="0.2">
      <c r="A227" s="69"/>
    </row>
    <row r="228" spans="1:1" s="54" customFormat="1" x14ac:dyDescent="0.2">
      <c r="A228" s="69"/>
    </row>
    <row r="229" spans="1:1" s="54" customFormat="1" x14ac:dyDescent="0.2">
      <c r="A229" s="69"/>
    </row>
    <row r="230" spans="1:1" s="54" customFormat="1" x14ac:dyDescent="0.2">
      <c r="A230" s="69"/>
    </row>
    <row r="231" spans="1:1" s="54" customFormat="1" x14ac:dyDescent="0.2">
      <c r="A231" s="69"/>
    </row>
    <row r="232" spans="1:1" s="54" customFormat="1" x14ac:dyDescent="0.2">
      <c r="A232" s="69"/>
    </row>
    <row r="233" spans="1:1" s="54" customFormat="1" x14ac:dyDescent="0.2">
      <c r="A233" s="69"/>
    </row>
    <row r="234" spans="1:1" s="54" customFormat="1" x14ac:dyDescent="0.2">
      <c r="A234" s="69"/>
    </row>
    <row r="235" spans="1:1" s="54" customFormat="1" x14ac:dyDescent="0.2">
      <c r="A235" s="69"/>
    </row>
    <row r="236" spans="1:1" s="54" customFormat="1" x14ac:dyDescent="0.2">
      <c r="A236" s="69"/>
    </row>
    <row r="237" spans="1:1" s="54" customFormat="1" x14ac:dyDescent="0.2">
      <c r="A237" s="69"/>
    </row>
    <row r="238" spans="1:1" s="54" customFormat="1" x14ac:dyDescent="0.2">
      <c r="A238" s="69"/>
    </row>
    <row r="239" spans="1:1" s="54" customFormat="1" x14ac:dyDescent="0.2">
      <c r="A239" s="69"/>
    </row>
    <row r="240" spans="1:1" s="54" customFormat="1" x14ac:dyDescent="0.2">
      <c r="A240" s="69"/>
    </row>
    <row r="241" spans="1:1" s="54" customFormat="1" x14ac:dyDescent="0.2">
      <c r="A241" s="69"/>
    </row>
    <row r="242" spans="1:1" s="54" customFormat="1" x14ac:dyDescent="0.2">
      <c r="A242" s="69"/>
    </row>
    <row r="243" spans="1:1" s="54" customFormat="1" x14ac:dyDescent="0.2">
      <c r="A243" s="69"/>
    </row>
    <row r="244" spans="1:1" s="54" customFormat="1" x14ac:dyDescent="0.2">
      <c r="A244" s="69"/>
    </row>
    <row r="245" spans="1:1" s="54" customFormat="1" x14ac:dyDescent="0.2">
      <c r="A245" s="69"/>
    </row>
    <row r="246" spans="1:1" s="54" customFormat="1" x14ac:dyDescent="0.2">
      <c r="A246" s="69"/>
    </row>
    <row r="247" spans="1:1" s="54" customFormat="1" x14ac:dyDescent="0.2">
      <c r="A247" s="69"/>
    </row>
    <row r="248" spans="1:1" s="54" customFormat="1" x14ac:dyDescent="0.2">
      <c r="A248" s="69"/>
    </row>
    <row r="249" spans="1:1" s="54" customFormat="1" x14ac:dyDescent="0.2">
      <c r="A249" s="69"/>
    </row>
    <row r="250" spans="1:1" s="54" customFormat="1" x14ac:dyDescent="0.2">
      <c r="A250" s="69"/>
    </row>
    <row r="251" spans="1:1" s="54" customFormat="1" x14ac:dyDescent="0.2">
      <c r="A251" s="69"/>
    </row>
    <row r="252" spans="1:1" s="54" customFormat="1" x14ac:dyDescent="0.2">
      <c r="A252" s="69"/>
    </row>
    <row r="253" spans="1:1" s="54" customFormat="1" x14ac:dyDescent="0.2">
      <c r="A253" s="69"/>
    </row>
    <row r="254" spans="1:1" s="54" customFormat="1" x14ac:dyDescent="0.2">
      <c r="A254" s="69"/>
    </row>
    <row r="255" spans="1:1" s="54" customFormat="1" x14ac:dyDescent="0.2">
      <c r="A255" s="69"/>
    </row>
    <row r="256" spans="1:1" s="54" customFormat="1" x14ac:dyDescent="0.2">
      <c r="A256" s="69"/>
    </row>
    <row r="257" spans="1:1" s="54" customFormat="1" x14ac:dyDescent="0.2">
      <c r="A257" s="69"/>
    </row>
    <row r="258" spans="1:1" s="54" customFormat="1" x14ac:dyDescent="0.2">
      <c r="A258" s="69"/>
    </row>
    <row r="259" spans="1:1" s="54" customFormat="1" x14ac:dyDescent="0.2">
      <c r="A259" s="69"/>
    </row>
    <row r="260" spans="1:1" s="54" customFormat="1" x14ac:dyDescent="0.2">
      <c r="A260" s="69"/>
    </row>
    <row r="261" spans="1:1" s="54" customFormat="1" x14ac:dyDescent="0.2">
      <c r="A261" s="69"/>
    </row>
    <row r="262" spans="1:1" s="54" customFormat="1" x14ac:dyDescent="0.2">
      <c r="A262" s="69"/>
    </row>
    <row r="263" spans="1:1" s="54" customFormat="1" x14ac:dyDescent="0.2">
      <c r="A263" s="69"/>
    </row>
    <row r="264" spans="1:1" s="54" customFormat="1" x14ac:dyDescent="0.2">
      <c r="A264" s="69"/>
    </row>
    <row r="265" spans="1:1" s="54" customFormat="1" x14ac:dyDescent="0.2">
      <c r="A265" s="69"/>
    </row>
    <row r="266" spans="1:1" s="54" customFormat="1" x14ac:dyDescent="0.2">
      <c r="A266" s="69"/>
    </row>
    <row r="267" spans="1:1" s="54" customFormat="1" x14ac:dyDescent="0.2">
      <c r="A267" s="69"/>
    </row>
    <row r="268" spans="1:1" s="54" customFormat="1" x14ac:dyDescent="0.2">
      <c r="A268" s="69"/>
    </row>
    <row r="269" spans="1:1" s="54" customFormat="1" x14ac:dyDescent="0.2">
      <c r="A269" s="69"/>
    </row>
    <row r="270" spans="1:1" s="54" customFormat="1" x14ac:dyDescent="0.2">
      <c r="A270" s="69"/>
    </row>
    <row r="271" spans="1:1" s="54" customFormat="1" x14ac:dyDescent="0.2">
      <c r="A271" s="69"/>
    </row>
    <row r="272" spans="1:1" s="54" customFormat="1" x14ac:dyDescent="0.2">
      <c r="A272" s="69"/>
    </row>
    <row r="273" spans="1:1" s="54" customFormat="1" x14ac:dyDescent="0.2">
      <c r="A273" s="69"/>
    </row>
    <row r="274" spans="1:1" s="54" customFormat="1" x14ac:dyDescent="0.2">
      <c r="A274" s="69"/>
    </row>
    <row r="275" spans="1:1" s="54" customFormat="1" x14ac:dyDescent="0.2">
      <c r="A275" s="69"/>
    </row>
    <row r="276" spans="1:1" s="54" customFormat="1" x14ac:dyDescent="0.2">
      <c r="A276" s="69"/>
    </row>
    <row r="277" spans="1:1" s="54" customFormat="1" x14ac:dyDescent="0.2">
      <c r="A277" s="69"/>
    </row>
    <row r="278" spans="1:1" s="54" customFormat="1" x14ac:dyDescent="0.2">
      <c r="A278" s="69"/>
    </row>
    <row r="279" spans="1:1" s="54" customFormat="1" x14ac:dyDescent="0.2">
      <c r="A279" s="69"/>
    </row>
    <row r="280" spans="1:1" s="54" customFormat="1" x14ac:dyDescent="0.2">
      <c r="A280" s="69"/>
    </row>
    <row r="281" spans="1:1" s="54" customFormat="1" x14ac:dyDescent="0.2">
      <c r="A281" s="69"/>
    </row>
    <row r="282" spans="1:1" s="54" customFormat="1" x14ac:dyDescent="0.2">
      <c r="A282" s="69"/>
    </row>
    <row r="283" spans="1:1" s="54" customFormat="1" x14ac:dyDescent="0.2">
      <c r="A283" s="69"/>
    </row>
    <row r="284" spans="1:1" s="54" customFormat="1" x14ac:dyDescent="0.2">
      <c r="A284" s="69"/>
    </row>
    <row r="285" spans="1:1" s="54" customFormat="1" x14ac:dyDescent="0.2">
      <c r="A285" s="69"/>
    </row>
    <row r="286" spans="1:1" s="54" customFormat="1" x14ac:dyDescent="0.2">
      <c r="A286" s="69"/>
    </row>
    <row r="287" spans="1:1" s="54" customFormat="1" x14ac:dyDescent="0.2">
      <c r="A287" s="69"/>
    </row>
    <row r="288" spans="1:1" s="54" customFormat="1" x14ac:dyDescent="0.2">
      <c r="A288" s="69"/>
    </row>
    <row r="289" spans="1:1" s="54" customFormat="1" x14ac:dyDescent="0.2">
      <c r="A289" s="69"/>
    </row>
    <row r="290" spans="1:1" s="54" customFormat="1" x14ac:dyDescent="0.2">
      <c r="A290" s="69"/>
    </row>
    <row r="291" spans="1:1" s="54" customFormat="1" x14ac:dyDescent="0.2">
      <c r="A291" s="69"/>
    </row>
    <row r="292" spans="1:1" s="54" customFormat="1" x14ac:dyDescent="0.2">
      <c r="A292" s="69"/>
    </row>
    <row r="293" spans="1:1" s="54" customFormat="1" x14ac:dyDescent="0.2">
      <c r="A293" s="69"/>
    </row>
    <row r="294" spans="1:1" s="54" customFormat="1" x14ac:dyDescent="0.2">
      <c r="A294" s="69"/>
    </row>
    <row r="295" spans="1:1" s="54" customFormat="1" x14ac:dyDescent="0.2">
      <c r="A295" s="69"/>
    </row>
    <row r="296" spans="1:1" s="54" customFormat="1" x14ac:dyDescent="0.2">
      <c r="A296" s="69"/>
    </row>
    <row r="297" spans="1:1" s="54" customFormat="1" x14ac:dyDescent="0.2">
      <c r="A297" s="69"/>
    </row>
    <row r="298" spans="1:1" s="54" customFormat="1" x14ac:dyDescent="0.2">
      <c r="A298" s="69"/>
    </row>
    <row r="299" spans="1:1" s="54" customFormat="1" x14ac:dyDescent="0.2">
      <c r="A299" s="69"/>
    </row>
    <row r="300" spans="1:1" s="54" customFormat="1" x14ac:dyDescent="0.2">
      <c r="A300" s="69"/>
    </row>
    <row r="301" spans="1:1" s="54" customFormat="1" x14ac:dyDescent="0.2">
      <c r="A301" s="69"/>
    </row>
    <row r="302" spans="1:1" s="54" customFormat="1" x14ac:dyDescent="0.2">
      <c r="A302" s="69"/>
    </row>
  </sheetData>
  <mergeCells count="1">
    <mergeCell ref="A1:C4"/>
  </mergeCells>
  <conditionalFormatting sqref="C1:E1048576">
    <cfRule type="notContainsBlanks" dxfId="9" priority="13">
      <formula>LEN(TRIM(C1))&gt;0</formula>
    </cfRule>
  </conditionalFormatting>
  <conditionalFormatting sqref="F1:H1048576">
    <cfRule type="notContainsBlanks" dxfId="8" priority="6">
      <formula>LEN(TRIM(F1))&gt;0</formula>
    </cfRule>
  </conditionalFormatting>
  <conditionalFormatting sqref="I1:K1048576">
    <cfRule type="notContainsBlanks" dxfId="7" priority="5">
      <formula>LEN(TRIM(I1))&gt;0</formula>
    </cfRule>
  </conditionalFormatting>
  <conditionalFormatting sqref="L1:M1048576">
    <cfRule type="notContainsBlanks" dxfId="6" priority="4">
      <formula>LEN(TRIM(L1))&gt;0</formula>
    </cfRule>
  </conditionalFormatting>
  <conditionalFormatting sqref="B6:B1000000">
    <cfRule type="notContainsBlanks" dxfId="5" priority="1">
      <formula>LEN(TRIM(B6))&gt;0</formula>
    </cfRule>
  </conditionalFormatting>
  <dataValidations count="1">
    <dataValidation type="list" allowBlank="1" showInputMessage="1" showErrorMessage="1" sqref="A1:C4" xr:uid="{C23A0FA2-2F23-4F48-A537-5D4363B736CC}">
      <formula1>CURRENCY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K43"/>
  <sheetViews>
    <sheetView zoomScale="110" zoomScaleNormal="100" workbookViewId="0">
      <selection activeCell="I2" sqref="I2"/>
    </sheetView>
  </sheetViews>
  <sheetFormatPr baseColWidth="10" defaultRowHeight="16" x14ac:dyDescent="0.2"/>
  <cols>
    <col min="1" max="2" width="13.7109375" style="46" customWidth="1"/>
    <col min="3" max="3" width="19.5703125" style="46" customWidth="1"/>
    <col min="4" max="4" width="17" style="46" customWidth="1"/>
    <col min="5" max="5" width="18.140625" style="46" customWidth="1"/>
    <col min="6" max="6" width="20.140625" style="51" customWidth="1"/>
    <col min="7" max="7" width="17.140625" style="51" customWidth="1"/>
    <col min="8" max="9" width="20" style="46" customWidth="1"/>
    <col min="10" max="10" width="19.5703125" style="55" customWidth="1"/>
    <col min="11" max="11" width="18.7109375" style="55" customWidth="1"/>
    <col min="12" max="31" width="10.7109375" style="46" customWidth="1"/>
    <col min="32" max="16384" width="10.7109375" style="46"/>
  </cols>
  <sheetData>
    <row r="1" spans="1:11" s="48" customFormat="1" ht="18" customHeight="1" x14ac:dyDescent="0.2">
      <c r="A1" s="56" t="s">
        <v>74</v>
      </c>
      <c r="B1" s="56" t="s">
        <v>89</v>
      </c>
      <c r="C1" s="56" t="s">
        <v>75</v>
      </c>
      <c r="D1" s="56" t="s">
        <v>76</v>
      </c>
      <c r="E1" s="56" t="s">
        <v>77</v>
      </c>
      <c r="F1" s="57" t="s">
        <v>78</v>
      </c>
      <c r="G1" s="57" t="s">
        <v>79</v>
      </c>
      <c r="H1" s="56" t="s">
        <v>80</v>
      </c>
      <c r="I1" s="56" t="s">
        <v>81</v>
      </c>
      <c r="J1" s="57" t="s">
        <v>85</v>
      </c>
      <c r="K1" s="74" t="s">
        <v>90</v>
      </c>
    </row>
    <row r="2" spans="1:11" x14ac:dyDescent="0.2">
      <c r="A2" s="53" t="str" cm="1">
        <f t="array" aca="1" ref="A2:A42" ca="1">_xlfn._xlws.FILTER(_xlfn.UNIQUE(RECEIVED_CURRENCY), (_xlfn.UNIQUE(RECEIVED_CURRENCY) &lt;&gt; 0)*(_xlfn.UNIQUE(RECEIVED_CURRENCY) &lt;&gt; "USD"))</f>
        <v>XRP</v>
      </c>
      <c r="B2" s="53" cm="1">
        <f t="array" aca="1" ref="B2:B42" ca="1">INDEX(PRICES, MATCH(CURRENCY, PRICES_SYMBOL, 0))</f>
        <v>0.49872854</v>
      </c>
      <c r="C2" s="54" cm="1">
        <f t="array" aca="1" ref="C2:C42" ca="1">SUMIFS(RECEIVED_QUANTITY, RECEIVED_CURRENCY, CURRENCY)</f>
        <v>23683.790361000003</v>
      </c>
      <c r="D2" s="53" cm="1">
        <f t="array" aca="1" ref="D2:D42" ca="1">SUMIFS(SENT_QUANTITY, SENT_CURRENCY, CURRENCY) + SUMIFS(FEE_QUANTITY, FEE_CURRENCY, CURRENCY)</f>
        <v>11410.344722000002</v>
      </c>
      <c r="E2" s="52" cm="1">
        <f t="array" aca="1" ref="E2:E42" ca="1">IF(QUANTITY_BOUGHT-QUANTITY_SOLD &gt; 0, QUANTITY_BOUGHT-QUANTITY_SOLD, 0)</f>
        <v>12273.445639000001</v>
      </c>
      <c r="F2" s="55" cm="1">
        <f t="array" aca="1" ref="F2:F42" ca="1">SUMIFS(RECEIVED_COST_BASIS, RECEIVED_CURRENCY, CURRENCY)+ SUMIFS(FEE_COST_BASIS, SENT_CURRENCY, CURRENCY)</f>
        <v>9150.11</v>
      </c>
      <c r="G2" s="55" cm="1">
        <f t="array" aca="1" ref="G2:G42" ca="1">SUMIFS(SENT_COST_BASIS, SENT_CURRENCY, CURRENCY)+SUMIFS(FEE_COST_BASIS, SENT_CURRENCY, CURRENCY)</f>
        <v>2067.69</v>
      </c>
      <c r="H2" s="55" cm="1">
        <f t="array" aca="1" ref="H2:H42" ca="1">IF(COST_BASIS_BOUGHT-COST_BASIS_SOLD &gt; 0, COST_BASIS_BOUGHT-COST_BASIS_SOLD, 0)</f>
        <v>7082.42</v>
      </c>
      <c r="I2" s="55" cm="1">
        <f t="array" aca="1" ref="I2:I42" ca="1">CURRENT_QUANTITY * INDEX(PRICES, MATCH(CURRENCY, PRICES_SYMBOL, 0))</f>
        <v>6121.117624307838</v>
      </c>
      <c r="J2" s="55" cm="1">
        <f t="array" aca="1" ref="J2:J42" ca="1">CURRENCY_VALUE-CURRENT_COST_BASIS</f>
        <v>-961.30237569216206</v>
      </c>
      <c r="K2" s="55" cm="1">
        <f t="array" aca="1" ref="K2:K42" ca="1">SUMIFS(REALIZED_RETURN, SENT_CURRENCY, CURRENCY) + SUMIFS(FEE_REALIZED_RETURN, FEE_CURRENCY, CURRENCY)</f>
        <v>12.4</v>
      </c>
    </row>
    <row r="3" spans="1:11" x14ac:dyDescent="0.2">
      <c r="A3" s="53" t="str">
        <f ca="1"/>
        <v>HBAR</v>
      </c>
      <c r="B3" s="53">
        <f ca="1"/>
        <v>8.2537029999999997E-2</v>
      </c>
      <c r="C3" s="54">
        <f ca="1"/>
        <v>168484.69461331997</v>
      </c>
      <c r="D3" s="53">
        <f ca="1"/>
        <v>86964.549318769976</v>
      </c>
      <c r="E3" s="52">
        <f ca="1"/>
        <v>81520.145294549991</v>
      </c>
      <c r="F3" s="55">
        <f ca="1"/>
        <v>5531.7</v>
      </c>
      <c r="G3" s="55">
        <f ca="1"/>
        <v>531.69999999999993</v>
      </c>
      <c r="H3" s="55">
        <f ca="1"/>
        <v>5000</v>
      </c>
      <c r="I3" s="55">
        <f ca="1"/>
        <v>6728.4306777806314</v>
      </c>
      <c r="J3" s="55">
        <f ca="1"/>
        <v>1728.4306777806314</v>
      </c>
      <c r="K3" s="55">
        <f ca="1"/>
        <v>-26.89</v>
      </c>
    </row>
    <row r="4" spans="1:11" x14ac:dyDescent="0.2">
      <c r="A4" s="53" t="str">
        <f ca="1"/>
        <v>ATOM</v>
      </c>
      <c r="B4" s="53">
        <f ca="1"/>
        <v>8.2041340599999995</v>
      </c>
      <c r="C4" s="54">
        <f ca="1"/>
        <v>314.50585499999994</v>
      </c>
      <c r="D4" s="53">
        <f ca="1"/>
        <v>314.913118</v>
      </c>
      <c r="E4" s="52">
        <f ca="1"/>
        <v>0</v>
      </c>
      <c r="F4" s="55">
        <f ca="1"/>
        <v>1880.5</v>
      </c>
      <c r="G4" s="55">
        <f ca="1"/>
        <v>1881.78</v>
      </c>
      <c r="H4" s="55">
        <f ca="1"/>
        <v>0</v>
      </c>
      <c r="I4" s="55">
        <f ca="1"/>
        <v>0</v>
      </c>
      <c r="J4" s="55">
        <f ca="1"/>
        <v>0</v>
      </c>
      <c r="K4" s="55">
        <f ca="1"/>
        <v>-132.68</v>
      </c>
    </row>
    <row r="5" spans="1:11" x14ac:dyDescent="0.2">
      <c r="A5" s="53" t="str">
        <f ca="1"/>
        <v>SOL</v>
      </c>
      <c r="B5" s="53">
        <f ca="1"/>
        <v>144.34957062000001</v>
      </c>
      <c r="C5" s="54">
        <f ca="1"/>
        <v>15.34091162</v>
      </c>
      <c r="D5" s="53">
        <f ca="1"/>
        <v>15.38473508</v>
      </c>
      <c r="E5" s="52">
        <f ca="1"/>
        <v>0</v>
      </c>
      <c r="F5" s="55">
        <f ca="1"/>
        <v>602.2600000000001</v>
      </c>
      <c r="G5" s="55">
        <f ca="1"/>
        <v>602.25999999999988</v>
      </c>
      <c r="H5" s="55">
        <f ca="1"/>
        <v>2.2737367544323206E-13</v>
      </c>
      <c r="I5" s="55">
        <f ca="1"/>
        <v>0</v>
      </c>
      <c r="J5" s="55">
        <f ca="1"/>
        <v>-2.2737367544323206E-13</v>
      </c>
      <c r="K5" s="55">
        <f ca="1"/>
        <v>-163.41</v>
      </c>
    </row>
    <row r="6" spans="1:11" x14ac:dyDescent="0.2">
      <c r="A6" s="53" t="str">
        <f ca="1"/>
        <v>ADA</v>
      </c>
      <c r="B6" s="53">
        <f ca="1"/>
        <v>0.46604178000000002</v>
      </c>
      <c r="C6" s="54">
        <f ca="1"/>
        <v>7780.1755000000003</v>
      </c>
      <c r="D6" s="53">
        <f ca="1"/>
        <v>7817.4406089999993</v>
      </c>
      <c r="E6" s="52">
        <f ca="1"/>
        <v>0</v>
      </c>
      <c r="F6" s="55">
        <f ca="1"/>
        <v>1311.52</v>
      </c>
      <c r="G6" s="55">
        <f ca="1"/>
        <v>1326.1299999999999</v>
      </c>
      <c r="H6" s="55">
        <f ca="1"/>
        <v>0</v>
      </c>
      <c r="I6" s="55">
        <f ca="1"/>
        <v>0</v>
      </c>
      <c r="J6" s="55">
        <f ca="1"/>
        <v>0</v>
      </c>
      <c r="K6" s="55">
        <f ca="1"/>
        <v>-154.29</v>
      </c>
    </row>
    <row r="7" spans="1:11" x14ac:dyDescent="0.2">
      <c r="A7" s="53" t="str">
        <f ca="1"/>
        <v>USDC</v>
      </c>
      <c r="B7" s="53">
        <f ca="1"/>
        <v>0.99841460000000004</v>
      </c>
      <c r="C7" s="54">
        <f ca="1"/>
        <v>2500.1205420000001</v>
      </c>
      <c r="D7" s="53">
        <f ca="1"/>
        <v>2499.9605879999999</v>
      </c>
      <c r="E7" s="52">
        <f ca="1"/>
        <v>0.15995400000019799</v>
      </c>
      <c r="F7" s="55">
        <f ca="1"/>
        <v>1502.8200000000002</v>
      </c>
      <c r="G7" s="55">
        <f ca="1"/>
        <v>1502.66</v>
      </c>
      <c r="H7" s="55">
        <f ca="1"/>
        <v>0.16000000000008185</v>
      </c>
      <c r="I7" s="55">
        <f ca="1"/>
        <v>0.15970040892859769</v>
      </c>
      <c r="J7" s="55">
        <f ca="1"/>
        <v>-2.9959107148416764E-4</v>
      </c>
      <c r="K7" s="55">
        <f ca="1"/>
        <v>-13.149999999999999</v>
      </c>
    </row>
    <row r="8" spans="1:11" x14ac:dyDescent="0.2">
      <c r="A8" s="53" t="str">
        <f ca="1"/>
        <v>ETH</v>
      </c>
      <c r="B8" s="53">
        <f ca="1"/>
        <v>3054.6930798899998</v>
      </c>
      <c r="C8" s="54">
        <f ca="1"/>
        <v>6.9329730500000002</v>
      </c>
      <c r="D8" s="53">
        <f ca="1"/>
        <v>6.932657279999999</v>
      </c>
      <c r="E8" s="52">
        <f ca="1"/>
        <v>3.1577000000115873E-4</v>
      </c>
      <c r="F8" s="55">
        <f ca="1"/>
        <v>6066.2900000000036</v>
      </c>
      <c r="G8" s="55">
        <f ca="1"/>
        <v>6123.3900000000012</v>
      </c>
      <c r="H8" s="55">
        <f ca="1"/>
        <v>0</v>
      </c>
      <c r="I8" s="55">
        <f ca="1"/>
        <v>0.96458043384040482</v>
      </c>
      <c r="J8" s="55">
        <f ca="1"/>
        <v>0.96458043384040482</v>
      </c>
      <c r="K8" s="55">
        <f ca="1"/>
        <v>168.14999999999984</v>
      </c>
    </row>
    <row r="9" spans="1:11" x14ac:dyDescent="0.2">
      <c r="A9" s="53" t="str">
        <f ca="1"/>
        <v>BTC</v>
      </c>
      <c r="B9" s="53">
        <f ca="1"/>
        <v>63764.6843295</v>
      </c>
      <c r="C9" s="54">
        <f ca="1"/>
        <v>1.1118220000000002E-2</v>
      </c>
      <c r="D9" s="53">
        <f ca="1"/>
        <v>1.1118230000000002E-2</v>
      </c>
      <c r="E9" s="52">
        <f ca="1"/>
        <v>0</v>
      </c>
      <c r="F9" s="55">
        <f ca="1"/>
        <v>457.29999999999995</v>
      </c>
      <c r="G9" s="55">
        <f ca="1"/>
        <v>459.33</v>
      </c>
      <c r="H9" s="55">
        <f ca="1"/>
        <v>0</v>
      </c>
      <c r="I9" s="55">
        <f ca="1"/>
        <v>0</v>
      </c>
      <c r="J9" s="55">
        <f ca="1"/>
        <v>0</v>
      </c>
      <c r="K9" s="55">
        <f ca="1"/>
        <v>-29.310000000000002</v>
      </c>
    </row>
    <row r="10" spans="1:11" x14ac:dyDescent="0.2">
      <c r="A10" s="53" t="str">
        <f ca="1"/>
        <v>CSPR</v>
      </c>
      <c r="B10" s="53">
        <f ca="1"/>
        <v>3.0676370000000001E-2</v>
      </c>
      <c r="C10" s="54">
        <f ca="1"/>
        <v>21143.138177159999</v>
      </c>
      <c r="D10" s="53">
        <f ca="1"/>
        <v>21143.13817717</v>
      </c>
      <c r="E10" s="52">
        <f ca="1"/>
        <v>0</v>
      </c>
      <c r="F10" s="55">
        <f ca="1"/>
        <v>903.04</v>
      </c>
      <c r="G10" s="55">
        <f ca="1"/>
        <v>900.28</v>
      </c>
      <c r="H10" s="55">
        <f ca="1"/>
        <v>2.7599999999999909</v>
      </c>
      <c r="I10" s="55">
        <f ca="1"/>
        <v>0</v>
      </c>
      <c r="J10" s="55">
        <f ca="1"/>
        <v>-2.7599999999999909</v>
      </c>
      <c r="K10" s="55">
        <f ca="1"/>
        <v>-164.51</v>
      </c>
    </row>
    <row r="11" spans="1:11" x14ac:dyDescent="0.2">
      <c r="A11" s="53" t="str">
        <f ca="1"/>
        <v>DOGE</v>
      </c>
      <c r="B11" s="53">
        <f ca="1"/>
        <v>0.15048064</v>
      </c>
      <c r="C11" s="54">
        <f ca="1"/>
        <v>2.36</v>
      </c>
      <c r="D11" s="53">
        <f ca="1"/>
        <v>2.3085714300000002</v>
      </c>
      <c r="E11" s="52">
        <f ca="1"/>
        <v>5.1428569999999674E-2</v>
      </c>
      <c r="F11" s="55">
        <f ca="1"/>
        <v>0.16</v>
      </c>
      <c r="G11" s="55">
        <f ca="1"/>
        <v>0.16</v>
      </c>
      <c r="H11" s="55">
        <f ca="1"/>
        <v>0</v>
      </c>
      <c r="I11" s="55">
        <f ca="1"/>
        <v>7.7390041278847512E-3</v>
      </c>
      <c r="J11" s="55">
        <f ca="1"/>
        <v>7.7390041278847512E-3</v>
      </c>
      <c r="K11" s="55">
        <f ca="1"/>
        <v>0</v>
      </c>
    </row>
    <row r="12" spans="1:11" x14ac:dyDescent="0.2">
      <c r="A12" s="53" t="str">
        <f ca="1"/>
        <v>LINK</v>
      </c>
      <c r="B12" s="53">
        <f ca="1"/>
        <v>13.84527278</v>
      </c>
      <c r="C12" s="54">
        <f ca="1"/>
        <v>416.48075627999998</v>
      </c>
      <c r="D12" s="53">
        <f ca="1"/>
        <v>416.48075628000004</v>
      </c>
      <c r="E12" s="52">
        <f ca="1"/>
        <v>0</v>
      </c>
      <c r="F12" s="55">
        <f ca="1"/>
        <v>2492.900000000001</v>
      </c>
      <c r="G12" s="55">
        <f ca="1"/>
        <v>2503.2099999999996</v>
      </c>
      <c r="H12" s="55">
        <f ca="1"/>
        <v>0</v>
      </c>
      <c r="I12" s="55">
        <f ca="1"/>
        <v>0</v>
      </c>
      <c r="J12" s="55">
        <f ca="1"/>
        <v>0</v>
      </c>
      <c r="K12" s="55">
        <f ca="1"/>
        <v>-220.98000000000002</v>
      </c>
    </row>
    <row r="13" spans="1:11" x14ac:dyDescent="0.2">
      <c r="A13" s="53" t="str">
        <f ca="1"/>
        <v>ALGO</v>
      </c>
      <c r="B13" s="53">
        <f ca="1"/>
        <v>0.17530989</v>
      </c>
      <c r="C13" s="54">
        <f ca="1"/>
        <v>10996.823197999998</v>
      </c>
      <c r="D13" s="53">
        <f ca="1"/>
        <v>11007.762099</v>
      </c>
      <c r="E13" s="52">
        <f ca="1"/>
        <v>0</v>
      </c>
      <c r="F13" s="55">
        <f ca="1"/>
        <v>2496.83</v>
      </c>
      <c r="G13" s="55">
        <f ca="1"/>
        <v>2499.8199999999997</v>
      </c>
      <c r="H13" s="55">
        <f ca="1"/>
        <v>0</v>
      </c>
      <c r="I13" s="55">
        <f ca="1"/>
        <v>0</v>
      </c>
      <c r="J13" s="55">
        <f ca="1"/>
        <v>0</v>
      </c>
      <c r="K13" s="55">
        <f ca="1"/>
        <v>-74.48</v>
      </c>
    </row>
    <row r="14" spans="1:11" x14ac:dyDescent="0.2">
      <c r="A14" s="53" t="str">
        <f ca="1"/>
        <v>ARB</v>
      </c>
      <c r="B14" s="53">
        <f ca="1"/>
        <v>1.12448043</v>
      </c>
      <c r="C14" s="54">
        <f ca="1"/>
        <v>314.03690116000001</v>
      </c>
      <c r="D14" s="53">
        <f ca="1"/>
        <v>314.03690116000001</v>
      </c>
      <c r="E14" s="52">
        <f ca="1"/>
        <v>0</v>
      </c>
      <c r="F14" s="55">
        <f ca="1"/>
        <v>389.68</v>
      </c>
      <c r="G14" s="55">
        <f ca="1"/>
        <v>389.68</v>
      </c>
      <c r="H14" s="55">
        <f ca="1"/>
        <v>0</v>
      </c>
      <c r="I14" s="55">
        <f ca="1"/>
        <v>0</v>
      </c>
      <c r="J14" s="55">
        <f ca="1"/>
        <v>0</v>
      </c>
      <c r="K14" s="55">
        <f ca="1"/>
        <v>-26.45</v>
      </c>
    </row>
    <row r="15" spans="1:11" x14ac:dyDescent="0.2">
      <c r="A15" s="53" t="str">
        <f ca="1"/>
        <v>OP</v>
      </c>
      <c r="B15" s="53">
        <f ca="1"/>
        <v>2.2356004899999999</v>
      </c>
      <c r="C15" s="54">
        <f ca="1"/>
        <v>288.75017883999999</v>
      </c>
      <c r="D15" s="53">
        <f ca="1"/>
        <v>288.75017883999999</v>
      </c>
      <c r="E15" s="52">
        <f ca="1"/>
        <v>0</v>
      </c>
      <c r="F15" s="55">
        <f ca="1"/>
        <v>765.76</v>
      </c>
      <c r="G15" s="55">
        <f ca="1"/>
        <v>765.76</v>
      </c>
      <c r="H15" s="55">
        <f ca="1"/>
        <v>0</v>
      </c>
      <c r="I15" s="55">
        <f ca="1"/>
        <v>0</v>
      </c>
      <c r="J15" s="55">
        <f ca="1"/>
        <v>0</v>
      </c>
      <c r="K15" s="55">
        <f ca="1"/>
        <v>-172.53</v>
      </c>
    </row>
    <row r="16" spans="1:11" x14ac:dyDescent="0.2">
      <c r="A16" s="53" t="str">
        <f ca="1"/>
        <v>FIL</v>
      </c>
      <c r="B16" s="53">
        <f ca="1"/>
        <v>6.10804685</v>
      </c>
      <c r="C16" s="54">
        <f ca="1"/>
        <v>33.367037410000002</v>
      </c>
      <c r="D16" s="53">
        <f ca="1"/>
        <v>33.367037410000002</v>
      </c>
      <c r="E16" s="52">
        <f ca="1"/>
        <v>0</v>
      </c>
      <c r="F16" s="55">
        <f ca="1"/>
        <v>200</v>
      </c>
      <c r="G16" s="55">
        <f ca="1"/>
        <v>200</v>
      </c>
      <c r="H16" s="55">
        <f ca="1"/>
        <v>0</v>
      </c>
      <c r="I16" s="55">
        <f ca="1"/>
        <v>0</v>
      </c>
      <c r="J16" s="55">
        <f ca="1"/>
        <v>0</v>
      </c>
      <c r="K16" s="55">
        <f ca="1"/>
        <v>-5.61</v>
      </c>
    </row>
    <row r="17" spans="1:11" x14ac:dyDescent="0.2">
      <c r="A17" s="53" t="str">
        <f ca="1"/>
        <v>XLM</v>
      </c>
      <c r="B17" s="53">
        <f ca="1"/>
        <v>0.11121908</v>
      </c>
      <c r="C17" s="54">
        <f ca="1"/>
        <v>4970.8263010000001</v>
      </c>
      <c r="D17" s="53">
        <f ca="1"/>
        <v>4970.826301000001</v>
      </c>
      <c r="E17" s="52">
        <f ca="1"/>
        <v>0</v>
      </c>
      <c r="F17" s="55">
        <f ca="1"/>
        <v>473.23</v>
      </c>
      <c r="G17" s="55">
        <f ca="1"/>
        <v>476.22</v>
      </c>
      <c r="H17" s="55">
        <f ca="1"/>
        <v>0</v>
      </c>
      <c r="I17" s="55">
        <f ca="1"/>
        <v>0</v>
      </c>
      <c r="J17" s="55">
        <f ca="1"/>
        <v>0</v>
      </c>
      <c r="K17" s="55">
        <f ca="1"/>
        <v>-26.740000000000006</v>
      </c>
    </row>
    <row r="18" spans="1:11" x14ac:dyDescent="0.2">
      <c r="A18" s="53" t="str">
        <f ca="1"/>
        <v>QNT</v>
      </c>
      <c r="B18" s="53">
        <f ca="1"/>
        <v>105.76055398</v>
      </c>
      <c r="C18" s="54">
        <f ca="1"/>
        <v>5.8445141200000004</v>
      </c>
      <c r="D18" s="53">
        <f ca="1"/>
        <v>5.8445141199999995</v>
      </c>
      <c r="E18" s="52">
        <f ca="1"/>
        <v>8.8817841970012523E-16</v>
      </c>
      <c r="F18" s="55">
        <f ca="1"/>
        <v>778.57999999999993</v>
      </c>
      <c r="G18" s="55">
        <f ca="1"/>
        <v>783.06000000000006</v>
      </c>
      <c r="H18" s="55">
        <f ca="1"/>
        <v>0</v>
      </c>
      <c r="I18" s="55">
        <f ca="1"/>
        <v>9.3934241700566188E-14</v>
      </c>
      <c r="J18" s="55">
        <f ca="1"/>
        <v>9.3934241700566188E-14</v>
      </c>
      <c r="K18" s="55">
        <f ca="1"/>
        <v>-43.75</v>
      </c>
    </row>
    <row r="19" spans="1:11" x14ac:dyDescent="0.2">
      <c r="A19" s="53" t="str">
        <f ca="1"/>
        <v>AVAX</v>
      </c>
      <c r="B19" s="53">
        <f ca="1"/>
        <v>34.869263920000002</v>
      </c>
      <c r="C19" s="54">
        <f ca="1"/>
        <v>4.5437105100000004</v>
      </c>
      <c r="D19" s="53">
        <f ca="1"/>
        <v>4.5437105100000004</v>
      </c>
      <c r="E19" s="52">
        <f ca="1"/>
        <v>0</v>
      </c>
      <c r="F19" s="55">
        <f ca="1"/>
        <v>58.510000000000005</v>
      </c>
      <c r="G19" s="55">
        <f ca="1"/>
        <v>60</v>
      </c>
      <c r="H19" s="55">
        <f ca="1"/>
        <v>0</v>
      </c>
      <c r="I19" s="55">
        <f ca="1"/>
        <v>0</v>
      </c>
      <c r="J19" s="55">
        <f ca="1"/>
        <v>0</v>
      </c>
      <c r="K19" s="55">
        <f ca="1"/>
        <v>20.53</v>
      </c>
    </row>
    <row r="20" spans="1:11" x14ac:dyDescent="0.2">
      <c r="A20" s="53" t="str">
        <f ca="1"/>
        <v>MATIC</v>
      </c>
      <c r="B20" s="53">
        <f ca="1"/>
        <v>0.67146490000000003</v>
      </c>
      <c r="C20" s="54">
        <f ca="1"/>
        <v>342.91233002000001</v>
      </c>
      <c r="D20" s="53">
        <f ca="1"/>
        <v>342.91233002000001</v>
      </c>
      <c r="E20" s="52">
        <f ca="1"/>
        <v>0</v>
      </c>
      <c r="F20" s="55">
        <f ca="1"/>
        <v>380.62</v>
      </c>
      <c r="G20" s="55">
        <f ca="1"/>
        <v>383.61</v>
      </c>
      <c r="H20" s="55">
        <f ca="1"/>
        <v>0</v>
      </c>
      <c r="I20" s="55">
        <f ca="1"/>
        <v>0</v>
      </c>
      <c r="J20" s="55">
        <f ca="1"/>
        <v>0</v>
      </c>
      <c r="K20" s="55">
        <f ca="1"/>
        <v>-12.11</v>
      </c>
    </row>
    <row r="21" spans="1:11" x14ac:dyDescent="0.2">
      <c r="A21" s="53" t="str">
        <f ca="1"/>
        <v>GALA</v>
      </c>
      <c r="B21" s="53">
        <f ca="1"/>
        <v>4.4174949999999998E-2</v>
      </c>
      <c r="C21" s="54">
        <f ca="1"/>
        <v>56.116802880000002</v>
      </c>
      <c r="D21" s="53">
        <f ca="1"/>
        <v>56.116802880000002</v>
      </c>
      <c r="E21" s="52">
        <f ca="1"/>
        <v>0</v>
      </c>
      <c r="F21" s="55">
        <f ca="1"/>
        <v>19.37</v>
      </c>
      <c r="G21" s="55">
        <f ca="1"/>
        <v>19.37</v>
      </c>
      <c r="H21" s="55">
        <f ca="1"/>
        <v>0</v>
      </c>
      <c r="I21" s="55">
        <f ca="1"/>
        <v>0</v>
      </c>
      <c r="J21" s="55">
        <f ca="1"/>
        <v>0</v>
      </c>
      <c r="K21" s="55">
        <f ca="1"/>
        <v>-0.49</v>
      </c>
    </row>
    <row r="22" spans="1:11" x14ac:dyDescent="0.2">
      <c r="A22" s="53" t="str">
        <f ca="1"/>
        <v>FIDA</v>
      </c>
      <c r="B22" s="53">
        <f ca="1"/>
        <v>0.32222928000000001</v>
      </c>
      <c r="C22" s="54">
        <f ca="1"/>
        <v>3.853386</v>
      </c>
      <c r="D22" s="53">
        <f ca="1"/>
        <v>3.853386</v>
      </c>
      <c r="E22" s="52">
        <f ca="1"/>
        <v>0</v>
      </c>
      <c r="F22" s="55">
        <f ca="1"/>
        <v>13.74</v>
      </c>
      <c r="G22" s="55">
        <f ca="1"/>
        <v>13.74</v>
      </c>
      <c r="H22" s="55">
        <f ca="1"/>
        <v>0</v>
      </c>
      <c r="I22" s="55">
        <f ca="1"/>
        <v>0</v>
      </c>
      <c r="J22" s="55">
        <f ca="1"/>
        <v>0</v>
      </c>
      <c r="K22" s="55">
        <f ca="1"/>
        <v>-1.6</v>
      </c>
    </row>
    <row r="23" spans="1:11" x14ac:dyDescent="0.2">
      <c r="A23" s="53" t="str">
        <f ca="1"/>
        <v>RNDR</v>
      </c>
      <c r="B23" s="53">
        <f ca="1"/>
        <v>8.0536487900000004</v>
      </c>
      <c r="C23" s="54">
        <f ca="1"/>
        <v>0.80862630000000002</v>
      </c>
      <c r="D23" s="53">
        <f ca="1"/>
        <v>0.80862630999999996</v>
      </c>
      <c r="E23" s="52">
        <f ca="1"/>
        <v>0</v>
      </c>
      <c r="F23" s="55">
        <f ca="1"/>
        <v>2.98</v>
      </c>
      <c r="G23" s="55">
        <f ca="1"/>
        <v>2.98</v>
      </c>
      <c r="H23" s="55">
        <f ca="1"/>
        <v>0</v>
      </c>
      <c r="I23" s="55">
        <f ca="1"/>
        <v>0</v>
      </c>
      <c r="J23" s="55">
        <f ca="1"/>
        <v>0</v>
      </c>
      <c r="K23" s="55">
        <f ca="1"/>
        <v>-1.08</v>
      </c>
    </row>
    <row r="24" spans="1:11" x14ac:dyDescent="0.2">
      <c r="A24" s="53" t="str">
        <f ca="1"/>
        <v>NKN</v>
      </c>
      <c r="B24" s="53">
        <f ca="1"/>
        <v>0.12285822</v>
      </c>
      <c r="C24" s="54">
        <f ca="1"/>
        <v>36.42306705</v>
      </c>
      <c r="D24" s="53">
        <f ca="1"/>
        <v>36.42306705</v>
      </c>
      <c r="E24" s="52">
        <f ca="1"/>
        <v>0</v>
      </c>
      <c r="F24" s="55">
        <f ca="1"/>
        <v>9.8699999999999992</v>
      </c>
      <c r="G24" s="55">
        <f ca="1"/>
        <v>9.8699999999999992</v>
      </c>
      <c r="H24" s="55">
        <f ca="1"/>
        <v>0</v>
      </c>
      <c r="I24" s="55">
        <f ca="1"/>
        <v>0</v>
      </c>
      <c r="J24" s="55">
        <f ca="1"/>
        <v>0</v>
      </c>
      <c r="K24" s="55">
        <f ca="1"/>
        <v>-0.55000000000000004</v>
      </c>
    </row>
    <row r="25" spans="1:11" x14ac:dyDescent="0.2">
      <c r="A25" s="53" t="str">
        <f ca="1"/>
        <v>SHPING</v>
      </c>
      <c r="B25" s="53">
        <f ca="1"/>
        <v>8.8794900000000003E-3</v>
      </c>
      <c r="C25" s="54">
        <f ca="1"/>
        <v>1442.9762798199999</v>
      </c>
      <c r="D25" s="53">
        <f ca="1"/>
        <v>1442.9762798199999</v>
      </c>
      <c r="E25" s="52">
        <f ca="1"/>
        <v>0</v>
      </c>
      <c r="F25" s="55">
        <f ca="1"/>
        <v>52.39</v>
      </c>
      <c r="G25" s="55">
        <f ca="1"/>
        <v>52.39</v>
      </c>
      <c r="H25" s="55">
        <f ca="1"/>
        <v>0</v>
      </c>
      <c r="I25" s="55">
        <f ca="1"/>
        <v>0</v>
      </c>
      <c r="J25" s="55">
        <f ca="1"/>
        <v>0</v>
      </c>
      <c r="K25" s="55">
        <f ca="1"/>
        <v>-1.22</v>
      </c>
    </row>
    <row r="26" spans="1:11" x14ac:dyDescent="0.2">
      <c r="A26" s="53" t="str">
        <f ca="1"/>
        <v>TRAC</v>
      </c>
      <c r="B26" s="53">
        <f ca="1"/>
        <v>2.4762749199999998</v>
      </c>
      <c r="C26" s="54">
        <f ca="1"/>
        <v>37.85224736</v>
      </c>
      <c r="D26" s="53">
        <f ca="1"/>
        <v>37.85224736</v>
      </c>
      <c r="E26" s="52">
        <f ca="1"/>
        <v>0</v>
      </c>
      <c r="F26" s="55">
        <f ca="1"/>
        <v>24.45</v>
      </c>
      <c r="G26" s="55">
        <f ca="1"/>
        <v>24.45</v>
      </c>
      <c r="H26" s="55">
        <f ca="1"/>
        <v>0</v>
      </c>
      <c r="I26" s="55">
        <f ca="1"/>
        <v>0</v>
      </c>
      <c r="J26" s="55">
        <f ca="1"/>
        <v>0</v>
      </c>
      <c r="K26" s="55">
        <f ca="1"/>
        <v>-2.4700000000000002</v>
      </c>
    </row>
    <row r="27" spans="1:11" x14ac:dyDescent="0.2">
      <c r="A27" s="53" t="str">
        <f ca="1"/>
        <v>SUKU</v>
      </c>
      <c r="B27" s="53">
        <f ca="1"/>
        <v>0.19004230999999999</v>
      </c>
      <c r="C27" s="54">
        <f ca="1"/>
        <v>52.526181739999998</v>
      </c>
      <c r="D27" s="53">
        <f ca="1"/>
        <v>52.526181739999998</v>
      </c>
      <c r="E27" s="52">
        <f ca="1"/>
        <v>0</v>
      </c>
      <c r="F27" s="55">
        <f ca="1"/>
        <v>40.04</v>
      </c>
      <c r="G27" s="55">
        <f ca="1"/>
        <v>40.04</v>
      </c>
      <c r="H27" s="55">
        <f ca="1"/>
        <v>0</v>
      </c>
      <c r="I27" s="55">
        <f ca="1"/>
        <v>0</v>
      </c>
      <c r="J27" s="55">
        <f ca="1"/>
        <v>0</v>
      </c>
      <c r="K27" s="55">
        <f ca="1"/>
        <v>-16.52</v>
      </c>
    </row>
    <row r="28" spans="1:11" x14ac:dyDescent="0.2">
      <c r="A28" s="53" t="str">
        <f ca="1"/>
        <v>FARM</v>
      </c>
      <c r="B28" s="53">
        <f ca="1"/>
        <v>69.736399500000005</v>
      </c>
      <c r="C28" s="54">
        <f ca="1"/>
        <v>0.39812682900000002</v>
      </c>
      <c r="D28" s="53">
        <f ca="1"/>
        <v>0.39812682999999999</v>
      </c>
      <c r="E28" s="52">
        <f ca="1"/>
        <v>0</v>
      </c>
      <c r="F28" s="55">
        <f ca="1"/>
        <v>58.91</v>
      </c>
      <c r="G28" s="55">
        <f ca="1"/>
        <v>58.91</v>
      </c>
      <c r="H28" s="55">
        <f ca="1"/>
        <v>0</v>
      </c>
      <c r="I28" s="55">
        <f ca="1"/>
        <v>0</v>
      </c>
      <c r="J28" s="55">
        <f ca="1"/>
        <v>0</v>
      </c>
      <c r="K28" s="55">
        <f ca="1"/>
        <v>-18.87</v>
      </c>
    </row>
    <row r="29" spans="1:11" x14ac:dyDescent="0.2">
      <c r="A29" s="53" t="str">
        <f ca="1"/>
        <v>GRT</v>
      </c>
      <c r="B29" s="53">
        <f ca="1"/>
        <v>0.25717762</v>
      </c>
      <c r="C29" s="54">
        <f ca="1"/>
        <v>7.1263997500000009</v>
      </c>
      <c r="D29" s="53">
        <f ca="1"/>
        <v>7.1263997499999991</v>
      </c>
      <c r="E29" s="52">
        <f ca="1"/>
        <v>1.7763568394002505E-15</v>
      </c>
      <c r="F29" s="55">
        <f ca="1"/>
        <v>5</v>
      </c>
      <c r="G29" s="55">
        <f ca="1"/>
        <v>5</v>
      </c>
      <c r="H29" s="55">
        <f ca="1"/>
        <v>0</v>
      </c>
      <c r="I29" s="55">
        <f ca="1"/>
        <v>4.5683922422767863E-16</v>
      </c>
      <c r="J29" s="55">
        <f ca="1"/>
        <v>4.5683922422767863E-16</v>
      </c>
      <c r="K29" s="55">
        <f ca="1"/>
        <v>-0.33999999999999997</v>
      </c>
    </row>
    <row r="30" spans="1:11" x14ac:dyDescent="0.2">
      <c r="A30" s="53" t="str">
        <f ca="1"/>
        <v>POWR</v>
      </c>
      <c r="B30" s="53">
        <f ca="1"/>
        <v>0.29499175</v>
      </c>
      <c r="C30" s="54">
        <f ca="1"/>
        <v>78.847219999999993</v>
      </c>
      <c r="D30" s="53">
        <f ca="1"/>
        <v>78.847219999999993</v>
      </c>
      <c r="E30" s="52">
        <f ca="1"/>
        <v>0</v>
      </c>
      <c r="F30" s="55">
        <f ca="1"/>
        <v>49.04</v>
      </c>
      <c r="G30" s="55">
        <f ca="1"/>
        <v>49.04</v>
      </c>
      <c r="H30" s="55">
        <f ca="1"/>
        <v>0</v>
      </c>
      <c r="I30" s="55">
        <f ca="1"/>
        <v>0</v>
      </c>
      <c r="J30" s="55">
        <f ca="1"/>
        <v>0</v>
      </c>
      <c r="K30" s="55">
        <f ca="1"/>
        <v>-3.09</v>
      </c>
    </row>
    <row r="31" spans="1:11" x14ac:dyDescent="0.2">
      <c r="A31" s="53" t="str">
        <f ca="1"/>
        <v>GODS</v>
      </c>
      <c r="B31" s="53">
        <f ca="1"/>
        <v>0.22377256000000001</v>
      </c>
      <c r="C31" s="54">
        <f ca="1"/>
        <v>13.196624590000001</v>
      </c>
      <c r="D31" s="53">
        <f ca="1"/>
        <v>13.196624590000001</v>
      </c>
      <c r="E31" s="52">
        <f ca="1"/>
        <v>0</v>
      </c>
      <c r="F31" s="55">
        <f ca="1"/>
        <v>49.03</v>
      </c>
      <c r="G31" s="55">
        <f ca="1"/>
        <v>49.03</v>
      </c>
      <c r="H31" s="55">
        <f ca="1"/>
        <v>0</v>
      </c>
      <c r="I31" s="55">
        <f ca="1"/>
        <v>0</v>
      </c>
      <c r="J31" s="55">
        <f ca="1"/>
        <v>0</v>
      </c>
      <c r="K31" s="55">
        <f ca="1"/>
        <v>-7.53</v>
      </c>
    </row>
    <row r="32" spans="1:11" x14ac:dyDescent="0.2">
      <c r="A32" s="53" t="str">
        <f ca="1"/>
        <v>ASM</v>
      </c>
      <c r="B32" s="53">
        <f ca="1"/>
        <v>3.4386060000000003E-2</v>
      </c>
      <c r="C32" s="54">
        <f ca="1"/>
        <v>242.62441733</v>
      </c>
      <c r="D32" s="53">
        <f ca="1"/>
        <v>242.62441733</v>
      </c>
      <c r="E32" s="52">
        <f ca="1"/>
        <v>0</v>
      </c>
      <c r="F32" s="55">
        <f ca="1"/>
        <v>23.77</v>
      </c>
      <c r="G32" s="55">
        <f ca="1"/>
        <v>23.77</v>
      </c>
      <c r="H32" s="55">
        <f ca="1"/>
        <v>0</v>
      </c>
      <c r="I32" s="55">
        <f ca="1"/>
        <v>0</v>
      </c>
      <c r="J32" s="55">
        <f ca="1"/>
        <v>0</v>
      </c>
      <c r="K32" s="55">
        <f ca="1"/>
        <v>-3.05</v>
      </c>
    </row>
    <row r="33" spans="1:11" x14ac:dyDescent="0.2">
      <c r="A33" s="53" t="str">
        <f ca="1"/>
        <v>AMP</v>
      </c>
      <c r="B33" s="53">
        <f ca="1"/>
        <v>7.2599099999999996E-3</v>
      </c>
      <c r="C33" s="54">
        <f ca="1"/>
        <v>625.34742832000018</v>
      </c>
      <c r="D33" s="53">
        <f ca="1"/>
        <v>625.34742832000006</v>
      </c>
      <c r="E33" s="52">
        <f ca="1"/>
        <v>1.1368683772161603E-13</v>
      </c>
      <c r="F33" s="55">
        <f ca="1"/>
        <v>30.25</v>
      </c>
      <c r="G33" s="55">
        <f ca="1"/>
        <v>30.25</v>
      </c>
      <c r="H33" s="55">
        <f ca="1"/>
        <v>0</v>
      </c>
      <c r="I33" s="55">
        <f ca="1"/>
        <v>8.2535621004353739E-16</v>
      </c>
      <c r="J33" s="55">
        <f ca="1"/>
        <v>8.2535621004353739E-16</v>
      </c>
      <c r="K33" s="55">
        <f ca="1"/>
        <v>-3.4899999999999998</v>
      </c>
    </row>
    <row r="34" spans="1:11" x14ac:dyDescent="0.2">
      <c r="A34" s="53" t="str">
        <f ca="1"/>
        <v>ACH</v>
      </c>
      <c r="B34" s="53">
        <f ca="1"/>
        <v>3.3244030000000001E-2</v>
      </c>
      <c r="C34" s="54">
        <f ca="1"/>
        <v>465.85208393000005</v>
      </c>
      <c r="D34" s="53">
        <f ca="1"/>
        <v>465.85208394</v>
      </c>
      <c r="E34" s="52">
        <f ca="1"/>
        <v>0</v>
      </c>
      <c r="F34" s="55">
        <f ca="1"/>
        <v>29.380000000000003</v>
      </c>
      <c r="G34" s="55">
        <f ca="1"/>
        <v>29.38</v>
      </c>
      <c r="H34" s="55">
        <f ca="1"/>
        <v>3.5527136788005009E-15</v>
      </c>
      <c r="I34" s="55">
        <f ca="1"/>
        <v>0</v>
      </c>
      <c r="J34" s="55">
        <f ca="1"/>
        <v>-3.5527136788005009E-15</v>
      </c>
      <c r="K34" s="55">
        <f ca="1"/>
        <v>0.6</v>
      </c>
    </row>
    <row r="35" spans="1:11" x14ac:dyDescent="0.2">
      <c r="A35" s="53" t="str">
        <f ca="1"/>
        <v>MDT</v>
      </c>
      <c r="B35" s="53">
        <f ca="1"/>
        <v>7.6091229999999996E-2</v>
      </c>
      <c r="C35" s="54">
        <f ca="1"/>
        <v>132.27014911999999</v>
      </c>
      <c r="D35" s="53">
        <f ca="1"/>
        <v>132.27014912000001</v>
      </c>
      <c r="E35" s="52">
        <f ca="1"/>
        <v>0</v>
      </c>
      <c r="F35" s="55">
        <f ca="1"/>
        <v>19.670000000000002</v>
      </c>
      <c r="G35" s="55">
        <f ca="1"/>
        <v>19.670000000000002</v>
      </c>
      <c r="H35" s="55">
        <f ca="1"/>
        <v>0</v>
      </c>
      <c r="I35" s="55">
        <f ca="1"/>
        <v>0</v>
      </c>
      <c r="J35" s="55">
        <f ca="1"/>
        <v>0</v>
      </c>
      <c r="K35" s="55">
        <f ca="1"/>
        <v>-4.46</v>
      </c>
    </row>
    <row r="36" spans="1:11" x14ac:dyDescent="0.2">
      <c r="A36" s="53" t="str">
        <f ca="1"/>
        <v>COVAL</v>
      </c>
      <c r="B36" s="53">
        <f ca="1"/>
        <v>2.613735E-2</v>
      </c>
      <c r="C36" s="54">
        <f ca="1"/>
        <v>256.62583760999996</v>
      </c>
      <c r="D36" s="53">
        <f ca="1"/>
        <v>256.62583761000002</v>
      </c>
      <c r="E36" s="52">
        <f ca="1"/>
        <v>0</v>
      </c>
      <c r="F36" s="55">
        <f ca="1"/>
        <v>43.400000000000006</v>
      </c>
      <c r="G36" s="55">
        <f ca="1"/>
        <v>43.4</v>
      </c>
      <c r="H36" s="55">
        <f ca="1"/>
        <v>7.1054273576010019E-15</v>
      </c>
      <c r="I36" s="55">
        <f ca="1"/>
        <v>0</v>
      </c>
      <c r="J36" s="55">
        <f ca="1"/>
        <v>-7.1054273576010019E-15</v>
      </c>
      <c r="K36" s="55">
        <f ca="1"/>
        <v>3.69</v>
      </c>
    </row>
    <row r="37" spans="1:11" x14ac:dyDescent="0.2">
      <c r="A37" s="53" t="str">
        <f ca="1"/>
        <v>SPELL</v>
      </c>
      <c r="B37" s="53">
        <f ca="1"/>
        <v>8.8254999999999996E-4</v>
      </c>
      <c r="C37" s="54">
        <f ca="1"/>
        <v>2853.6429327400001</v>
      </c>
      <c r="D37" s="53">
        <f ca="1"/>
        <v>2853.6429327400001</v>
      </c>
      <c r="E37" s="52">
        <f ca="1"/>
        <v>0</v>
      </c>
      <c r="F37" s="55">
        <f ca="1"/>
        <v>51.66</v>
      </c>
      <c r="G37" s="55">
        <f ca="1"/>
        <v>51.66</v>
      </c>
      <c r="H37" s="55">
        <f ca="1"/>
        <v>0</v>
      </c>
      <c r="I37" s="55">
        <f ca="1"/>
        <v>0</v>
      </c>
      <c r="J37" s="55">
        <f ca="1"/>
        <v>0</v>
      </c>
      <c r="K37" s="55">
        <f ca="1"/>
        <v>-11.29</v>
      </c>
    </row>
    <row r="38" spans="1:11" x14ac:dyDescent="0.2">
      <c r="A38" s="53" t="str">
        <f ca="1"/>
        <v>IDEX</v>
      </c>
      <c r="B38" s="53">
        <f ca="1"/>
        <v>6.0346289999999997E-2</v>
      </c>
      <c r="C38" s="54">
        <f ca="1"/>
        <v>27.310846389999998</v>
      </c>
      <c r="D38" s="53">
        <f ca="1"/>
        <v>27.310846389999998</v>
      </c>
      <c r="E38" s="52">
        <f ca="1"/>
        <v>0</v>
      </c>
      <c r="F38" s="55">
        <f ca="1"/>
        <v>9.6999999999999993</v>
      </c>
      <c r="G38" s="55">
        <f ca="1"/>
        <v>9.6999999999999993</v>
      </c>
      <c r="H38" s="55">
        <f ca="1"/>
        <v>0</v>
      </c>
      <c r="I38" s="55">
        <f ca="1"/>
        <v>0</v>
      </c>
      <c r="J38" s="55">
        <f ca="1"/>
        <v>0</v>
      </c>
      <c r="K38" s="55">
        <f ca="1"/>
        <v>-0.23</v>
      </c>
    </row>
    <row r="39" spans="1:11" x14ac:dyDescent="0.2">
      <c r="A39" s="53" t="str">
        <f ca="1"/>
        <v>IOTX</v>
      </c>
      <c r="B39" s="53">
        <f ca="1"/>
        <v>5.4525749999999998E-2</v>
      </c>
      <c r="C39" s="54">
        <f ca="1"/>
        <v>16.80154576</v>
      </c>
      <c r="D39" s="53">
        <f ca="1"/>
        <v>16.801545770000001</v>
      </c>
      <c r="E39" s="52">
        <f ca="1"/>
        <v>0</v>
      </c>
      <c r="F39" s="55">
        <f ca="1"/>
        <v>2.98</v>
      </c>
      <c r="G39" s="55">
        <f ca="1"/>
        <v>2.98</v>
      </c>
      <c r="H39" s="55">
        <f ca="1"/>
        <v>0</v>
      </c>
      <c r="I39" s="55">
        <f ca="1"/>
        <v>0</v>
      </c>
      <c r="J39" s="55">
        <f ca="1"/>
        <v>0</v>
      </c>
      <c r="K39" s="55">
        <f ca="1"/>
        <v>0.02</v>
      </c>
    </row>
    <row r="40" spans="1:11" x14ac:dyDescent="0.2">
      <c r="A40" s="53" t="str">
        <f ca="1"/>
        <v>FET</v>
      </c>
      <c r="B40" s="53">
        <f ca="1"/>
        <v>2.1257302899999999</v>
      </c>
      <c r="C40" s="54">
        <f ca="1"/>
        <v>4.4508185500000002</v>
      </c>
      <c r="D40" s="53">
        <f ca="1"/>
        <v>4.4508185500000002</v>
      </c>
      <c r="E40" s="52">
        <f ca="1"/>
        <v>0</v>
      </c>
      <c r="F40" s="55">
        <f ca="1"/>
        <v>3</v>
      </c>
      <c r="G40" s="55">
        <f ca="1"/>
        <v>3</v>
      </c>
      <c r="H40" s="55">
        <f ca="1"/>
        <v>0</v>
      </c>
      <c r="I40" s="55">
        <f ca="1"/>
        <v>0</v>
      </c>
      <c r="J40" s="55">
        <f ca="1"/>
        <v>0</v>
      </c>
      <c r="K40" s="55">
        <f ca="1"/>
        <v>-0.01</v>
      </c>
    </row>
    <row r="41" spans="1:11" x14ac:dyDescent="0.2">
      <c r="A41" s="53" t="str">
        <f ca="1"/>
        <v>ANKR</v>
      </c>
      <c r="B41" s="53">
        <f ca="1"/>
        <v>4.6373900000000003E-2</v>
      </c>
      <c r="C41" s="54">
        <f ca="1"/>
        <v>25.615779320000001</v>
      </c>
      <c r="D41" s="53">
        <f ca="1"/>
        <v>25.615779329999999</v>
      </c>
      <c r="E41" s="52">
        <f ca="1"/>
        <v>0</v>
      </c>
      <c r="F41" s="55">
        <f ca="1"/>
        <v>4</v>
      </c>
      <c r="G41" s="55">
        <f ca="1"/>
        <v>4</v>
      </c>
      <c r="H41" s="55">
        <f ca="1"/>
        <v>0</v>
      </c>
      <c r="I41" s="55">
        <f ca="1"/>
        <v>0</v>
      </c>
      <c r="J41" s="55">
        <f ca="1"/>
        <v>0</v>
      </c>
      <c r="K41" s="55">
        <f ca="1"/>
        <v>-0.14000000000000001</v>
      </c>
    </row>
    <row r="42" spans="1:11" x14ac:dyDescent="0.2">
      <c r="A42" s="53" t="str">
        <f ca="1"/>
        <v>CLV</v>
      </c>
      <c r="B42" s="53">
        <f ca="1"/>
        <v>7.9390719999999998E-2</v>
      </c>
      <c r="C42" s="54">
        <f ca="1"/>
        <v>4.3668122</v>
      </c>
      <c r="D42" s="53">
        <f ca="1"/>
        <v>4.3668122199999999</v>
      </c>
      <c r="E42" s="52">
        <f ca="1"/>
        <v>0</v>
      </c>
      <c r="F42" s="55">
        <f ca="1"/>
        <v>5</v>
      </c>
      <c r="G42" s="55">
        <f ca="1"/>
        <v>5</v>
      </c>
      <c r="H42" s="55">
        <f ca="1"/>
        <v>0</v>
      </c>
      <c r="I42" s="55">
        <f ca="1"/>
        <v>0</v>
      </c>
      <c r="J42" s="55">
        <f ca="1"/>
        <v>0</v>
      </c>
      <c r="K42" s="55">
        <f ca="1"/>
        <v>-0.13</v>
      </c>
    </row>
    <row r="43" spans="1:11" x14ac:dyDescent="0.2">
      <c r="D43" s="47"/>
    </row>
  </sheetData>
  <conditionalFormatting sqref="C1:E1048576">
    <cfRule type="notContainsBlanks" dxfId="4" priority="5">
      <formula>LEN(TRIM(C1))&gt;0</formula>
    </cfRule>
  </conditionalFormatting>
  <conditionalFormatting sqref="F1:I1048576">
    <cfRule type="notContainsBlanks" dxfId="3" priority="8">
      <formula>LEN(TRIM(F1))&gt;0</formula>
    </cfRule>
  </conditionalFormatting>
  <conditionalFormatting sqref="J1:J42">
    <cfRule type="notContainsBlanks" dxfId="2" priority="7">
      <formula>LEN(TRIM(J1))&gt;0</formula>
    </cfRule>
  </conditionalFormatting>
  <conditionalFormatting sqref="A1:B1048576">
    <cfRule type="notContainsBlanks" dxfId="1" priority="2">
      <formula>LEN(TRIM(A1))&gt;0</formula>
    </cfRule>
  </conditionalFormatting>
  <conditionalFormatting sqref="K1:K1048576">
    <cfRule type="notContainsBlanks" dxfId="0" priority="1">
      <formula>LEN(TRIM(K1))&gt;0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7CD883-1095-6A41-8961-72F893D33B2E}">
  <sheetPr codeName="Sheet9"/>
  <dimension ref="A3:AM36"/>
  <sheetViews>
    <sheetView zoomScale="68" workbookViewId="0">
      <selection activeCell="T4" sqref="T4:U4"/>
    </sheetView>
  </sheetViews>
  <sheetFormatPr baseColWidth="10" defaultRowHeight="16" x14ac:dyDescent="0.2"/>
  <cols>
    <col min="1" max="1" width="10.7109375" style="35"/>
    <col min="2" max="2" width="13.7109375" style="35" customWidth="1"/>
    <col min="3" max="3" width="11.85546875" style="35" customWidth="1"/>
    <col min="4" max="4" width="10.7109375" style="35"/>
    <col min="5" max="5" width="12.28515625" style="35" customWidth="1"/>
    <col min="6" max="6" width="10.7109375" style="35"/>
    <col min="7" max="7" width="9.28515625" style="35" customWidth="1"/>
    <col min="8" max="8" width="16.85546875" style="35" customWidth="1"/>
    <col min="9" max="9" width="10.85546875" style="35" customWidth="1"/>
    <col min="10" max="10" width="18.7109375" style="35" customWidth="1"/>
    <col min="11" max="11" width="12" style="35" customWidth="1"/>
    <col min="12" max="12" width="13" style="35" customWidth="1"/>
    <col min="13" max="13" width="22" style="35" customWidth="1"/>
    <col min="14" max="14" width="10.7109375" style="35"/>
    <col min="15" max="15" width="19.85546875" style="35" customWidth="1"/>
    <col min="16" max="16" width="17.140625" style="35" customWidth="1"/>
    <col min="17" max="17" width="12.28515625" style="35" customWidth="1"/>
    <col min="18" max="18" width="10.7109375" style="35"/>
    <col min="19" max="19" width="11.42578125" style="35" customWidth="1"/>
    <col min="20" max="20" width="15.42578125" style="35" customWidth="1"/>
    <col min="21" max="24" width="10.7109375" style="35"/>
    <col min="25" max="25" width="18" style="35" customWidth="1"/>
    <col min="26" max="16384" width="10.7109375" style="35"/>
  </cols>
  <sheetData>
    <row r="3" spans="1:39" ht="33" thickBot="1" x14ac:dyDescent="0.4">
      <c r="B3" s="304" t="s">
        <v>139</v>
      </c>
      <c r="C3" s="304"/>
      <c r="D3" s="304"/>
      <c r="E3" s="304"/>
      <c r="H3" s="233" t="s">
        <v>138</v>
      </c>
      <c r="I3" s="234"/>
      <c r="J3" s="234"/>
      <c r="K3" s="234"/>
      <c r="L3" s="234"/>
      <c r="M3" s="235"/>
      <c r="O3" s="149" t="s">
        <v>137</v>
      </c>
      <c r="P3" s="241">
        <f ca="1">IF(P4+T4 &gt;-3000, P4 + T4, -3000)</f>
        <v>823.59107048620172</v>
      </c>
      <c r="Q3" s="261"/>
      <c r="R3" s="240" t="s">
        <v>136</v>
      </c>
      <c r="S3" s="240"/>
      <c r="T3" s="241">
        <v>50000</v>
      </c>
      <c r="U3" s="283"/>
    </row>
    <row r="4" spans="1:39" ht="34" thickTop="1" thickBot="1" x14ac:dyDescent="0.4">
      <c r="B4" s="305" t="s">
        <v>117</v>
      </c>
      <c r="C4" s="306"/>
      <c r="D4" s="307" t="s">
        <v>116</v>
      </c>
      <c r="E4" s="308"/>
      <c r="H4" s="255" t="s">
        <v>135</v>
      </c>
      <c r="I4" s="256"/>
      <c r="J4" s="255" t="s">
        <v>134</v>
      </c>
      <c r="K4" s="256"/>
      <c r="L4" s="255" t="s">
        <v>133</v>
      </c>
      <c r="M4" s="256"/>
      <c r="N4" s="148"/>
      <c r="O4" s="147" t="s">
        <v>132</v>
      </c>
      <c r="P4" s="241">
        <f ca="1">'Transactions (After Sales)'!K11</f>
        <v>846.61561915619495</v>
      </c>
      <c r="Q4" s="241"/>
      <c r="R4" s="240" t="s">
        <v>131</v>
      </c>
      <c r="S4" s="240"/>
      <c r="T4" s="241">
        <f ca="1">'Transactions (After Sales)'!N11</f>
        <v>-23.024548669993237</v>
      </c>
      <c r="U4" s="242"/>
      <c r="Y4" s="50"/>
      <c r="AM4" s="35" t="s">
        <v>130</v>
      </c>
    </row>
    <row r="5" spans="1:39" ht="20" thickTop="1" x14ac:dyDescent="0.2">
      <c r="A5" s="35">
        <v>1</v>
      </c>
      <c r="B5" s="309" t="s">
        <v>129</v>
      </c>
      <c r="C5" s="310"/>
      <c r="D5" s="311">
        <v>0</v>
      </c>
      <c r="E5" s="312"/>
      <c r="H5" s="257">
        <v>12000</v>
      </c>
      <c r="I5" s="258"/>
      <c r="J5" s="257">
        <v>100000</v>
      </c>
      <c r="K5" s="258"/>
      <c r="L5" s="284" t="s">
        <v>128</v>
      </c>
      <c r="M5" s="285"/>
      <c r="AM5" s="35" t="s">
        <v>128</v>
      </c>
    </row>
    <row r="6" spans="1:39" ht="34" customHeight="1" x14ac:dyDescent="0.2">
      <c r="A6" s="146">
        <v>2</v>
      </c>
      <c r="B6" s="294" t="s">
        <v>127</v>
      </c>
      <c r="C6" s="295"/>
      <c r="D6" s="313">
        <v>0.15</v>
      </c>
      <c r="E6" s="314"/>
      <c r="H6" s="259"/>
      <c r="I6" s="260"/>
      <c r="J6" s="259"/>
      <c r="K6" s="260"/>
      <c r="L6" s="286"/>
      <c r="M6" s="287"/>
      <c r="O6" s="289" t="s">
        <v>113</v>
      </c>
      <c r="P6" s="290"/>
      <c r="Q6" s="290"/>
      <c r="R6" s="137"/>
      <c r="S6" s="137"/>
      <c r="T6" s="137"/>
      <c r="U6" s="136"/>
    </row>
    <row r="7" spans="1:39" ht="26" thickBot="1" x14ac:dyDescent="0.3">
      <c r="A7" s="35">
        <v>3</v>
      </c>
      <c r="B7" s="300" t="s">
        <v>126</v>
      </c>
      <c r="C7" s="301"/>
      <c r="D7" s="315">
        <v>0.2</v>
      </c>
      <c r="E7" s="316"/>
      <c r="H7" s="255" t="s">
        <v>125</v>
      </c>
      <c r="I7" s="256"/>
      <c r="J7" s="255" t="s">
        <v>124</v>
      </c>
      <c r="K7" s="256"/>
      <c r="L7" s="255" t="s">
        <v>123</v>
      </c>
      <c r="M7" s="256"/>
      <c r="O7" s="145" t="s">
        <v>105</v>
      </c>
      <c r="P7" s="244" t="s">
        <v>104</v>
      </c>
      <c r="Q7" s="244"/>
      <c r="R7" s="244" t="s">
        <v>103</v>
      </c>
      <c r="S7" s="244"/>
      <c r="T7" s="244" t="s">
        <v>102</v>
      </c>
      <c r="U7" s="245"/>
    </row>
    <row r="8" spans="1:39" ht="24" thickTop="1" x14ac:dyDescent="0.25">
      <c r="H8" s="284" t="s">
        <v>122</v>
      </c>
      <c r="I8" s="285"/>
      <c r="J8" s="236">
        <v>50000</v>
      </c>
      <c r="K8" s="237"/>
      <c r="L8" s="284" t="s">
        <v>121</v>
      </c>
      <c r="M8" s="285"/>
      <c r="O8" s="130" t="s">
        <v>99</v>
      </c>
      <c r="P8" s="252">
        <f ca="1">IF(T4=0, 0.05, 0.085)</f>
        <v>8.5000000000000006E-2</v>
      </c>
      <c r="Q8" s="252"/>
      <c r="R8" s="243">
        <f ca="1">T8/P3</f>
        <v>4.90215299408552E-2</v>
      </c>
      <c r="S8" s="243"/>
      <c r="T8" s="250">
        <f ca="1">(0.05*P4)+(0.085*T4)</f>
        <v>40.373694320860324</v>
      </c>
      <c r="U8" s="251"/>
    </row>
    <row r="9" spans="1:39" ht="23" x14ac:dyDescent="0.25">
      <c r="H9" s="286"/>
      <c r="I9" s="287"/>
      <c r="J9" s="238"/>
      <c r="K9" s="239"/>
      <c r="L9" s="286"/>
      <c r="M9" s="287"/>
      <c r="O9" s="130" t="s">
        <v>97</v>
      </c>
      <c r="P9" s="252">
        <f ca="1">IF(O25&gt;O26,O25,O26)</f>
        <v>0</v>
      </c>
      <c r="Q9" s="252"/>
      <c r="R9" s="252">
        <f ca="1">T9/P3</f>
        <v>0</v>
      </c>
      <c r="S9" s="252"/>
      <c r="T9" s="250">
        <f ca="1">Q25+Q26</f>
        <v>0</v>
      </c>
      <c r="U9" s="251"/>
    </row>
    <row r="10" spans="1:39" ht="25" x14ac:dyDescent="0.25">
      <c r="H10" s="255" t="s">
        <v>120</v>
      </c>
      <c r="I10" s="256"/>
      <c r="J10" s="255" t="s">
        <v>117</v>
      </c>
      <c r="K10" s="256"/>
      <c r="L10" s="255" t="s">
        <v>119</v>
      </c>
      <c r="M10" s="256"/>
      <c r="O10" s="144"/>
      <c r="P10" s="143"/>
      <c r="Q10" s="143"/>
      <c r="R10" s="143"/>
      <c r="S10" s="143"/>
      <c r="T10" s="143"/>
      <c r="U10" s="142"/>
    </row>
    <row r="11" spans="1:39" ht="26" thickBot="1" x14ac:dyDescent="0.3">
      <c r="B11" s="304" t="s">
        <v>118</v>
      </c>
      <c r="C11" s="304"/>
      <c r="D11" s="304"/>
      <c r="E11" s="304"/>
      <c r="H11" s="236">
        <f>J8+J5-H5</f>
        <v>138000</v>
      </c>
      <c r="I11" s="237"/>
      <c r="J11" s="236">
        <f>H11-B22</f>
        <v>123400</v>
      </c>
      <c r="K11" s="237"/>
      <c r="L11" s="236">
        <f>J5-H5</f>
        <v>88000</v>
      </c>
      <c r="M11" s="237"/>
      <c r="O11" s="253" t="s">
        <v>95</v>
      </c>
      <c r="P11" s="254"/>
      <c r="Q11" s="121"/>
      <c r="R11" s="121"/>
      <c r="S11" s="121"/>
      <c r="T11" s="275">
        <f ca="1">T8+T9</f>
        <v>40.373694320860324</v>
      </c>
      <c r="U11" s="276"/>
    </row>
    <row r="12" spans="1:39" ht="27" thickTop="1" thickBot="1" x14ac:dyDescent="0.3">
      <c r="B12" s="331" t="s">
        <v>117</v>
      </c>
      <c r="C12" s="332"/>
      <c r="D12" s="302" t="s">
        <v>116</v>
      </c>
      <c r="E12" s="303"/>
      <c r="H12" s="238"/>
      <c r="I12" s="239"/>
      <c r="J12" s="238"/>
      <c r="K12" s="239"/>
      <c r="L12" s="238"/>
      <c r="M12" s="239"/>
      <c r="O12" s="141" t="s">
        <v>94</v>
      </c>
      <c r="P12" s="119"/>
      <c r="Q12" s="119"/>
      <c r="R12" s="119"/>
      <c r="S12" s="119"/>
      <c r="T12" s="277">
        <f ca="1">P3-T11</f>
        <v>783.21737616534142</v>
      </c>
      <c r="U12" s="278"/>
    </row>
    <row r="13" spans="1:39" ht="29" customHeight="1" thickTop="1" x14ac:dyDescent="0.2">
      <c r="A13" s="35">
        <v>1</v>
      </c>
      <c r="B13" s="309" t="s">
        <v>115</v>
      </c>
      <c r="C13" s="310"/>
      <c r="D13" s="296">
        <v>0.1</v>
      </c>
      <c r="E13" s="297"/>
      <c r="H13" s="140"/>
      <c r="I13" s="139"/>
      <c r="J13" s="138"/>
      <c r="K13" s="138"/>
      <c r="L13" s="138"/>
      <c r="M13" s="138"/>
    </row>
    <row r="14" spans="1:39" ht="32" customHeight="1" x14ac:dyDescent="0.25">
      <c r="A14" s="35">
        <v>2</v>
      </c>
      <c r="B14" s="317" t="s">
        <v>114</v>
      </c>
      <c r="C14" s="318"/>
      <c r="D14" s="298">
        <v>0.12</v>
      </c>
      <c r="E14" s="299"/>
      <c r="H14" s="323" t="s">
        <v>113</v>
      </c>
      <c r="I14" s="324"/>
      <c r="J14" s="324"/>
      <c r="K14" s="137"/>
      <c r="L14" s="137"/>
      <c r="M14" s="136"/>
      <c r="O14" s="135" t="s">
        <v>106</v>
      </c>
      <c r="P14" s="134"/>
      <c r="Q14" s="134"/>
      <c r="R14" s="117"/>
      <c r="S14" s="117"/>
      <c r="T14" s="117"/>
      <c r="U14" s="116"/>
    </row>
    <row r="15" spans="1:39" ht="23" x14ac:dyDescent="0.25">
      <c r="A15" s="35">
        <v>3</v>
      </c>
      <c r="B15" s="309" t="s">
        <v>112</v>
      </c>
      <c r="C15" s="310"/>
      <c r="D15" s="296">
        <v>0.22</v>
      </c>
      <c r="E15" s="297"/>
      <c r="H15" s="133" t="s">
        <v>105</v>
      </c>
      <c r="I15" s="293" t="s">
        <v>104</v>
      </c>
      <c r="J15" s="293"/>
      <c r="K15" s="293" t="s">
        <v>103</v>
      </c>
      <c r="L15" s="293"/>
      <c r="M15" s="132" t="s">
        <v>102</v>
      </c>
      <c r="O15" s="131" t="s">
        <v>105</v>
      </c>
      <c r="P15" s="264" t="s">
        <v>104</v>
      </c>
      <c r="Q15" s="264"/>
      <c r="R15" s="264" t="s">
        <v>103</v>
      </c>
      <c r="S15" s="264"/>
      <c r="T15" s="264" t="s">
        <v>102</v>
      </c>
      <c r="U15" s="265"/>
    </row>
    <row r="16" spans="1:39" ht="23" x14ac:dyDescent="0.25">
      <c r="A16" s="35">
        <v>4</v>
      </c>
      <c r="B16" s="317" t="s">
        <v>111</v>
      </c>
      <c r="C16" s="318"/>
      <c r="D16" s="298">
        <v>0.24</v>
      </c>
      <c r="E16" s="299"/>
      <c r="H16" s="130" t="s">
        <v>99</v>
      </c>
      <c r="I16" s="252">
        <f>IF(L5="More than a year", C25,C26)</f>
        <v>8.5000000000000006E-2</v>
      </c>
      <c r="J16" s="252"/>
      <c r="K16" s="243">
        <f>I16</f>
        <v>8.5000000000000006E-2</v>
      </c>
      <c r="L16" s="243"/>
      <c r="M16" s="129">
        <f>IF(L5="More than a year", (J5-H5)*C25,(J5-H5)*C26)</f>
        <v>7480.0000000000009</v>
      </c>
      <c r="O16" s="128" t="s">
        <v>99</v>
      </c>
      <c r="P16" s="270">
        <f>C25</f>
        <v>0.05</v>
      </c>
      <c r="Q16" s="270"/>
      <c r="R16" s="271">
        <f>C25</f>
        <v>0.05</v>
      </c>
      <c r="S16" s="272"/>
      <c r="T16" s="266">
        <f>P16*J8</f>
        <v>2500</v>
      </c>
      <c r="U16" s="267"/>
    </row>
    <row r="17" spans="1:21" ht="23" x14ac:dyDescent="0.25">
      <c r="A17" s="35">
        <v>5</v>
      </c>
      <c r="B17" s="319" t="s">
        <v>110</v>
      </c>
      <c r="C17" s="320"/>
      <c r="D17" s="296">
        <v>0.32</v>
      </c>
      <c r="E17" s="297"/>
      <c r="H17" s="130" t="s">
        <v>97</v>
      </c>
      <c r="I17" s="252">
        <f>H36</f>
        <v>0.24</v>
      </c>
      <c r="J17" s="252"/>
      <c r="K17" s="252">
        <f>I36</f>
        <v>0.21184659090909091</v>
      </c>
      <c r="L17" s="252"/>
      <c r="M17" s="129">
        <f>J36</f>
        <v>18642.5</v>
      </c>
      <c r="O17" s="128" t="s">
        <v>97</v>
      </c>
      <c r="P17" s="270">
        <f>O27</f>
        <v>0.12</v>
      </c>
      <c r="Q17" s="270"/>
      <c r="R17" s="270">
        <f>P27</f>
        <v>8.0320000000000003E-2</v>
      </c>
      <c r="S17" s="270"/>
      <c r="T17" s="268">
        <f>Q27</f>
        <v>4016</v>
      </c>
      <c r="U17" s="269"/>
    </row>
    <row r="18" spans="1:21" ht="19" x14ac:dyDescent="0.2">
      <c r="A18" s="35">
        <v>6</v>
      </c>
      <c r="B18" s="321" t="s">
        <v>109</v>
      </c>
      <c r="C18" s="322"/>
      <c r="D18" s="298">
        <v>0.35</v>
      </c>
      <c r="E18" s="299"/>
      <c r="H18" s="127"/>
      <c r="I18" s="126"/>
      <c r="J18" s="126"/>
      <c r="K18" s="126"/>
      <c r="L18" s="126"/>
      <c r="M18" s="125"/>
      <c r="O18" s="124"/>
      <c r="P18" s="123"/>
      <c r="Q18" s="123"/>
      <c r="R18" s="123"/>
      <c r="S18" s="123"/>
      <c r="T18" s="123"/>
      <c r="U18" s="122"/>
    </row>
    <row r="19" spans="1:21" ht="26" thickBot="1" x14ac:dyDescent="0.3">
      <c r="A19" s="35">
        <v>7</v>
      </c>
      <c r="B19" s="335" t="s">
        <v>108</v>
      </c>
      <c r="C19" s="336"/>
      <c r="D19" s="333">
        <v>0.37</v>
      </c>
      <c r="E19" s="334"/>
      <c r="H19" s="253" t="s">
        <v>95</v>
      </c>
      <c r="I19" s="254"/>
      <c r="J19" s="121"/>
      <c r="K19" s="121"/>
      <c r="L19" s="121"/>
      <c r="M19" s="120">
        <f>M16+M17</f>
        <v>26122.5</v>
      </c>
      <c r="O19" s="273" t="s">
        <v>95</v>
      </c>
      <c r="P19" s="274"/>
      <c r="Q19" s="274"/>
      <c r="R19" s="104"/>
      <c r="S19" s="104"/>
      <c r="T19" s="279">
        <f>T16+T17</f>
        <v>6516</v>
      </c>
      <c r="U19" s="280"/>
    </row>
    <row r="20" spans="1:21" ht="26" thickTop="1" x14ac:dyDescent="0.25">
      <c r="H20" s="291" t="s">
        <v>94</v>
      </c>
      <c r="I20" s="292"/>
      <c r="J20" s="119"/>
      <c r="K20" s="119"/>
      <c r="L20" s="119"/>
      <c r="M20" s="118">
        <f>L11-M19</f>
        <v>61877.5</v>
      </c>
      <c r="O20" s="262" t="s">
        <v>94</v>
      </c>
      <c r="P20" s="263"/>
      <c r="Q20" s="263"/>
      <c r="R20" s="102"/>
      <c r="S20" s="102"/>
      <c r="T20" s="281">
        <f>J8-T19</f>
        <v>43484</v>
      </c>
      <c r="U20" s="282"/>
    </row>
    <row r="21" spans="1:21" ht="33" customHeight="1" x14ac:dyDescent="0.25">
      <c r="B21" s="325" t="s">
        <v>107</v>
      </c>
      <c r="C21" s="325"/>
      <c r="D21" s="325"/>
      <c r="E21" s="325"/>
    </row>
    <row r="22" spans="1:21" ht="25" x14ac:dyDescent="0.25">
      <c r="B22" s="326">
        <v>14600</v>
      </c>
      <c r="C22" s="326"/>
      <c r="D22" s="326"/>
      <c r="H22" s="328" t="s">
        <v>106</v>
      </c>
      <c r="I22" s="329"/>
      <c r="J22" s="329"/>
      <c r="K22" s="117"/>
      <c r="L22" s="117"/>
      <c r="M22" s="116"/>
      <c r="O22" s="98" t="s">
        <v>93</v>
      </c>
      <c r="P22" s="97"/>
      <c r="Q22" s="97"/>
      <c r="R22" s="97"/>
      <c r="S22" s="97"/>
      <c r="T22" s="248">
        <f ca="1">T19+T11</f>
        <v>6556.3736943208605</v>
      </c>
      <c r="U22" s="249"/>
    </row>
    <row r="23" spans="1:21" ht="25" x14ac:dyDescent="0.25">
      <c r="H23" s="115" t="s">
        <v>105</v>
      </c>
      <c r="I23" s="330" t="s">
        <v>104</v>
      </c>
      <c r="J23" s="330"/>
      <c r="K23" s="330" t="s">
        <v>103</v>
      </c>
      <c r="L23" s="330"/>
      <c r="M23" s="114" t="s">
        <v>102</v>
      </c>
      <c r="O23" s="95" t="s">
        <v>101</v>
      </c>
      <c r="P23" s="94"/>
      <c r="Q23" s="94"/>
      <c r="R23" s="94"/>
      <c r="S23" s="94"/>
      <c r="T23" s="246">
        <f ca="1">J8+P3-T22</f>
        <v>44267.217376165339</v>
      </c>
      <c r="U23" s="247"/>
    </row>
    <row r="24" spans="1:21" ht="23" x14ac:dyDescent="0.25">
      <c r="B24" s="327" t="s">
        <v>100</v>
      </c>
      <c r="C24" s="327"/>
      <c r="H24" s="111" t="s">
        <v>99</v>
      </c>
      <c r="I24" s="270">
        <f>C25</f>
        <v>0.05</v>
      </c>
      <c r="J24" s="270"/>
      <c r="K24" s="271">
        <f>C25</f>
        <v>0.05</v>
      </c>
      <c r="L24" s="272"/>
      <c r="M24" s="113">
        <f>I24*J8</f>
        <v>2500</v>
      </c>
      <c r="O24" s="288"/>
      <c r="P24" s="288"/>
      <c r="Q24" s="288"/>
      <c r="R24" s="288"/>
    </row>
    <row r="25" spans="1:21" ht="23" x14ac:dyDescent="0.25">
      <c r="B25" s="106" t="s">
        <v>98</v>
      </c>
      <c r="C25" s="112">
        <v>0.05</v>
      </c>
      <c r="H25" s="111" t="s">
        <v>97</v>
      </c>
      <c r="I25" s="270">
        <f>H35</f>
        <v>0.12</v>
      </c>
      <c r="J25" s="270"/>
      <c r="K25" s="270">
        <f>I35</f>
        <v>8.0320000000000003E-2</v>
      </c>
      <c r="L25" s="270"/>
      <c r="M25" s="110">
        <f>J35</f>
        <v>4016</v>
      </c>
      <c r="O25" s="71" cm="1">
        <f t="array" aca="1" ref="O25:Q25" ca="1">capitalGainsTax(T4,T3-B22,"Less than a year")</f>
        <v>0</v>
      </c>
      <c r="P25" s="71">
        <f ca="1"/>
        <v>0</v>
      </c>
      <c r="Q25" s="71">
        <f ca="1"/>
        <v>0</v>
      </c>
    </row>
    <row r="26" spans="1:21" ht="19" x14ac:dyDescent="0.2">
      <c r="B26" s="109" t="s">
        <v>96</v>
      </c>
      <c r="C26" s="108">
        <v>8.5000000000000006E-2</v>
      </c>
      <c r="H26" s="107"/>
      <c r="I26" s="106"/>
      <c r="J26" s="106"/>
      <c r="K26" s="106"/>
      <c r="L26" s="106"/>
      <c r="M26" s="105"/>
      <c r="O26" s="71" cm="1">
        <f t="array" aca="1" ref="O26:Q26" ca="1">capitalGainsTax(P4,T3-B22+T4,"More than a year")</f>
        <v>0</v>
      </c>
      <c r="P26" s="71">
        <f ca="1"/>
        <v>0</v>
      </c>
      <c r="Q26" s="71">
        <f ca="1"/>
        <v>0</v>
      </c>
    </row>
    <row r="27" spans="1:21" ht="25" x14ac:dyDescent="0.25">
      <c r="H27" s="273" t="s">
        <v>95</v>
      </c>
      <c r="I27" s="274"/>
      <c r="J27" s="274"/>
      <c r="K27" s="104"/>
      <c r="L27" s="104"/>
      <c r="M27" s="103">
        <f>M24+M25</f>
        <v>6516</v>
      </c>
      <c r="O27" s="71" cm="1">
        <f t="array" ref="O27:Q27">regularWageTax(T3-B22)</f>
        <v>0.12</v>
      </c>
      <c r="P27" s="71">
        <v>8.0320000000000003E-2</v>
      </c>
      <c r="Q27" s="71">
        <v>4016</v>
      </c>
    </row>
    <row r="28" spans="1:21" ht="25" x14ac:dyDescent="0.25">
      <c r="H28" s="262" t="s">
        <v>94</v>
      </c>
      <c r="I28" s="263"/>
      <c r="J28" s="263"/>
      <c r="K28" s="102"/>
      <c r="L28" s="102"/>
      <c r="M28" s="101">
        <f>J8-M27</f>
        <v>43484</v>
      </c>
    </row>
    <row r="30" spans="1:21" ht="25" x14ac:dyDescent="0.25">
      <c r="M30" s="100"/>
      <c r="N30" s="99"/>
    </row>
    <row r="31" spans="1:21" ht="25" x14ac:dyDescent="0.25">
      <c r="H31" s="98" t="s">
        <v>93</v>
      </c>
      <c r="I31" s="97"/>
      <c r="J31" s="97"/>
      <c r="K31" s="97"/>
      <c r="L31" s="248">
        <f>M27+M19</f>
        <v>32638.5</v>
      </c>
      <c r="M31" s="248"/>
      <c r="N31" s="96"/>
    </row>
    <row r="32" spans="1:21" ht="25" x14ac:dyDescent="0.25">
      <c r="H32" s="95" t="s">
        <v>92</v>
      </c>
      <c r="I32" s="94"/>
      <c r="J32" s="94"/>
      <c r="K32" s="94"/>
      <c r="L32" s="246">
        <f>H11-L31</f>
        <v>105361.5</v>
      </c>
      <c r="M32" s="247"/>
    </row>
    <row r="35" spans="8:10" x14ac:dyDescent="0.2">
      <c r="H35" s="71" cm="1">
        <f t="array" ref="H35:J35">regularWageTax(J11-L11)</f>
        <v>0.12</v>
      </c>
      <c r="I35" s="71">
        <v>8.0320000000000003E-2</v>
      </c>
      <c r="J35" s="71">
        <v>4016</v>
      </c>
    </row>
    <row r="36" spans="8:10" x14ac:dyDescent="0.2">
      <c r="H36" s="71" cm="1">
        <f t="array" ref="H36:J36">capitalGainsTax(L11,J11-L11,L5)</f>
        <v>0.24</v>
      </c>
      <c r="I36" s="71">
        <v>0.21184659090909091</v>
      </c>
      <c r="J36" s="71">
        <v>18642.5</v>
      </c>
    </row>
  </sheetData>
  <mergeCells count="103">
    <mergeCell ref="D19:E19"/>
    <mergeCell ref="B19:C19"/>
    <mergeCell ref="B14:C14"/>
    <mergeCell ref="B15:C15"/>
    <mergeCell ref="B3:E3"/>
    <mergeCell ref="B4:C4"/>
    <mergeCell ref="D4:E4"/>
    <mergeCell ref="B5:C5"/>
    <mergeCell ref="D5:E5"/>
    <mergeCell ref="D6:E6"/>
    <mergeCell ref="D7:E7"/>
    <mergeCell ref="B16:C16"/>
    <mergeCell ref="B17:C17"/>
    <mergeCell ref="D15:E15"/>
    <mergeCell ref="D16:E16"/>
    <mergeCell ref="D17:E17"/>
    <mergeCell ref="B11:E11"/>
    <mergeCell ref="B12:C12"/>
    <mergeCell ref="B13:C13"/>
    <mergeCell ref="I16:J16"/>
    <mergeCell ref="I25:J25"/>
    <mergeCell ref="I15:J15"/>
    <mergeCell ref="B6:C6"/>
    <mergeCell ref="D13:E13"/>
    <mergeCell ref="D14:E14"/>
    <mergeCell ref="B7:C7"/>
    <mergeCell ref="D12:E12"/>
    <mergeCell ref="H27:J27"/>
    <mergeCell ref="B18:C18"/>
    <mergeCell ref="I17:J17"/>
    <mergeCell ref="H19:I19"/>
    <mergeCell ref="H14:J14"/>
    <mergeCell ref="B21:E21"/>
    <mergeCell ref="B22:D22"/>
    <mergeCell ref="B24:C24"/>
    <mergeCell ref="J7:K7"/>
    <mergeCell ref="H22:J22"/>
    <mergeCell ref="I23:J23"/>
    <mergeCell ref="K23:L23"/>
    <mergeCell ref="I24:J24"/>
    <mergeCell ref="K15:L15"/>
    <mergeCell ref="K24:L24"/>
    <mergeCell ref="D18:E18"/>
    <mergeCell ref="T19:U19"/>
    <mergeCell ref="T20:U20"/>
    <mergeCell ref="T3:U3"/>
    <mergeCell ref="L31:M31"/>
    <mergeCell ref="L32:M32"/>
    <mergeCell ref="L5:M6"/>
    <mergeCell ref="L4:M4"/>
    <mergeCell ref="O24:R24"/>
    <mergeCell ref="K17:L17"/>
    <mergeCell ref="K16:L16"/>
    <mergeCell ref="L7:M7"/>
    <mergeCell ref="J10:K10"/>
    <mergeCell ref="L10:M10"/>
    <mergeCell ref="P15:Q15"/>
    <mergeCell ref="R15:S15"/>
    <mergeCell ref="O6:Q6"/>
    <mergeCell ref="P7:Q7"/>
    <mergeCell ref="P16:Q16"/>
    <mergeCell ref="J5:K6"/>
    <mergeCell ref="H28:J28"/>
    <mergeCell ref="H20:I20"/>
    <mergeCell ref="K25:L25"/>
    <mergeCell ref="H8:I9"/>
    <mergeCell ref="J8:K9"/>
    <mergeCell ref="T23:U23"/>
    <mergeCell ref="T22:U22"/>
    <mergeCell ref="T8:U8"/>
    <mergeCell ref="R7:S7"/>
    <mergeCell ref="P8:Q8"/>
    <mergeCell ref="O11:P11"/>
    <mergeCell ref="H4:I4"/>
    <mergeCell ref="J4:K4"/>
    <mergeCell ref="H10:I10"/>
    <mergeCell ref="H5:I6"/>
    <mergeCell ref="H7:I7"/>
    <mergeCell ref="T9:U9"/>
    <mergeCell ref="O20:Q20"/>
    <mergeCell ref="T15:U15"/>
    <mergeCell ref="T16:U16"/>
    <mergeCell ref="T17:U17"/>
    <mergeCell ref="R17:S17"/>
    <mergeCell ref="P9:Q9"/>
    <mergeCell ref="R9:S9"/>
    <mergeCell ref="R16:S16"/>
    <mergeCell ref="P17:Q17"/>
    <mergeCell ref="O19:Q19"/>
    <mergeCell ref="T11:U11"/>
    <mergeCell ref="T12:U12"/>
    <mergeCell ref="H3:M3"/>
    <mergeCell ref="H11:I12"/>
    <mergeCell ref="J11:K12"/>
    <mergeCell ref="L11:M12"/>
    <mergeCell ref="R4:S4"/>
    <mergeCell ref="P4:Q4"/>
    <mergeCell ref="T4:U4"/>
    <mergeCell ref="R8:S8"/>
    <mergeCell ref="T7:U7"/>
    <mergeCell ref="P3:Q3"/>
    <mergeCell ref="R3:S3"/>
    <mergeCell ref="L8:M9"/>
  </mergeCells>
  <dataValidations count="1">
    <dataValidation type="list" allowBlank="1" showInputMessage="1" showErrorMessage="1" sqref="L5" xr:uid="{3AFF052C-ED9E-CB46-A64A-9FC29A06F2CA}">
      <formula1>$AM$4:$AM$5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2A2292-3618-A846-A8C7-5C1DBC17F45F}">
  <sheetPr codeName="Sheet10"/>
  <dimension ref="A1:H449"/>
  <sheetViews>
    <sheetView topLeftCell="A155" zoomScale="125" workbookViewId="0">
      <selection activeCell="C174" sqref="C174"/>
    </sheetView>
  </sheetViews>
  <sheetFormatPr baseColWidth="10" defaultRowHeight="16" x14ac:dyDescent="0.2"/>
  <cols>
    <col min="1" max="1" width="7.5703125"/>
    <col min="2" max="2" width="12" customWidth="1"/>
    <col min="3" max="3" width="10.42578125" style="154" customWidth="1"/>
    <col min="4" max="4" width="10.85546875" style="154" customWidth="1"/>
    <col min="5" max="7" width="7.5703125"/>
  </cols>
  <sheetData>
    <row r="1" spans="1:8" s="150" customFormat="1" x14ac:dyDescent="0.2">
      <c r="A1" s="151" t="s">
        <v>74</v>
      </c>
      <c r="B1" s="151" t="s">
        <v>84</v>
      </c>
      <c r="C1" s="153" t="s">
        <v>140</v>
      </c>
      <c r="D1" s="153" t="s">
        <v>141</v>
      </c>
      <c r="E1" s="151" t="s">
        <v>144</v>
      </c>
      <c r="F1" s="151" t="s">
        <v>82</v>
      </c>
      <c r="G1" s="151" t="s">
        <v>142</v>
      </c>
      <c r="H1" s="152" t="s">
        <v>143</v>
      </c>
    </row>
    <row r="2" spans="1:8" x14ac:dyDescent="0.2">
      <c r="A2" t="s">
        <v>41</v>
      </c>
      <c r="B2">
        <v>2.669E-5</v>
      </c>
      <c r="C2" s="154" t="s">
        <v>145</v>
      </c>
      <c r="D2" s="154" t="s">
        <v>145</v>
      </c>
      <c r="E2">
        <v>0.78</v>
      </c>
      <c r="F2">
        <v>0.79</v>
      </c>
      <c r="G2">
        <v>-1.0000000000000011E-2</v>
      </c>
      <c r="H2" t="str">
        <f>IF(D2-C2 &gt; 365, "LONG", "SHORT")</f>
        <v>SHORT</v>
      </c>
    </row>
    <row r="3" spans="1:8" x14ac:dyDescent="0.2">
      <c r="A3" t="s">
        <v>41</v>
      </c>
      <c r="B3">
        <v>3.2610999999999998E-3</v>
      </c>
      <c r="C3" s="154" t="s">
        <v>145</v>
      </c>
      <c r="D3" s="154" t="s">
        <v>145</v>
      </c>
      <c r="E3">
        <v>94.96</v>
      </c>
      <c r="F3">
        <v>95.98</v>
      </c>
      <c r="G3">
        <v>-1.02000000000001</v>
      </c>
      <c r="H3" t="str">
        <f t="shared" ref="H3:H66" si="0">IF(D3-C3 &gt; 365, "LONG", "SHORT")</f>
        <v>SHORT</v>
      </c>
    </row>
    <row r="4" spans="1:8" x14ac:dyDescent="0.2">
      <c r="A4" t="s">
        <v>41</v>
      </c>
      <c r="B4">
        <v>1.1001E-4</v>
      </c>
      <c r="C4" s="154" t="s">
        <v>145</v>
      </c>
      <c r="D4" s="154" t="s">
        <v>146</v>
      </c>
      <c r="E4">
        <v>3.17</v>
      </c>
      <c r="F4">
        <v>3.24</v>
      </c>
      <c r="G4">
        <v>-7.0000000000000284E-2</v>
      </c>
      <c r="H4" t="str">
        <f t="shared" si="0"/>
        <v>SHORT</v>
      </c>
    </row>
    <row r="5" spans="1:8" x14ac:dyDescent="0.2">
      <c r="A5" t="s">
        <v>48</v>
      </c>
      <c r="B5">
        <v>33.367037410000002</v>
      </c>
      <c r="C5" s="154" t="s">
        <v>147</v>
      </c>
      <c r="D5" s="154" t="s">
        <v>147</v>
      </c>
      <c r="E5">
        <v>194.39</v>
      </c>
      <c r="F5">
        <v>200</v>
      </c>
      <c r="G5">
        <v>-5.6100000000000136</v>
      </c>
      <c r="H5" t="str">
        <f t="shared" si="0"/>
        <v>SHORT</v>
      </c>
    </row>
    <row r="6" spans="1:8" x14ac:dyDescent="0.2">
      <c r="A6" t="s">
        <v>42</v>
      </c>
      <c r="B6">
        <v>3.17769331</v>
      </c>
      <c r="C6" s="154" t="s">
        <v>148</v>
      </c>
      <c r="D6" s="154" t="s">
        <v>149</v>
      </c>
      <c r="E6">
        <v>23.08</v>
      </c>
      <c r="F6">
        <v>20</v>
      </c>
      <c r="G6">
        <v>3.0799999999999979</v>
      </c>
      <c r="H6" t="str">
        <f t="shared" si="0"/>
        <v>SHORT</v>
      </c>
    </row>
    <row r="7" spans="1:8" x14ac:dyDescent="0.2">
      <c r="A7" t="s">
        <v>42</v>
      </c>
      <c r="B7">
        <v>2.9604284399999998</v>
      </c>
      <c r="C7" s="154" t="s">
        <v>150</v>
      </c>
      <c r="D7" s="154" t="s">
        <v>149</v>
      </c>
      <c r="E7">
        <v>21.5</v>
      </c>
      <c r="F7">
        <v>20</v>
      </c>
      <c r="G7">
        <v>1.5</v>
      </c>
      <c r="H7" t="str">
        <f t="shared" si="0"/>
        <v>SHORT</v>
      </c>
    </row>
    <row r="8" spans="1:8" x14ac:dyDescent="0.2">
      <c r="A8" t="s">
        <v>42</v>
      </c>
      <c r="B8">
        <v>2.64100863</v>
      </c>
      <c r="C8" s="154" t="s">
        <v>151</v>
      </c>
      <c r="D8" s="154" t="s">
        <v>149</v>
      </c>
      <c r="E8">
        <v>19.18</v>
      </c>
      <c r="F8">
        <v>20</v>
      </c>
      <c r="G8">
        <v>-0.82000000000000028</v>
      </c>
      <c r="H8" t="str">
        <f t="shared" si="0"/>
        <v>SHORT</v>
      </c>
    </row>
    <row r="9" spans="1:8" x14ac:dyDescent="0.2">
      <c r="A9" t="s">
        <v>42</v>
      </c>
      <c r="B9">
        <v>2.5693987200000001</v>
      </c>
      <c r="C9" s="154" t="s">
        <v>152</v>
      </c>
      <c r="D9" s="154" t="s">
        <v>149</v>
      </c>
      <c r="E9">
        <v>18.66</v>
      </c>
      <c r="F9">
        <v>20</v>
      </c>
      <c r="G9">
        <v>-1.34</v>
      </c>
      <c r="H9" t="str">
        <f t="shared" si="0"/>
        <v>SHORT</v>
      </c>
    </row>
    <row r="10" spans="1:8" x14ac:dyDescent="0.2">
      <c r="A10" t="s">
        <v>42</v>
      </c>
      <c r="B10">
        <v>13.39468619</v>
      </c>
      <c r="C10" s="154" t="s">
        <v>153</v>
      </c>
      <c r="D10" s="154" t="s">
        <v>149</v>
      </c>
      <c r="E10">
        <v>97.28</v>
      </c>
      <c r="F10">
        <v>100</v>
      </c>
      <c r="G10">
        <v>-2.7199999999999989</v>
      </c>
      <c r="H10" t="str">
        <f t="shared" si="0"/>
        <v>SHORT</v>
      </c>
    </row>
    <row r="11" spans="1:8" x14ac:dyDescent="0.2">
      <c r="A11" t="s">
        <v>42</v>
      </c>
      <c r="B11">
        <v>2.63709192</v>
      </c>
      <c r="C11" s="154" t="s">
        <v>153</v>
      </c>
      <c r="D11" s="154" t="s">
        <v>149</v>
      </c>
      <c r="E11">
        <v>19.149999999999999</v>
      </c>
      <c r="F11">
        <v>20</v>
      </c>
      <c r="G11">
        <v>-0.85000000000000142</v>
      </c>
      <c r="H11" t="str">
        <f t="shared" si="0"/>
        <v>SHORT</v>
      </c>
    </row>
    <row r="12" spans="1:8" x14ac:dyDescent="0.2">
      <c r="A12" t="s">
        <v>42</v>
      </c>
      <c r="B12">
        <v>13.799135100000001</v>
      </c>
      <c r="C12" s="154" t="s">
        <v>154</v>
      </c>
      <c r="D12" s="154" t="s">
        <v>149</v>
      </c>
      <c r="E12">
        <v>100.22</v>
      </c>
      <c r="F12">
        <v>100</v>
      </c>
      <c r="G12">
        <v>0.21999999999999889</v>
      </c>
      <c r="H12" t="str">
        <f t="shared" si="0"/>
        <v>SHORT</v>
      </c>
    </row>
    <row r="13" spans="1:8" x14ac:dyDescent="0.2">
      <c r="A13" t="s">
        <v>42</v>
      </c>
      <c r="B13">
        <v>28.723336209999999</v>
      </c>
      <c r="C13" s="154" t="s">
        <v>155</v>
      </c>
      <c r="D13" s="154" t="s">
        <v>149</v>
      </c>
      <c r="E13">
        <v>208.61</v>
      </c>
      <c r="F13">
        <v>198.03</v>
      </c>
      <c r="G13">
        <v>10.580000000000011</v>
      </c>
      <c r="H13" t="str">
        <f t="shared" si="0"/>
        <v>SHORT</v>
      </c>
    </row>
    <row r="14" spans="1:8" x14ac:dyDescent="0.2">
      <c r="A14" t="s">
        <v>42</v>
      </c>
      <c r="B14">
        <v>23.956347149999999</v>
      </c>
      <c r="C14" s="154" t="s">
        <v>155</v>
      </c>
      <c r="D14" s="154" t="s">
        <v>149</v>
      </c>
      <c r="E14">
        <v>173.99</v>
      </c>
      <c r="F14">
        <v>165.21</v>
      </c>
      <c r="G14">
        <v>8.7800000000000011</v>
      </c>
      <c r="H14" t="str">
        <f t="shared" si="0"/>
        <v>SHORT</v>
      </c>
    </row>
    <row r="15" spans="1:8" x14ac:dyDescent="0.2">
      <c r="A15" t="s">
        <v>42</v>
      </c>
      <c r="B15">
        <v>13.840589789999999</v>
      </c>
      <c r="C15" s="154" t="s">
        <v>156</v>
      </c>
      <c r="D15" s="154" t="s">
        <v>149</v>
      </c>
      <c r="E15">
        <v>100.52</v>
      </c>
      <c r="F15">
        <v>100</v>
      </c>
      <c r="G15">
        <v>0.51999999999999602</v>
      </c>
      <c r="H15" t="str">
        <f t="shared" si="0"/>
        <v>SHORT</v>
      </c>
    </row>
    <row r="16" spans="1:8" x14ac:dyDescent="0.2">
      <c r="A16" t="s">
        <v>42</v>
      </c>
      <c r="B16">
        <v>12.42352354</v>
      </c>
      <c r="C16" s="154" t="s">
        <v>157</v>
      </c>
      <c r="D16" s="154" t="s">
        <v>149</v>
      </c>
      <c r="E16">
        <v>90.23</v>
      </c>
      <c r="F16">
        <v>100</v>
      </c>
      <c r="G16">
        <v>-9.769999999999996</v>
      </c>
      <c r="H16" t="str">
        <f t="shared" si="0"/>
        <v>SHORT</v>
      </c>
    </row>
    <row r="17" spans="1:8" x14ac:dyDescent="0.2">
      <c r="A17" t="s">
        <v>42</v>
      </c>
      <c r="B17">
        <v>53.468029299999998</v>
      </c>
      <c r="C17" s="154" t="s">
        <v>158</v>
      </c>
      <c r="D17" s="154" t="s">
        <v>147</v>
      </c>
      <c r="E17">
        <v>384.39</v>
      </c>
      <c r="F17">
        <v>369.59</v>
      </c>
      <c r="G17">
        <v>14.80000000000001</v>
      </c>
      <c r="H17" t="str">
        <f t="shared" si="0"/>
        <v>SHORT</v>
      </c>
    </row>
    <row r="18" spans="1:8" x14ac:dyDescent="0.2">
      <c r="A18" t="s">
        <v>42</v>
      </c>
      <c r="B18">
        <v>26.008521089999999</v>
      </c>
      <c r="C18" s="154" t="s">
        <v>158</v>
      </c>
      <c r="D18" s="154" t="s">
        <v>147</v>
      </c>
      <c r="E18">
        <v>186.98</v>
      </c>
      <c r="F18">
        <v>179.75</v>
      </c>
      <c r="G18">
        <v>7.2299999999999898</v>
      </c>
      <c r="H18" t="str">
        <f t="shared" si="0"/>
        <v>SHORT</v>
      </c>
    </row>
    <row r="19" spans="1:8" x14ac:dyDescent="0.2">
      <c r="A19" t="s">
        <v>42</v>
      </c>
      <c r="B19">
        <v>0.60699495999999997</v>
      </c>
      <c r="C19" s="154" t="s">
        <v>159</v>
      </c>
      <c r="D19" s="154" t="s">
        <v>159</v>
      </c>
      <c r="E19">
        <v>5.25</v>
      </c>
      <c r="F19">
        <v>5.4</v>
      </c>
      <c r="G19">
        <v>-0.15000000000000041</v>
      </c>
      <c r="H19" t="str">
        <f t="shared" si="0"/>
        <v>SHORT</v>
      </c>
    </row>
    <row r="20" spans="1:8" x14ac:dyDescent="0.2">
      <c r="A20" t="s">
        <v>42</v>
      </c>
      <c r="B20">
        <v>105.2927045</v>
      </c>
      <c r="C20" s="154" t="s">
        <v>159</v>
      </c>
      <c r="D20" s="154" t="s">
        <v>160</v>
      </c>
      <c r="E20">
        <v>694.1</v>
      </c>
      <c r="F20">
        <v>941.2</v>
      </c>
      <c r="G20">
        <v>-247.1</v>
      </c>
      <c r="H20" t="str">
        <f t="shared" si="0"/>
        <v>SHORT</v>
      </c>
    </row>
    <row r="21" spans="1:8" x14ac:dyDescent="0.2">
      <c r="A21" t="s">
        <v>35</v>
      </c>
      <c r="B21">
        <v>128.04097300000001</v>
      </c>
      <c r="C21" s="154" t="s">
        <v>161</v>
      </c>
      <c r="D21" s="154" t="s">
        <v>162</v>
      </c>
      <c r="E21">
        <v>38.97</v>
      </c>
      <c r="F21">
        <v>55.65</v>
      </c>
      <c r="G21">
        <v>-16.68</v>
      </c>
      <c r="H21" t="str">
        <f t="shared" si="0"/>
        <v>SHORT</v>
      </c>
    </row>
    <row r="22" spans="1:8" x14ac:dyDescent="0.2">
      <c r="A22" t="s">
        <v>35</v>
      </c>
      <c r="B22">
        <v>16.625104</v>
      </c>
      <c r="C22" s="154" t="s">
        <v>161</v>
      </c>
      <c r="D22" s="154" t="s">
        <v>163</v>
      </c>
      <c r="E22">
        <v>5.99</v>
      </c>
      <c r="F22">
        <v>7.23</v>
      </c>
      <c r="G22">
        <v>-1.24</v>
      </c>
      <c r="H22" t="str">
        <f t="shared" si="0"/>
        <v>SHORT</v>
      </c>
    </row>
    <row r="23" spans="1:8" x14ac:dyDescent="0.2">
      <c r="A23" t="s">
        <v>35</v>
      </c>
      <c r="B23">
        <v>0.11730699999999999</v>
      </c>
      <c r="C23" s="154" t="s">
        <v>164</v>
      </c>
      <c r="D23" s="154" t="s">
        <v>155</v>
      </c>
      <c r="E23">
        <v>0.04</v>
      </c>
      <c r="F23">
        <v>0.05</v>
      </c>
      <c r="G23">
        <v>-0.01</v>
      </c>
      <c r="H23" t="str">
        <f t="shared" si="0"/>
        <v>SHORT</v>
      </c>
    </row>
    <row r="24" spans="1:8" x14ac:dyDescent="0.2">
      <c r="A24" t="s">
        <v>35</v>
      </c>
      <c r="B24">
        <v>0.115146</v>
      </c>
      <c r="C24" s="154" t="s">
        <v>165</v>
      </c>
      <c r="D24" s="154" t="s">
        <v>155</v>
      </c>
      <c r="E24">
        <v>0.04</v>
      </c>
      <c r="F24">
        <v>0.05</v>
      </c>
      <c r="G24">
        <v>-0.01</v>
      </c>
      <c r="H24" t="str">
        <f t="shared" si="0"/>
        <v>SHORT</v>
      </c>
    </row>
    <row r="25" spans="1:8" x14ac:dyDescent="0.2">
      <c r="A25" t="s">
        <v>35</v>
      </c>
      <c r="B25">
        <v>0.118088</v>
      </c>
      <c r="C25" s="154" t="s">
        <v>166</v>
      </c>
      <c r="D25" s="154" t="s">
        <v>155</v>
      </c>
      <c r="E25">
        <v>0.04</v>
      </c>
      <c r="F25">
        <v>0.05</v>
      </c>
      <c r="G25">
        <v>-0.01</v>
      </c>
      <c r="H25" t="str">
        <f t="shared" si="0"/>
        <v>SHORT</v>
      </c>
    </row>
    <row r="26" spans="1:8" x14ac:dyDescent="0.2">
      <c r="A26" t="s">
        <v>35</v>
      </c>
      <c r="B26">
        <v>190.22594799999999</v>
      </c>
      <c r="C26" s="154" t="s">
        <v>161</v>
      </c>
      <c r="D26" s="154" t="s">
        <v>155</v>
      </c>
      <c r="E26">
        <v>66.5</v>
      </c>
      <c r="F26">
        <v>82.67</v>
      </c>
      <c r="G26">
        <v>-16.170000000000002</v>
      </c>
      <c r="H26" t="str">
        <f t="shared" si="0"/>
        <v>SHORT</v>
      </c>
    </row>
    <row r="27" spans="1:8" x14ac:dyDescent="0.2">
      <c r="A27" t="s">
        <v>35</v>
      </c>
      <c r="B27">
        <v>93.468839000000003</v>
      </c>
      <c r="C27" s="154" t="s">
        <v>167</v>
      </c>
      <c r="D27" s="154" t="s">
        <v>155</v>
      </c>
      <c r="E27">
        <v>32.68</v>
      </c>
      <c r="F27">
        <v>35</v>
      </c>
      <c r="G27">
        <v>-2.3199999999999998</v>
      </c>
      <c r="H27" t="str">
        <f t="shared" si="0"/>
        <v>SHORT</v>
      </c>
    </row>
    <row r="28" spans="1:8" x14ac:dyDescent="0.2">
      <c r="A28" t="s">
        <v>35</v>
      </c>
      <c r="B28">
        <v>0.17152400000000001</v>
      </c>
      <c r="C28" s="154" t="s">
        <v>168</v>
      </c>
      <c r="D28" s="154" t="s">
        <v>155</v>
      </c>
      <c r="E28">
        <v>0.06</v>
      </c>
      <c r="F28">
        <v>7.0000000000000007E-2</v>
      </c>
      <c r="G28">
        <v>-1.0000000000000011E-2</v>
      </c>
      <c r="H28" t="str">
        <f t="shared" si="0"/>
        <v>SHORT</v>
      </c>
    </row>
    <row r="29" spans="1:8" x14ac:dyDescent="0.2">
      <c r="A29" t="s">
        <v>35</v>
      </c>
      <c r="B29">
        <v>0.18606300000000001</v>
      </c>
      <c r="C29" s="154" t="s">
        <v>169</v>
      </c>
      <c r="D29" s="154" t="s">
        <v>155</v>
      </c>
      <c r="E29">
        <v>7.0000000000000007E-2</v>
      </c>
      <c r="F29">
        <v>7.0000000000000007E-2</v>
      </c>
      <c r="G29">
        <v>0</v>
      </c>
      <c r="H29" t="str">
        <f t="shared" si="0"/>
        <v>SHORT</v>
      </c>
    </row>
    <row r="30" spans="1:8" x14ac:dyDescent="0.2">
      <c r="A30" t="s">
        <v>35</v>
      </c>
      <c r="B30">
        <v>0.216723</v>
      </c>
      <c r="C30" s="154" t="s">
        <v>170</v>
      </c>
      <c r="D30" s="154" t="s">
        <v>155</v>
      </c>
      <c r="E30">
        <v>0.08</v>
      </c>
      <c r="F30">
        <v>7.0000000000000007E-2</v>
      </c>
      <c r="G30">
        <v>9.999999999999995E-3</v>
      </c>
      <c r="H30" t="str">
        <f t="shared" si="0"/>
        <v>SHORT</v>
      </c>
    </row>
    <row r="31" spans="1:8" x14ac:dyDescent="0.2">
      <c r="A31" t="s">
        <v>35</v>
      </c>
      <c r="B31">
        <v>0.20221500000000001</v>
      </c>
      <c r="C31" s="154" t="s">
        <v>171</v>
      </c>
      <c r="D31" s="154" t="s">
        <v>155</v>
      </c>
      <c r="E31">
        <v>7.0000000000000007E-2</v>
      </c>
      <c r="F31">
        <v>0.06</v>
      </c>
      <c r="G31">
        <v>1.0000000000000011E-2</v>
      </c>
      <c r="H31" t="str">
        <f t="shared" si="0"/>
        <v>SHORT</v>
      </c>
    </row>
    <row r="32" spans="1:8" x14ac:dyDescent="0.2">
      <c r="A32" t="s">
        <v>35</v>
      </c>
      <c r="B32">
        <v>58.918460000000003</v>
      </c>
      <c r="C32" s="154" t="s">
        <v>148</v>
      </c>
      <c r="D32" s="154" t="s">
        <v>155</v>
      </c>
      <c r="E32">
        <v>20.6</v>
      </c>
      <c r="F32">
        <v>20</v>
      </c>
      <c r="G32">
        <v>0.60000000000000142</v>
      </c>
      <c r="H32" t="str">
        <f t="shared" si="0"/>
        <v>SHORT</v>
      </c>
    </row>
    <row r="33" spans="1:8" x14ac:dyDescent="0.2">
      <c r="A33" t="s">
        <v>35</v>
      </c>
      <c r="B33">
        <v>0.200349</v>
      </c>
      <c r="C33" s="154" t="s">
        <v>172</v>
      </c>
      <c r="D33" s="154" t="s">
        <v>155</v>
      </c>
      <c r="E33">
        <v>7.0000000000000007E-2</v>
      </c>
      <c r="F33">
        <v>0.06</v>
      </c>
      <c r="G33">
        <v>1.0000000000000011E-2</v>
      </c>
      <c r="H33" t="str">
        <f t="shared" si="0"/>
        <v>SHORT</v>
      </c>
    </row>
    <row r="34" spans="1:8" x14ac:dyDescent="0.2">
      <c r="A34" t="s">
        <v>35</v>
      </c>
      <c r="B34">
        <v>0.15380099999999999</v>
      </c>
      <c r="C34" s="154" t="s">
        <v>173</v>
      </c>
      <c r="D34" s="154" t="s">
        <v>155</v>
      </c>
      <c r="E34">
        <v>0.05</v>
      </c>
      <c r="F34">
        <v>0.04</v>
      </c>
      <c r="G34">
        <v>0.01</v>
      </c>
      <c r="H34" t="str">
        <f t="shared" si="0"/>
        <v>SHORT</v>
      </c>
    </row>
    <row r="35" spans="1:8" x14ac:dyDescent="0.2">
      <c r="A35" t="s">
        <v>35</v>
      </c>
      <c r="B35">
        <v>64.990201999999996</v>
      </c>
      <c r="C35" s="154" t="s">
        <v>150</v>
      </c>
      <c r="D35" s="154" t="s">
        <v>155</v>
      </c>
      <c r="E35">
        <v>22.72</v>
      </c>
      <c r="F35">
        <v>20</v>
      </c>
      <c r="G35">
        <v>2.7199999999999989</v>
      </c>
      <c r="H35" t="str">
        <f t="shared" si="0"/>
        <v>SHORT</v>
      </c>
    </row>
    <row r="36" spans="1:8" x14ac:dyDescent="0.2">
      <c r="A36" t="s">
        <v>35</v>
      </c>
      <c r="B36">
        <v>0.154609</v>
      </c>
      <c r="C36" s="154" t="s">
        <v>150</v>
      </c>
      <c r="D36" s="154" t="s">
        <v>155</v>
      </c>
      <c r="E36">
        <v>0.05</v>
      </c>
      <c r="F36">
        <v>0.04</v>
      </c>
      <c r="G36">
        <v>0.01</v>
      </c>
      <c r="H36" t="str">
        <f t="shared" si="0"/>
        <v>SHORT</v>
      </c>
    </row>
    <row r="37" spans="1:8" x14ac:dyDescent="0.2">
      <c r="A37" t="s">
        <v>35</v>
      </c>
      <c r="B37">
        <v>0.15414900000000001</v>
      </c>
      <c r="C37" s="154" t="s">
        <v>174</v>
      </c>
      <c r="D37" s="154" t="s">
        <v>155</v>
      </c>
      <c r="E37">
        <v>0.05</v>
      </c>
      <c r="F37">
        <v>0.05</v>
      </c>
      <c r="G37">
        <v>0</v>
      </c>
      <c r="H37" t="str">
        <f t="shared" si="0"/>
        <v>SHORT</v>
      </c>
    </row>
    <row r="38" spans="1:8" x14ac:dyDescent="0.2">
      <c r="A38" t="s">
        <v>35</v>
      </c>
      <c r="B38">
        <v>61.061675000000001</v>
      </c>
      <c r="C38" s="154" t="s">
        <v>151</v>
      </c>
      <c r="D38" s="154" t="s">
        <v>155</v>
      </c>
      <c r="E38">
        <v>21.35</v>
      </c>
      <c r="F38">
        <v>20</v>
      </c>
      <c r="G38">
        <v>1.350000000000001</v>
      </c>
      <c r="H38" t="str">
        <f t="shared" si="0"/>
        <v>SHORT</v>
      </c>
    </row>
    <row r="39" spans="1:8" x14ac:dyDescent="0.2">
      <c r="A39" t="s">
        <v>35</v>
      </c>
      <c r="B39">
        <v>0.17120299999999999</v>
      </c>
      <c r="C39" s="154" t="s">
        <v>175</v>
      </c>
      <c r="D39" s="154" t="s">
        <v>155</v>
      </c>
      <c r="E39">
        <v>0.06</v>
      </c>
      <c r="F39">
        <v>0.05</v>
      </c>
      <c r="G39">
        <v>9.999999999999995E-3</v>
      </c>
      <c r="H39" t="str">
        <f t="shared" si="0"/>
        <v>SHORT</v>
      </c>
    </row>
    <row r="40" spans="1:8" x14ac:dyDescent="0.2">
      <c r="A40" t="s">
        <v>35</v>
      </c>
      <c r="B40">
        <v>0.16977200000000001</v>
      </c>
      <c r="C40" s="154" t="s">
        <v>176</v>
      </c>
      <c r="D40" s="154" t="s">
        <v>155</v>
      </c>
      <c r="E40">
        <v>0.06</v>
      </c>
      <c r="F40">
        <v>0.05</v>
      </c>
      <c r="G40">
        <v>9.999999999999995E-3</v>
      </c>
      <c r="H40" t="str">
        <f t="shared" si="0"/>
        <v>SHORT</v>
      </c>
    </row>
    <row r="41" spans="1:8" x14ac:dyDescent="0.2">
      <c r="A41" t="s">
        <v>35</v>
      </c>
      <c r="B41">
        <v>0.186168</v>
      </c>
      <c r="C41" s="154" t="s">
        <v>177</v>
      </c>
      <c r="D41" s="154" t="s">
        <v>155</v>
      </c>
      <c r="E41">
        <v>7.0000000000000007E-2</v>
      </c>
      <c r="F41">
        <v>0.04</v>
      </c>
      <c r="G41">
        <v>3.0000000000000009E-2</v>
      </c>
      <c r="H41" t="str">
        <f t="shared" si="0"/>
        <v>SHORT</v>
      </c>
    </row>
    <row r="42" spans="1:8" x14ac:dyDescent="0.2">
      <c r="A42" t="s">
        <v>35</v>
      </c>
      <c r="B42">
        <v>0.20321800000000001</v>
      </c>
      <c r="C42" s="154" t="s">
        <v>178</v>
      </c>
      <c r="D42" s="154" t="s">
        <v>155</v>
      </c>
      <c r="E42">
        <v>7.0000000000000007E-2</v>
      </c>
      <c r="F42">
        <v>0.05</v>
      </c>
      <c r="G42">
        <v>0.02</v>
      </c>
      <c r="H42" t="str">
        <f t="shared" si="0"/>
        <v>SHORT</v>
      </c>
    </row>
    <row r="43" spans="1:8" x14ac:dyDescent="0.2">
      <c r="A43" t="s">
        <v>35</v>
      </c>
      <c r="B43">
        <v>0.18753</v>
      </c>
      <c r="C43" s="154" t="s">
        <v>179</v>
      </c>
      <c r="D43" s="154" t="s">
        <v>155</v>
      </c>
      <c r="E43">
        <v>7.0000000000000007E-2</v>
      </c>
      <c r="F43">
        <v>0.04</v>
      </c>
      <c r="G43">
        <v>3.0000000000000009E-2</v>
      </c>
      <c r="H43" t="str">
        <f t="shared" si="0"/>
        <v>SHORT</v>
      </c>
    </row>
    <row r="44" spans="1:8" x14ac:dyDescent="0.2">
      <c r="A44" t="s">
        <v>35</v>
      </c>
      <c r="B44">
        <v>0.19011</v>
      </c>
      <c r="C44" s="154" t="s">
        <v>180</v>
      </c>
      <c r="D44" s="154" t="s">
        <v>155</v>
      </c>
      <c r="E44">
        <v>7.0000000000000007E-2</v>
      </c>
      <c r="F44">
        <v>0.05</v>
      </c>
      <c r="G44">
        <v>0.02</v>
      </c>
      <c r="H44" t="str">
        <f t="shared" si="0"/>
        <v>SHORT</v>
      </c>
    </row>
    <row r="45" spans="1:8" x14ac:dyDescent="0.2">
      <c r="A45" t="s">
        <v>35</v>
      </c>
      <c r="B45">
        <v>0.19023000000000001</v>
      </c>
      <c r="C45" s="154" t="s">
        <v>181</v>
      </c>
      <c r="D45" s="154" t="s">
        <v>155</v>
      </c>
      <c r="E45">
        <v>7.0000000000000007E-2</v>
      </c>
      <c r="F45">
        <v>0.05</v>
      </c>
      <c r="G45">
        <v>0.02</v>
      </c>
      <c r="H45" t="str">
        <f t="shared" si="0"/>
        <v>SHORT</v>
      </c>
    </row>
    <row r="46" spans="1:8" x14ac:dyDescent="0.2">
      <c r="A46" t="s">
        <v>35</v>
      </c>
      <c r="B46">
        <v>0.175432</v>
      </c>
      <c r="C46" s="154" t="s">
        <v>182</v>
      </c>
      <c r="D46" s="154" t="s">
        <v>155</v>
      </c>
      <c r="E46">
        <v>0.06</v>
      </c>
      <c r="F46">
        <v>0.06</v>
      </c>
      <c r="G46">
        <v>0</v>
      </c>
      <c r="H46" t="str">
        <f t="shared" si="0"/>
        <v>SHORT</v>
      </c>
    </row>
    <row r="47" spans="1:8" x14ac:dyDescent="0.2">
      <c r="A47" t="s">
        <v>35</v>
      </c>
      <c r="B47">
        <v>0.17879500000000001</v>
      </c>
      <c r="C47" s="154" t="s">
        <v>183</v>
      </c>
      <c r="D47" s="154" t="s">
        <v>155</v>
      </c>
      <c r="E47">
        <v>0.06</v>
      </c>
      <c r="F47">
        <v>0.06</v>
      </c>
      <c r="G47">
        <v>0</v>
      </c>
      <c r="H47" t="str">
        <f t="shared" si="0"/>
        <v>SHORT</v>
      </c>
    </row>
    <row r="48" spans="1:8" x14ac:dyDescent="0.2">
      <c r="A48" t="s">
        <v>35</v>
      </c>
      <c r="B48">
        <v>0.18166099999999999</v>
      </c>
      <c r="C48" s="154" t="s">
        <v>184</v>
      </c>
      <c r="D48" s="154" t="s">
        <v>155</v>
      </c>
      <c r="E48">
        <v>0.06</v>
      </c>
      <c r="F48">
        <v>0.06</v>
      </c>
      <c r="G48">
        <v>0</v>
      </c>
      <c r="H48" t="str">
        <f t="shared" si="0"/>
        <v>SHORT</v>
      </c>
    </row>
    <row r="49" spans="1:8" x14ac:dyDescent="0.2">
      <c r="A49" t="s">
        <v>35</v>
      </c>
      <c r="B49">
        <v>0.13858000000000001</v>
      </c>
      <c r="C49" s="154" t="s">
        <v>185</v>
      </c>
      <c r="D49" s="154" t="s">
        <v>155</v>
      </c>
      <c r="E49">
        <v>0.05</v>
      </c>
      <c r="F49">
        <v>0.05</v>
      </c>
      <c r="G49">
        <v>0</v>
      </c>
      <c r="H49" t="str">
        <f t="shared" si="0"/>
        <v>SHORT</v>
      </c>
    </row>
    <row r="50" spans="1:8" x14ac:dyDescent="0.2">
      <c r="A50" t="s">
        <v>35</v>
      </c>
      <c r="B50">
        <v>0.14105100000000001</v>
      </c>
      <c r="C50" s="154" t="s">
        <v>186</v>
      </c>
      <c r="D50" s="154" t="s">
        <v>155</v>
      </c>
      <c r="E50">
        <v>0.05</v>
      </c>
      <c r="F50">
        <v>0.05</v>
      </c>
      <c r="G50">
        <v>0</v>
      </c>
      <c r="H50" t="str">
        <f t="shared" si="0"/>
        <v>SHORT</v>
      </c>
    </row>
    <row r="51" spans="1:8" x14ac:dyDescent="0.2">
      <c r="A51" t="s">
        <v>35</v>
      </c>
      <c r="B51">
        <v>0.136409</v>
      </c>
      <c r="C51" s="154" t="s">
        <v>187</v>
      </c>
      <c r="D51" s="154" t="s">
        <v>188</v>
      </c>
      <c r="E51">
        <v>0.05</v>
      </c>
      <c r="F51">
        <v>0.04</v>
      </c>
      <c r="G51">
        <v>0.01</v>
      </c>
      <c r="H51" t="str">
        <f t="shared" si="0"/>
        <v>SHORT</v>
      </c>
    </row>
    <row r="52" spans="1:8" x14ac:dyDescent="0.2">
      <c r="A52" t="s">
        <v>35</v>
      </c>
      <c r="B52">
        <v>1.8183000000000001E-2</v>
      </c>
      <c r="C52" s="154" t="s">
        <v>189</v>
      </c>
      <c r="D52" s="154" t="s">
        <v>188</v>
      </c>
      <c r="E52">
        <v>0.01</v>
      </c>
      <c r="F52">
        <v>0</v>
      </c>
      <c r="G52">
        <v>0.01</v>
      </c>
      <c r="H52" t="str">
        <f t="shared" si="0"/>
        <v>SHORT</v>
      </c>
    </row>
    <row r="53" spans="1:8" x14ac:dyDescent="0.2">
      <c r="A53" t="s">
        <v>35</v>
      </c>
      <c r="B53">
        <v>0.12965599999999999</v>
      </c>
      <c r="C53" s="154" t="s">
        <v>190</v>
      </c>
      <c r="D53" s="154" t="s">
        <v>188</v>
      </c>
      <c r="E53">
        <v>0.05</v>
      </c>
      <c r="F53">
        <v>0.05</v>
      </c>
      <c r="G53">
        <v>0</v>
      </c>
      <c r="H53" t="str">
        <f t="shared" si="0"/>
        <v>SHORT</v>
      </c>
    </row>
    <row r="54" spans="1:8" x14ac:dyDescent="0.2">
      <c r="A54" t="s">
        <v>35</v>
      </c>
      <c r="B54">
        <v>0.13773199999999999</v>
      </c>
      <c r="C54" s="154" t="s">
        <v>191</v>
      </c>
      <c r="D54" s="154" t="s">
        <v>188</v>
      </c>
      <c r="E54">
        <v>0.05</v>
      </c>
      <c r="F54">
        <v>0.05</v>
      </c>
      <c r="G54">
        <v>0</v>
      </c>
      <c r="H54" t="str">
        <f t="shared" si="0"/>
        <v>SHORT</v>
      </c>
    </row>
    <row r="55" spans="1:8" x14ac:dyDescent="0.2">
      <c r="A55" t="s">
        <v>35</v>
      </c>
      <c r="B55">
        <v>0.18002099999999999</v>
      </c>
      <c r="C55" s="154" t="s">
        <v>192</v>
      </c>
      <c r="D55" s="154" t="s">
        <v>192</v>
      </c>
      <c r="E55">
        <v>0.06</v>
      </c>
      <c r="F55">
        <v>0.06</v>
      </c>
      <c r="G55">
        <v>0</v>
      </c>
      <c r="H55" t="str">
        <f t="shared" si="0"/>
        <v>SHORT</v>
      </c>
    </row>
    <row r="56" spans="1:8" x14ac:dyDescent="0.2">
      <c r="A56" t="s">
        <v>35</v>
      </c>
      <c r="B56">
        <v>0.166909</v>
      </c>
      <c r="C56" s="154" t="s">
        <v>192</v>
      </c>
      <c r="D56" s="154" t="s">
        <v>160</v>
      </c>
      <c r="E56">
        <v>0.05</v>
      </c>
      <c r="F56">
        <v>0.06</v>
      </c>
      <c r="G56">
        <v>-9.999999999999995E-3</v>
      </c>
      <c r="H56" t="str">
        <f t="shared" si="0"/>
        <v>SHORT</v>
      </c>
    </row>
    <row r="57" spans="1:8" x14ac:dyDescent="0.2">
      <c r="A57" t="s">
        <v>35</v>
      </c>
      <c r="B57">
        <v>1677.9207570000001</v>
      </c>
      <c r="C57" s="154" t="s">
        <v>192</v>
      </c>
      <c r="D57" s="154" t="s">
        <v>160</v>
      </c>
      <c r="E57">
        <v>506.29</v>
      </c>
      <c r="F57">
        <v>593.32000000000005</v>
      </c>
      <c r="G57">
        <v>-87.03000000000003</v>
      </c>
      <c r="H57" t="str">
        <f t="shared" si="0"/>
        <v>SHORT</v>
      </c>
    </row>
    <row r="58" spans="1:8" x14ac:dyDescent="0.2">
      <c r="A58" t="s">
        <v>35</v>
      </c>
      <c r="B58">
        <v>526.10355800000002</v>
      </c>
      <c r="C58" s="154" t="s">
        <v>192</v>
      </c>
      <c r="D58" s="154" t="s">
        <v>160</v>
      </c>
      <c r="E58">
        <v>158.74</v>
      </c>
      <c r="F58">
        <v>181.58</v>
      </c>
      <c r="G58">
        <v>-22.84</v>
      </c>
      <c r="H58" t="str">
        <f t="shared" si="0"/>
        <v>SHORT</v>
      </c>
    </row>
    <row r="59" spans="1:8" x14ac:dyDescent="0.2">
      <c r="A59" t="s">
        <v>35</v>
      </c>
      <c r="B59">
        <v>32.43394</v>
      </c>
      <c r="C59" s="154" t="s">
        <v>160</v>
      </c>
      <c r="D59" s="154" t="s">
        <v>160</v>
      </c>
      <c r="E59">
        <v>9.7899999999999991</v>
      </c>
      <c r="F59">
        <v>9.9600000000000009</v>
      </c>
      <c r="G59">
        <v>-0.17000000000000171</v>
      </c>
      <c r="H59" t="str">
        <f t="shared" si="0"/>
        <v>SHORT</v>
      </c>
    </row>
    <row r="60" spans="1:8" x14ac:dyDescent="0.2">
      <c r="A60" t="s">
        <v>40</v>
      </c>
      <c r="B60">
        <v>4.6200000000000001E-4</v>
      </c>
      <c r="C60" s="154" t="s">
        <v>193</v>
      </c>
      <c r="D60" s="154" t="s">
        <v>194</v>
      </c>
      <c r="E60">
        <v>0.72</v>
      </c>
      <c r="F60">
        <v>0.61</v>
      </c>
      <c r="G60">
        <v>0.11</v>
      </c>
      <c r="H60" t="str">
        <f t="shared" si="0"/>
        <v>SHORT</v>
      </c>
    </row>
    <row r="61" spans="1:8" x14ac:dyDescent="0.2">
      <c r="A61" t="s">
        <v>40</v>
      </c>
      <c r="B61">
        <v>3.6103799999999998E-3</v>
      </c>
      <c r="C61" s="154" t="s">
        <v>193</v>
      </c>
      <c r="D61" s="154" t="s">
        <v>194</v>
      </c>
      <c r="E61">
        <v>4.92</v>
      </c>
      <c r="F61">
        <v>4.76</v>
      </c>
      <c r="G61">
        <v>0.16000000000000009</v>
      </c>
      <c r="H61" t="str">
        <f t="shared" si="0"/>
        <v>SHORT</v>
      </c>
    </row>
    <row r="62" spans="1:8" x14ac:dyDescent="0.2">
      <c r="A62" t="s">
        <v>40</v>
      </c>
      <c r="B62">
        <v>1.44287E-3</v>
      </c>
      <c r="C62" s="154" t="s">
        <v>193</v>
      </c>
      <c r="D62" s="154" t="s">
        <v>194</v>
      </c>
      <c r="E62">
        <v>1.86</v>
      </c>
      <c r="F62">
        <v>1.9</v>
      </c>
      <c r="G62">
        <v>-3.9999999999999807E-2</v>
      </c>
      <c r="H62" t="str">
        <f t="shared" si="0"/>
        <v>SHORT</v>
      </c>
    </row>
    <row r="63" spans="1:8" x14ac:dyDescent="0.2">
      <c r="A63" t="s">
        <v>40</v>
      </c>
      <c r="B63">
        <v>3.7800000000000003E-4</v>
      </c>
      <c r="C63" s="154" t="s">
        <v>193</v>
      </c>
      <c r="D63" s="154" t="s">
        <v>194</v>
      </c>
      <c r="E63">
        <v>0.66</v>
      </c>
      <c r="F63">
        <v>0.5</v>
      </c>
      <c r="G63">
        <v>0.16</v>
      </c>
      <c r="H63" t="str">
        <f t="shared" si="0"/>
        <v>SHORT</v>
      </c>
    </row>
    <row r="64" spans="1:8" x14ac:dyDescent="0.2">
      <c r="A64" t="s">
        <v>40</v>
      </c>
      <c r="B64">
        <v>1.1246539999999999E-2</v>
      </c>
      <c r="C64" s="154" t="s">
        <v>182</v>
      </c>
      <c r="D64" s="154" t="s">
        <v>195</v>
      </c>
      <c r="E64">
        <v>19.010000000000002</v>
      </c>
      <c r="F64">
        <v>20</v>
      </c>
      <c r="G64">
        <v>-0.98999999999999844</v>
      </c>
      <c r="H64" t="str">
        <f t="shared" si="0"/>
        <v>SHORT</v>
      </c>
    </row>
    <row r="65" spans="1:8" x14ac:dyDescent="0.2">
      <c r="A65" t="s">
        <v>40</v>
      </c>
      <c r="B65">
        <v>1.127567E-2</v>
      </c>
      <c r="C65" s="154" t="s">
        <v>184</v>
      </c>
      <c r="D65" s="154" t="s">
        <v>195</v>
      </c>
      <c r="E65">
        <v>19.05</v>
      </c>
      <c r="F65">
        <v>20</v>
      </c>
      <c r="G65">
        <v>-0.94999999999999929</v>
      </c>
      <c r="H65" t="str">
        <f t="shared" si="0"/>
        <v>SHORT</v>
      </c>
    </row>
    <row r="66" spans="1:8" x14ac:dyDescent="0.2">
      <c r="A66" t="s">
        <v>40</v>
      </c>
      <c r="B66">
        <v>8.8209999999999997E-5</v>
      </c>
      <c r="C66" s="154" t="s">
        <v>196</v>
      </c>
      <c r="D66" s="154" t="s">
        <v>195</v>
      </c>
      <c r="E66">
        <v>0.15</v>
      </c>
      <c r="F66">
        <v>0.16</v>
      </c>
      <c r="G66">
        <v>-1.0000000000000011E-2</v>
      </c>
      <c r="H66" t="str">
        <f t="shared" si="0"/>
        <v>SHORT</v>
      </c>
    </row>
    <row r="67" spans="1:8" x14ac:dyDescent="0.2">
      <c r="A67" t="s">
        <v>40</v>
      </c>
      <c r="B67">
        <v>7.0717899999999997E-3</v>
      </c>
      <c r="C67" s="154" t="s">
        <v>196</v>
      </c>
      <c r="D67" s="154" t="s">
        <v>195</v>
      </c>
      <c r="E67">
        <v>11.95</v>
      </c>
      <c r="F67">
        <v>12.49</v>
      </c>
      <c r="G67">
        <v>-0.54000000000000092</v>
      </c>
      <c r="H67" t="str">
        <f t="shared" ref="H67:H130" si="1">IF(D67-C67 &gt; 365, "LONG", "SHORT")</f>
        <v>SHORT</v>
      </c>
    </row>
    <row r="68" spans="1:8" x14ac:dyDescent="0.2">
      <c r="A68" t="s">
        <v>40</v>
      </c>
      <c r="B68">
        <v>4.1671199999999999E-3</v>
      </c>
      <c r="C68" s="154" t="s">
        <v>196</v>
      </c>
      <c r="D68" s="154" t="s">
        <v>197</v>
      </c>
      <c r="E68">
        <v>7.08</v>
      </c>
      <c r="F68">
        <v>7.36</v>
      </c>
      <c r="G68">
        <v>-0.28000000000000019</v>
      </c>
      <c r="H68" t="str">
        <f t="shared" si="1"/>
        <v>SHORT</v>
      </c>
    </row>
    <row r="69" spans="1:8" x14ac:dyDescent="0.2">
      <c r="A69" t="s">
        <v>40</v>
      </c>
      <c r="B69">
        <v>5.4917010000000002E-2</v>
      </c>
      <c r="C69" s="154" t="s">
        <v>156</v>
      </c>
      <c r="D69" s="154" t="s">
        <v>197</v>
      </c>
      <c r="E69">
        <v>93.31</v>
      </c>
      <c r="F69">
        <v>93.69</v>
      </c>
      <c r="G69">
        <v>-0.37999999999999551</v>
      </c>
      <c r="H69" t="str">
        <f t="shared" si="1"/>
        <v>SHORT</v>
      </c>
    </row>
    <row r="70" spans="1:8" x14ac:dyDescent="0.2">
      <c r="A70" t="s">
        <v>40</v>
      </c>
      <c r="B70">
        <v>5.859031E-2</v>
      </c>
      <c r="C70" s="154" t="s">
        <v>195</v>
      </c>
      <c r="D70" s="154" t="s">
        <v>197</v>
      </c>
      <c r="E70">
        <v>99.55</v>
      </c>
      <c r="F70">
        <v>100</v>
      </c>
      <c r="G70">
        <v>-0.45000000000000279</v>
      </c>
      <c r="H70" t="str">
        <f t="shared" si="1"/>
        <v>SHORT</v>
      </c>
    </row>
    <row r="71" spans="1:8" x14ac:dyDescent="0.2">
      <c r="A71" t="s">
        <v>40</v>
      </c>
      <c r="B71">
        <v>5.483242E-2</v>
      </c>
      <c r="C71" s="154" t="s">
        <v>198</v>
      </c>
      <c r="D71" s="154" t="s">
        <v>197</v>
      </c>
      <c r="E71">
        <v>93.17</v>
      </c>
      <c r="F71">
        <v>100</v>
      </c>
      <c r="G71">
        <v>-6.8299999999999983</v>
      </c>
      <c r="H71" t="str">
        <f t="shared" si="1"/>
        <v>SHORT</v>
      </c>
    </row>
    <row r="72" spans="1:8" x14ac:dyDescent="0.2">
      <c r="A72" t="s">
        <v>40</v>
      </c>
      <c r="B72">
        <v>5.6839099999999997E-2</v>
      </c>
      <c r="C72" s="154" t="s">
        <v>197</v>
      </c>
      <c r="D72" s="154" t="s">
        <v>197</v>
      </c>
      <c r="E72">
        <v>96.57</v>
      </c>
      <c r="F72">
        <v>100</v>
      </c>
      <c r="G72">
        <v>-3.4300000000000068</v>
      </c>
      <c r="H72" t="str">
        <f t="shared" si="1"/>
        <v>SHORT</v>
      </c>
    </row>
    <row r="73" spans="1:8" x14ac:dyDescent="0.2">
      <c r="A73" t="s">
        <v>40</v>
      </c>
      <c r="B73">
        <v>5.04E-4</v>
      </c>
      <c r="C73" s="154" t="s">
        <v>156</v>
      </c>
      <c r="D73" s="154" t="s">
        <v>192</v>
      </c>
      <c r="E73">
        <v>1.29</v>
      </c>
      <c r="F73">
        <v>0.86</v>
      </c>
      <c r="G73">
        <v>0.43</v>
      </c>
      <c r="H73" t="str">
        <f t="shared" si="1"/>
        <v>SHORT</v>
      </c>
    </row>
    <row r="74" spans="1:8" x14ac:dyDescent="0.2">
      <c r="A74" t="s">
        <v>40</v>
      </c>
      <c r="B74">
        <v>5.2499000000000003E-4</v>
      </c>
      <c r="C74" s="154" t="s">
        <v>150</v>
      </c>
      <c r="D74" s="154" t="s">
        <v>192</v>
      </c>
      <c r="E74">
        <v>0.9</v>
      </c>
      <c r="F74">
        <v>0.62</v>
      </c>
      <c r="G74">
        <v>0.28000000000000003</v>
      </c>
      <c r="H74" t="str">
        <f t="shared" si="1"/>
        <v>SHORT</v>
      </c>
    </row>
    <row r="75" spans="1:8" x14ac:dyDescent="0.2">
      <c r="A75" t="s">
        <v>40</v>
      </c>
      <c r="B75">
        <v>3.0431000000000002E-4</v>
      </c>
      <c r="C75" s="154" t="s">
        <v>156</v>
      </c>
      <c r="D75" s="154" t="s">
        <v>160</v>
      </c>
      <c r="E75">
        <v>0.59</v>
      </c>
      <c r="F75">
        <v>0.52</v>
      </c>
      <c r="G75">
        <v>6.9999999999999951E-2</v>
      </c>
      <c r="H75" t="str">
        <f t="shared" si="1"/>
        <v>SHORT</v>
      </c>
    </row>
    <row r="76" spans="1:8" x14ac:dyDescent="0.2">
      <c r="A76" t="s">
        <v>40</v>
      </c>
      <c r="B76">
        <v>1.0055999999999999E-3</v>
      </c>
      <c r="C76" s="154" t="s">
        <v>156</v>
      </c>
      <c r="D76" s="154" t="s">
        <v>160</v>
      </c>
      <c r="E76">
        <v>1.93</v>
      </c>
      <c r="F76">
        <v>3.01</v>
      </c>
      <c r="G76">
        <v>-1.08</v>
      </c>
      <c r="H76" t="str">
        <f t="shared" si="1"/>
        <v>SHORT</v>
      </c>
    </row>
    <row r="77" spans="1:8" x14ac:dyDescent="0.2">
      <c r="A77" t="s">
        <v>40</v>
      </c>
      <c r="B77">
        <v>3.0227999999999999E-4</v>
      </c>
      <c r="C77" s="154" t="s">
        <v>150</v>
      </c>
      <c r="D77" s="154" t="s">
        <v>199</v>
      </c>
      <c r="E77">
        <v>0.55000000000000004</v>
      </c>
      <c r="F77">
        <v>0.36</v>
      </c>
      <c r="G77">
        <v>0.19000000000000011</v>
      </c>
      <c r="H77" t="str">
        <f t="shared" si="1"/>
        <v>SHORT</v>
      </c>
    </row>
    <row r="78" spans="1:8" x14ac:dyDescent="0.2">
      <c r="A78" t="s">
        <v>40</v>
      </c>
      <c r="B78">
        <v>1.582851E-2</v>
      </c>
      <c r="C78" s="154" t="s">
        <v>150</v>
      </c>
      <c r="D78" s="154" t="s">
        <v>199</v>
      </c>
      <c r="E78">
        <v>28.12</v>
      </c>
      <c r="F78">
        <v>18.670000000000002</v>
      </c>
      <c r="G78">
        <v>9.4499999999999993</v>
      </c>
      <c r="H78" t="str">
        <f t="shared" si="1"/>
        <v>SHORT</v>
      </c>
    </row>
    <row r="79" spans="1:8" x14ac:dyDescent="0.2">
      <c r="A79" t="s">
        <v>40</v>
      </c>
      <c r="B79">
        <v>4.3895480000000001E-2</v>
      </c>
      <c r="C79" s="154" t="s">
        <v>200</v>
      </c>
      <c r="D79" s="154" t="s">
        <v>199</v>
      </c>
      <c r="E79">
        <v>77.98</v>
      </c>
      <c r="F79">
        <v>53.05</v>
      </c>
      <c r="G79">
        <v>24.93000000000001</v>
      </c>
      <c r="H79" t="str">
        <f t="shared" si="1"/>
        <v>SHORT</v>
      </c>
    </row>
    <row r="80" spans="1:8" x14ac:dyDescent="0.2">
      <c r="A80" t="s">
        <v>40</v>
      </c>
      <c r="B80">
        <v>0.30988966000000001</v>
      </c>
      <c r="C80" s="154" t="s">
        <v>201</v>
      </c>
      <c r="D80" s="154" t="s">
        <v>199</v>
      </c>
      <c r="E80">
        <v>550.54999999999995</v>
      </c>
      <c r="F80">
        <v>382.25</v>
      </c>
      <c r="G80">
        <v>168.3</v>
      </c>
      <c r="H80" t="str">
        <f t="shared" si="1"/>
        <v>SHORT</v>
      </c>
    </row>
    <row r="81" spans="1:8" x14ac:dyDescent="0.2">
      <c r="A81" t="s">
        <v>40</v>
      </c>
      <c r="B81">
        <v>1.6844990000000001E-2</v>
      </c>
      <c r="C81" s="154" t="s">
        <v>202</v>
      </c>
      <c r="D81" s="154" t="s">
        <v>199</v>
      </c>
      <c r="E81">
        <v>29.93</v>
      </c>
      <c r="F81">
        <v>20.010000000000002</v>
      </c>
      <c r="G81">
        <v>9.9199999999999982</v>
      </c>
      <c r="H81" t="str">
        <f t="shared" si="1"/>
        <v>SHORT</v>
      </c>
    </row>
    <row r="82" spans="1:8" x14ac:dyDescent="0.2">
      <c r="A82" t="s">
        <v>40</v>
      </c>
      <c r="B82">
        <v>0.12354800000000001</v>
      </c>
      <c r="C82" s="154" t="s">
        <v>203</v>
      </c>
      <c r="D82" s="154" t="s">
        <v>199</v>
      </c>
      <c r="E82">
        <v>219.5</v>
      </c>
      <c r="F82">
        <v>150.13</v>
      </c>
      <c r="G82">
        <v>69.37</v>
      </c>
      <c r="H82" t="str">
        <f t="shared" si="1"/>
        <v>SHORT</v>
      </c>
    </row>
    <row r="83" spans="1:8" x14ac:dyDescent="0.2">
      <c r="A83" t="s">
        <v>40</v>
      </c>
      <c r="B83">
        <v>1.631107E-2</v>
      </c>
      <c r="C83" s="154" t="s">
        <v>204</v>
      </c>
      <c r="D83" s="154" t="s">
        <v>199</v>
      </c>
      <c r="E83">
        <v>28.98</v>
      </c>
      <c r="F83">
        <v>20.010000000000002</v>
      </c>
      <c r="G83">
        <v>8.9699999999999989</v>
      </c>
      <c r="H83" t="str">
        <f t="shared" si="1"/>
        <v>SHORT</v>
      </c>
    </row>
    <row r="84" spans="1:8" x14ac:dyDescent="0.2">
      <c r="A84" t="s">
        <v>40</v>
      </c>
      <c r="B84">
        <v>3.627938E-2</v>
      </c>
      <c r="C84" s="154" t="s">
        <v>205</v>
      </c>
      <c r="D84" s="154" t="s">
        <v>199</v>
      </c>
      <c r="E84">
        <v>64.45</v>
      </c>
      <c r="F84">
        <v>44.84</v>
      </c>
      <c r="G84">
        <v>19.61</v>
      </c>
      <c r="H84" t="str">
        <f t="shared" si="1"/>
        <v>SHORT</v>
      </c>
    </row>
    <row r="85" spans="1:8" x14ac:dyDescent="0.2">
      <c r="A85" t="s">
        <v>40</v>
      </c>
      <c r="B85">
        <v>8.3765999999999993E-2</v>
      </c>
      <c r="C85" s="154" t="s">
        <v>206</v>
      </c>
      <c r="D85" s="154" t="s">
        <v>199</v>
      </c>
      <c r="E85">
        <v>148.82</v>
      </c>
      <c r="F85">
        <v>100.1</v>
      </c>
      <c r="G85">
        <v>48.72</v>
      </c>
      <c r="H85" t="str">
        <f t="shared" si="1"/>
        <v>SHORT</v>
      </c>
    </row>
    <row r="86" spans="1:8" x14ac:dyDescent="0.2">
      <c r="A86" t="s">
        <v>40</v>
      </c>
      <c r="B86">
        <v>1.6572420000000001E-2</v>
      </c>
      <c r="C86" s="154" t="s">
        <v>207</v>
      </c>
      <c r="D86" s="154" t="s">
        <v>199</v>
      </c>
      <c r="E86">
        <v>29.44</v>
      </c>
      <c r="F86">
        <v>20.010000000000002</v>
      </c>
      <c r="G86">
        <v>9.43</v>
      </c>
      <c r="H86" t="str">
        <f t="shared" si="1"/>
        <v>SHORT</v>
      </c>
    </row>
    <row r="87" spans="1:8" x14ac:dyDescent="0.2">
      <c r="A87" t="s">
        <v>40</v>
      </c>
      <c r="B87">
        <v>5.8256000000000002E-2</v>
      </c>
      <c r="C87" s="154" t="s">
        <v>207</v>
      </c>
      <c r="D87" s="154" t="s">
        <v>199</v>
      </c>
      <c r="E87">
        <v>103.5</v>
      </c>
      <c r="F87">
        <v>70.08</v>
      </c>
      <c r="G87">
        <v>33.42</v>
      </c>
      <c r="H87" t="str">
        <f t="shared" si="1"/>
        <v>SHORT</v>
      </c>
    </row>
    <row r="88" spans="1:8" x14ac:dyDescent="0.2">
      <c r="A88" t="s">
        <v>40</v>
      </c>
      <c r="B88">
        <v>9.2878600000000002E-3</v>
      </c>
      <c r="C88" s="154" t="s">
        <v>193</v>
      </c>
      <c r="D88" s="154" t="s">
        <v>199</v>
      </c>
      <c r="E88">
        <v>16.5</v>
      </c>
      <c r="F88">
        <v>12.24</v>
      </c>
      <c r="G88">
        <v>4.26</v>
      </c>
      <c r="H88" t="str">
        <f t="shared" si="1"/>
        <v>SHORT</v>
      </c>
    </row>
    <row r="89" spans="1:8" x14ac:dyDescent="0.2">
      <c r="A89" t="s">
        <v>40</v>
      </c>
      <c r="B89">
        <v>3.00987E-3</v>
      </c>
      <c r="C89" s="154" t="s">
        <v>194</v>
      </c>
      <c r="D89" s="154" t="s">
        <v>199</v>
      </c>
      <c r="E89">
        <v>5.35</v>
      </c>
      <c r="F89">
        <v>4.16</v>
      </c>
      <c r="G89">
        <v>1.19</v>
      </c>
      <c r="H89" t="str">
        <f t="shared" si="1"/>
        <v>SHORT</v>
      </c>
    </row>
    <row r="90" spans="1:8" x14ac:dyDescent="0.2">
      <c r="A90" t="s">
        <v>40</v>
      </c>
      <c r="B90">
        <v>1.27051E-2</v>
      </c>
      <c r="C90" s="154" t="s">
        <v>208</v>
      </c>
      <c r="D90" s="154" t="s">
        <v>199</v>
      </c>
      <c r="E90">
        <v>22.57</v>
      </c>
      <c r="F90">
        <v>20.010000000000002</v>
      </c>
      <c r="G90">
        <v>2.5599999999999992</v>
      </c>
      <c r="H90" t="str">
        <f t="shared" si="1"/>
        <v>SHORT</v>
      </c>
    </row>
    <row r="91" spans="1:8" x14ac:dyDescent="0.2">
      <c r="A91" t="s">
        <v>40</v>
      </c>
      <c r="B91">
        <v>0.17811527999999999</v>
      </c>
      <c r="C91" s="154" t="s">
        <v>163</v>
      </c>
      <c r="D91" s="154" t="s">
        <v>199</v>
      </c>
      <c r="E91">
        <v>316.44</v>
      </c>
      <c r="F91">
        <v>300.02999999999997</v>
      </c>
      <c r="G91">
        <v>16.410000000000029</v>
      </c>
      <c r="H91" t="str">
        <f t="shared" si="1"/>
        <v>SHORT</v>
      </c>
    </row>
    <row r="92" spans="1:8" x14ac:dyDescent="0.2">
      <c r="A92" t="s">
        <v>40</v>
      </c>
      <c r="B92">
        <v>7.1284349999999996E-2</v>
      </c>
      <c r="C92" s="154" t="s">
        <v>163</v>
      </c>
      <c r="D92" s="154" t="s">
        <v>199</v>
      </c>
      <c r="E92">
        <v>126.64</v>
      </c>
      <c r="F92">
        <v>120.02</v>
      </c>
      <c r="G92">
        <v>6.6200000000000054</v>
      </c>
      <c r="H92" t="str">
        <f t="shared" si="1"/>
        <v>SHORT</v>
      </c>
    </row>
    <row r="93" spans="1:8" x14ac:dyDescent="0.2">
      <c r="A93" t="s">
        <v>40</v>
      </c>
      <c r="B93">
        <v>3.5688500000000001E-3</v>
      </c>
      <c r="C93" s="154" t="s">
        <v>163</v>
      </c>
      <c r="D93" s="154" t="s">
        <v>199</v>
      </c>
      <c r="E93">
        <v>6.34</v>
      </c>
      <c r="F93">
        <v>5.99</v>
      </c>
      <c r="G93">
        <v>0.34999999999999959</v>
      </c>
      <c r="H93" t="str">
        <f t="shared" si="1"/>
        <v>SHORT</v>
      </c>
    </row>
    <row r="94" spans="1:8" x14ac:dyDescent="0.2">
      <c r="A94" t="s">
        <v>40</v>
      </c>
      <c r="B94">
        <v>6.5716040000000003E-2</v>
      </c>
      <c r="C94" s="154" t="s">
        <v>155</v>
      </c>
      <c r="D94" s="154" t="s">
        <v>199</v>
      </c>
      <c r="E94">
        <v>116.75</v>
      </c>
      <c r="F94">
        <v>100.07</v>
      </c>
      <c r="G94">
        <v>16.68000000000001</v>
      </c>
      <c r="H94" t="str">
        <f t="shared" si="1"/>
        <v>SHORT</v>
      </c>
    </row>
    <row r="95" spans="1:8" x14ac:dyDescent="0.2">
      <c r="A95" t="s">
        <v>40</v>
      </c>
      <c r="B95">
        <v>6.5987909999999997E-2</v>
      </c>
      <c r="C95" s="154" t="s">
        <v>156</v>
      </c>
      <c r="D95" s="154" t="s">
        <v>199</v>
      </c>
      <c r="E95">
        <v>117.23</v>
      </c>
      <c r="F95">
        <v>112.66</v>
      </c>
      <c r="G95">
        <v>4.5700000000000074</v>
      </c>
      <c r="H95" t="str">
        <f t="shared" si="1"/>
        <v>SHORT</v>
      </c>
    </row>
    <row r="96" spans="1:8" x14ac:dyDescent="0.2">
      <c r="A96" t="s">
        <v>40</v>
      </c>
      <c r="B96">
        <v>0.11851100000000001</v>
      </c>
      <c r="C96" s="154" t="s">
        <v>209</v>
      </c>
      <c r="D96" s="154" t="s">
        <v>199</v>
      </c>
      <c r="E96">
        <v>210.55</v>
      </c>
      <c r="F96">
        <v>201.12</v>
      </c>
      <c r="G96">
        <v>9.4300000000000068</v>
      </c>
      <c r="H96" t="str">
        <f t="shared" si="1"/>
        <v>SHORT</v>
      </c>
    </row>
    <row r="97" spans="1:8" x14ac:dyDescent="0.2">
      <c r="A97" t="s">
        <v>40</v>
      </c>
      <c r="B97">
        <v>6.234141E-2</v>
      </c>
      <c r="C97" s="154" t="s">
        <v>210</v>
      </c>
      <c r="D97" s="154" t="s">
        <v>199</v>
      </c>
      <c r="E97">
        <v>110.76</v>
      </c>
      <c r="F97">
        <v>100.07</v>
      </c>
      <c r="G97">
        <v>10.69000000000001</v>
      </c>
      <c r="H97" t="str">
        <f t="shared" si="1"/>
        <v>SHORT</v>
      </c>
    </row>
    <row r="98" spans="1:8" x14ac:dyDescent="0.2">
      <c r="A98" t="s">
        <v>40</v>
      </c>
      <c r="B98">
        <v>9.3259999999999998E-5</v>
      </c>
      <c r="C98" s="154" t="s">
        <v>188</v>
      </c>
      <c r="D98" s="154" t="s">
        <v>199</v>
      </c>
      <c r="E98">
        <v>0.17</v>
      </c>
      <c r="F98">
        <v>0.15</v>
      </c>
      <c r="G98">
        <v>2.0000000000000021E-2</v>
      </c>
      <c r="H98" t="str">
        <f t="shared" si="1"/>
        <v>SHORT</v>
      </c>
    </row>
    <row r="99" spans="1:8" x14ac:dyDescent="0.2">
      <c r="A99" t="s">
        <v>40</v>
      </c>
      <c r="B99">
        <v>6.3290739999999998E-2</v>
      </c>
      <c r="C99" s="154" t="s">
        <v>211</v>
      </c>
      <c r="D99" s="154" t="s">
        <v>199</v>
      </c>
      <c r="E99">
        <v>112.44</v>
      </c>
      <c r="F99">
        <v>100.07</v>
      </c>
      <c r="G99">
        <v>12.37</v>
      </c>
      <c r="H99" t="str">
        <f t="shared" si="1"/>
        <v>SHORT</v>
      </c>
    </row>
    <row r="100" spans="1:8" x14ac:dyDescent="0.2">
      <c r="A100" t="s">
        <v>40</v>
      </c>
      <c r="B100">
        <v>6.8026279999999995E-2</v>
      </c>
      <c r="C100" s="154" t="s">
        <v>212</v>
      </c>
      <c r="D100" s="154" t="s">
        <v>199</v>
      </c>
      <c r="E100">
        <v>120.86</v>
      </c>
      <c r="F100">
        <v>100.07</v>
      </c>
      <c r="G100">
        <v>20.79000000000001</v>
      </c>
      <c r="H100" t="str">
        <f t="shared" si="1"/>
        <v>SHORT</v>
      </c>
    </row>
    <row r="101" spans="1:8" x14ac:dyDescent="0.2">
      <c r="A101" t="s">
        <v>47</v>
      </c>
      <c r="B101">
        <v>73.095058030000004</v>
      </c>
      <c r="C101" s="154" t="s">
        <v>147</v>
      </c>
      <c r="D101" s="154" t="s">
        <v>192</v>
      </c>
      <c r="E101">
        <v>150.16999999999999</v>
      </c>
      <c r="F101">
        <v>194.39</v>
      </c>
      <c r="G101">
        <v>-44.22</v>
      </c>
      <c r="H101" t="str">
        <f t="shared" si="1"/>
        <v>SHORT</v>
      </c>
    </row>
    <row r="102" spans="1:8" x14ac:dyDescent="0.2">
      <c r="A102" t="s">
        <v>47</v>
      </c>
      <c r="B102">
        <v>215.65512081</v>
      </c>
      <c r="C102" s="154" t="s">
        <v>147</v>
      </c>
      <c r="D102" s="154" t="s">
        <v>192</v>
      </c>
      <c r="E102">
        <v>443.06</v>
      </c>
      <c r="F102">
        <v>571.37</v>
      </c>
      <c r="G102">
        <v>-128.31</v>
      </c>
      <c r="H102" t="str">
        <f t="shared" si="1"/>
        <v>SHORT</v>
      </c>
    </row>
    <row r="103" spans="1:8" x14ac:dyDescent="0.2">
      <c r="A103" t="s">
        <v>46</v>
      </c>
      <c r="B103">
        <v>314.03690116000001</v>
      </c>
      <c r="C103" s="154" t="s">
        <v>197</v>
      </c>
      <c r="D103" s="154" t="s">
        <v>192</v>
      </c>
      <c r="E103">
        <v>363.23</v>
      </c>
      <c r="F103">
        <v>389.68</v>
      </c>
      <c r="G103">
        <v>-26.449999999999989</v>
      </c>
      <c r="H103" t="str">
        <f t="shared" si="1"/>
        <v>SHORT</v>
      </c>
    </row>
    <row r="104" spans="1:8" x14ac:dyDescent="0.2">
      <c r="A104" t="s">
        <v>37</v>
      </c>
      <c r="B104">
        <v>1000.12</v>
      </c>
      <c r="C104" s="154" t="s">
        <v>213</v>
      </c>
      <c r="D104" s="154" t="s">
        <v>213</v>
      </c>
      <c r="E104">
        <v>992.17</v>
      </c>
      <c r="F104">
        <v>1000.12</v>
      </c>
      <c r="G104">
        <v>-7.9500000000000446</v>
      </c>
      <c r="H104" t="str">
        <f t="shared" si="1"/>
        <v>SHORT</v>
      </c>
    </row>
    <row r="105" spans="1:8" x14ac:dyDescent="0.2">
      <c r="A105" t="s">
        <v>37</v>
      </c>
      <c r="B105">
        <v>231.88</v>
      </c>
      <c r="C105" s="154" t="s">
        <v>213</v>
      </c>
      <c r="D105" s="154" t="s">
        <v>213</v>
      </c>
      <c r="E105">
        <v>229.5</v>
      </c>
      <c r="F105">
        <v>231.88</v>
      </c>
      <c r="G105">
        <v>-2.379999999999995</v>
      </c>
      <c r="H105" t="str">
        <f t="shared" si="1"/>
        <v>SHORT</v>
      </c>
    </row>
    <row r="106" spans="1:8" x14ac:dyDescent="0.2">
      <c r="A106" t="s">
        <v>37</v>
      </c>
      <c r="B106">
        <v>267.84058800000003</v>
      </c>
      <c r="C106" s="154" t="s">
        <v>214</v>
      </c>
      <c r="D106" s="154" t="s">
        <v>214</v>
      </c>
      <c r="E106">
        <v>267.83999999999997</v>
      </c>
      <c r="F106">
        <v>270.66000000000003</v>
      </c>
      <c r="G106">
        <v>-2.82000000000005</v>
      </c>
      <c r="H106" t="str">
        <f t="shared" si="1"/>
        <v>SHORT</v>
      </c>
    </row>
    <row r="107" spans="1:8" x14ac:dyDescent="0.2">
      <c r="A107" t="s">
        <v>49</v>
      </c>
      <c r="B107">
        <v>0.83455038999999998</v>
      </c>
      <c r="C107" s="154" t="s">
        <v>169</v>
      </c>
      <c r="D107" s="154" t="s">
        <v>163</v>
      </c>
      <c r="E107">
        <v>119.94</v>
      </c>
      <c r="F107">
        <v>137.72999999999999</v>
      </c>
      <c r="G107">
        <v>-17.789999999999988</v>
      </c>
      <c r="H107" t="str">
        <f t="shared" si="1"/>
        <v>SHORT</v>
      </c>
    </row>
    <row r="108" spans="1:8" x14ac:dyDescent="0.2">
      <c r="A108" t="s">
        <v>49</v>
      </c>
      <c r="B108">
        <v>0.37735037999999999</v>
      </c>
      <c r="C108" s="154" t="s">
        <v>169</v>
      </c>
      <c r="D108" s="154" t="s">
        <v>188</v>
      </c>
      <c r="E108">
        <v>48.47</v>
      </c>
      <c r="F108">
        <v>62.27</v>
      </c>
      <c r="G108">
        <v>-13.8</v>
      </c>
      <c r="H108" t="str">
        <f t="shared" si="1"/>
        <v>SHORT</v>
      </c>
    </row>
    <row r="109" spans="1:8" x14ac:dyDescent="0.2">
      <c r="A109" t="s">
        <v>49</v>
      </c>
      <c r="B109">
        <v>0.16911129</v>
      </c>
      <c r="C109" s="154" t="s">
        <v>148</v>
      </c>
      <c r="D109" s="154" t="s">
        <v>188</v>
      </c>
      <c r="E109">
        <v>21.72</v>
      </c>
      <c r="F109">
        <v>20</v>
      </c>
      <c r="G109">
        <v>1.7199999999999991</v>
      </c>
      <c r="H109" t="str">
        <f t="shared" si="1"/>
        <v>SHORT</v>
      </c>
    </row>
    <row r="110" spans="1:8" x14ac:dyDescent="0.2">
      <c r="A110" t="s">
        <v>49</v>
      </c>
      <c r="B110">
        <v>0.17671609999999999</v>
      </c>
      <c r="C110" s="154" t="s">
        <v>150</v>
      </c>
      <c r="D110" s="154" t="s">
        <v>188</v>
      </c>
      <c r="E110">
        <v>22.7</v>
      </c>
      <c r="F110">
        <v>20</v>
      </c>
      <c r="G110">
        <v>2.6999999999999988</v>
      </c>
      <c r="H110" t="str">
        <f t="shared" si="1"/>
        <v>SHORT</v>
      </c>
    </row>
    <row r="111" spans="1:8" x14ac:dyDescent="0.2">
      <c r="A111" t="s">
        <v>49</v>
      </c>
      <c r="B111">
        <v>0.15407246999999999</v>
      </c>
      <c r="C111" s="154" t="s">
        <v>151</v>
      </c>
      <c r="D111" s="154" t="s">
        <v>188</v>
      </c>
      <c r="E111">
        <v>19.79</v>
      </c>
      <c r="F111">
        <v>20</v>
      </c>
      <c r="G111">
        <v>-0.21000000000000091</v>
      </c>
      <c r="H111" t="str">
        <f t="shared" si="1"/>
        <v>SHORT</v>
      </c>
    </row>
    <row r="112" spans="1:8" x14ac:dyDescent="0.2">
      <c r="A112" t="s">
        <v>49</v>
      </c>
      <c r="B112">
        <v>0.17153694</v>
      </c>
      <c r="C112" s="154" t="s">
        <v>215</v>
      </c>
      <c r="D112" s="154" t="s">
        <v>188</v>
      </c>
      <c r="E112">
        <v>22.03</v>
      </c>
      <c r="F112">
        <v>20</v>
      </c>
      <c r="G112">
        <v>2.0300000000000011</v>
      </c>
      <c r="H112" t="str">
        <f t="shared" si="1"/>
        <v>SHORT</v>
      </c>
    </row>
    <row r="113" spans="1:8" x14ac:dyDescent="0.2">
      <c r="A113" t="s">
        <v>49</v>
      </c>
      <c r="B113">
        <v>0.18022097000000001</v>
      </c>
      <c r="C113" s="154" t="s">
        <v>202</v>
      </c>
      <c r="D113" s="154" t="s">
        <v>188</v>
      </c>
      <c r="E113">
        <v>23.15</v>
      </c>
      <c r="F113">
        <v>20</v>
      </c>
      <c r="G113">
        <v>3.149999999999999</v>
      </c>
      <c r="H113" t="str">
        <f t="shared" si="1"/>
        <v>SHORT</v>
      </c>
    </row>
    <row r="114" spans="1:8" x14ac:dyDescent="0.2">
      <c r="A114" t="s">
        <v>49</v>
      </c>
      <c r="B114">
        <v>0.18544404</v>
      </c>
      <c r="C114" s="154" t="s">
        <v>204</v>
      </c>
      <c r="D114" s="154" t="s">
        <v>188</v>
      </c>
      <c r="E114">
        <v>23.82</v>
      </c>
      <c r="F114">
        <v>20</v>
      </c>
      <c r="G114">
        <v>3.82</v>
      </c>
      <c r="H114" t="str">
        <f t="shared" si="1"/>
        <v>SHORT</v>
      </c>
    </row>
    <row r="115" spans="1:8" x14ac:dyDescent="0.2">
      <c r="A115" t="s">
        <v>49</v>
      </c>
      <c r="B115">
        <v>0.18579030999999999</v>
      </c>
      <c r="C115" s="154" t="s">
        <v>207</v>
      </c>
      <c r="D115" s="154" t="s">
        <v>188</v>
      </c>
      <c r="E115">
        <v>23.86</v>
      </c>
      <c r="F115">
        <v>20</v>
      </c>
      <c r="G115">
        <v>3.859999999999999</v>
      </c>
      <c r="H115" t="str">
        <f t="shared" si="1"/>
        <v>SHORT</v>
      </c>
    </row>
    <row r="116" spans="1:8" x14ac:dyDescent="0.2">
      <c r="A116" t="s">
        <v>49</v>
      </c>
      <c r="B116">
        <v>0.16864407000000001</v>
      </c>
      <c r="C116" s="154" t="s">
        <v>193</v>
      </c>
      <c r="D116" s="154" t="s">
        <v>188</v>
      </c>
      <c r="E116">
        <v>21.66</v>
      </c>
      <c r="F116">
        <v>20</v>
      </c>
      <c r="G116">
        <v>1.66</v>
      </c>
      <c r="H116" t="str">
        <f t="shared" si="1"/>
        <v>SHORT</v>
      </c>
    </row>
    <row r="117" spans="1:8" x14ac:dyDescent="0.2">
      <c r="A117" t="s">
        <v>49</v>
      </c>
      <c r="B117">
        <v>0.15222214000000001</v>
      </c>
      <c r="C117" s="154" t="s">
        <v>210</v>
      </c>
      <c r="D117" s="154" t="s">
        <v>188</v>
      </c>
      <c r="E117">
        <v>19.55</v>
      </c>
      <c r="F117">
        <v>20</v>
      </c>
      <c r="G117">
        <v>-0.44999999999999929</v>
      </c>
      <c r="H117" t="str">
        <f t="shared" si="1"/>
        <v>SHORT</v>
      </c>
    </row>
    <row r="118" spans="1:8" x14ac:dyDescent="0.2">
      <c r="A118" t="s">
        <v>49</v>
      </c>
      <c r="B118">
        <v>3.07045689</v>
      </c>
      <c r="C118" s="154" t="s">
        <v>149</v>
      </c>
      <c r="D118" s="154" t="s">
        <v>158</v>
      </c>
      <c r="E118">
        <v>369.59</v>
      </c>
      <c r="F118">
        <v>400.08</v>
      </c>
      <c r="G118">
        <v>-30.490000000000009</v>
      </c>
      <c r="H118" t="str">
        <f t="shared" si="1"/>
        <v>SHORT</v>
      </c>
    </row>
    <row r="119" spans="1:8" x14ac:dyDescent="0.2">
      <c r="A119" t="s">
        <v>33</v>
      </c>
      <c r="B119">
        <v>2.6423610000000002</v>
      </c>
      <c r="C119" s="154" t="s">
        <v>161</v>
      </c>
      <c r="D119" s="154" t="s">
        <v>162</v>
      </c>
      <c r="E119">
        <v>28.81</v>
      </c>
      <c r="F119">
        <v>34.880000000000003</v>
      </c>
      <c r="G119">
        <v>-6.0700000000000038</v>
      </c>
      <c r="H119" t="str">
        <f t="shared" si="1"/>
        <v>SHORT</v>
      </c>
    </row>
    <row r="120" spans="1:8" x14ac:dyDescent="0.2">
      <c r="A120" t="s">
        <v>33</v>
      </c>
      <c r="B120">
        <v>3.8843999999999997E-2</v>
      </c>
      <c r="C120" s="154" t="s">
        <v>216</v>
      </c>
      <c r="D120" s="154" t="s">
        <v>162</v>
      </c>
      <c r="E120">
        <v>0.42</v>
      </c>
      <c r="F120">
        <v>0.59</v>
      </c>
      <c r="G120">
        <v>-0.17</v>
      </c>
      <c r="H120" t="str">
        <f t="shared" si="1"/>
        <v>SHORT</v>
      </c>
    </row>
    <row r="121" spans="1:8" x14ac:dyDescent="0.2">
      <c r="A121" t="s">
        <v>33</v>
      </c>
      <c r="B121">
        <v>9.2077880000000007</v>
      </c>
      <c r="C121" s="154" t="s">
        <v>161</v>
      </c>
      <c r="D121" s="154" t="s">
        <v>210</v>
      </c>
      <c r="E121">
        <v>115.19</v>
      </c>
      <c r="F121">
        <v>121.54</v>
      </c>
      <c r="G121">
        <v>-6.3500000000000094</v>
      </c>
      <c r="H121" t="str">
        <f t="shared" si="1"/>
        <v>SHORT</v>
      </c>
    </row>
    <row r="122" spans="1:8" x14ac:dyDescent="0.2">
      <c r="A122" t="s">
        <v>33</v>
      </c>
      <c r="B122">
        <v>3.0880000000000001E-2</v>
      </c>
      <c r="C122" s="154" t="s">
        <v>217</v>
      </c>
      <c r="D122" s="154" t="s">
        <v>210</v>
      </c>
      <c r="E122">
        <v>0.39</v>
      </c>
      <c r="F122">
        <v>0.35</v>
      </c>
      <c r="G122">
        <v>4.0000000000000042E-2</v>
      </c>
      <c r="H122" t="str">
        <f t="shared" si="1"/>
        <v>SHORT</v>
      </c>
    </row>
    <row r="123" spans="1:8" x14ac:dyDescent="0.2">
      <c r="A123" t="s">
        <v>33</v>
      </c>
      <c r="B123">
        <v>2.2512999999999998E-2</v>
      </c>
      <c r="C123" s="154" t="s">
        <v>170</v>
      </c>
      <c r="D123" s="154" t="s">
        <v>210</v>
      </c>
      <c r="E123">
        <v>0.28000000000000003</v>
      </c>
      <c r="F123">
        <v>0.26</v>
      </c>
      <c r="G123">
        <v>2.0000000000000021E-2</v>
      </c>
      <c r="H123" t="str">
        <f t="shared" si="1"/>
        <v>SHORT</v>
      </c>
    </row>
    <row r="124" spans="1:8" x14ac:dyDescent="0.2">
      <c r="A124" t="s">
        <v>33</v>
      </c>
      <c r="B124">
        <v>1.1299999999999999E-3</v>
      </c>
      <c r="C124" s="154" t="s">
        <v>218</v>
      </c>
      <c r="D124" s="154" t="s">
        <v>210</v>
      </c>
      <c r="E124">
        <v>0.01</v>
      </c>
      <c r="F124">
        <v>0.01</v>
      </c>
      <c r="G124">
        <v>0</v>
      </c>
      <c r="H124" t="str">
        <f t="shared" si="1"/>
        <v>SHORT</v>
      </c>
    </row>
    <row r="125" spans="1:8" x14ac:dyDescent="0.2">
      <c r="A125" t="s">
        <v>33</v>
      </c>
      <c r="B125">
        <v>2.4909000000000001E-2</v>
      </c>
      <c r="C125" s="154" t="s">
        <v>172</v>
      </c>
      <c r="D125" s="154" t="s">
        <v>210</v>
      </c>
      <c r="E125">
        <v>0.31</v>
      </c>
      <c r="F125">
        <v>0.23</v>
      </c>
      <c r="G125">
        <v>7.9999999999999988E-2</v>
      </c>
      <c r="H125" t="str">
        <f t="shared" si="1"/>
        <v>SHORT</v>
      </c>
    </row>
    <row r="126" spans="1:8" x14ac:dyDescent="0.2">
      <c r="A126" t="s">
        <v>33</v>
      </c>
      <c r="B126">
        <v>2.1042999999999999E-2</v>
      </c>
      <c r="C126" s="154" t="s">
        <v>219</v>
      </c>
      <c r="D126" s="154" t="s">
        <v>210</v>
      </c>
      <c r="E126">
        <v>0.26</v>
      </c>
      <c r="F126">
        <v>0.21</v>
      </c>
      <c r="G126">
        <v>5.0000000000000017E-2</v>
      </c>
      <c r="H126" t="str">
        <f t="shared" si="1"/>
        <v>SHORT</v>
      </c>
    </row>
    <row r="127" spans="1:8" x14ac:dyDescent="0.2">
      <c r="A127" t="s">
        <v>33</v>
      </c>
      <c r="B127">
        <v>2.4102999999999999E-2</v>
      </c>
      <c r="C127" s="154" t="s">
        <v>174</v>
      </c>
      <c r="D127" s="154" t="s">
        <v>210</v>
      </c>
      <c r="E127">
        <v>0.3</v>
      </c>
      <c r="F127">
        <v>0.25</v>
      </c>
      <c r="G127">
        <v>4.9999999999999989E-2</v>
      </c>
      <c r="H127" t="str">
        <f t="shared" si="1"/>
        <v>SHORT</v>
      </c>
    </row>
    <row r="128" spans="1:8" x14ac:dyDescent="0.2">
      <c r="A128" t="s">
        <v>33</v>
      </c>
      <c r="B128">
        <v>1.7911E-2</v>
      </c>
      <c r="C128" s="154" t="s">
        <v>220</v>
      </c>
      <c r="D128" s="154" t="s">
        <v>210</v>
      </c>
      <c r="E128">
        <v>0.22</v>
      </c>
      <c r="F128">
        <v>0.17</v>
      </c>
      <c r="G128">
        <v>4.9999999999999989E-2</v>
      </c>
      <c r="H128" t="str">
        <f t="shared" si="1"/>
        <v>SHORT</v>
      </c>
    </row>
    <row r="129" spans="1:8" x14ac:dyDescent="0.2">
      <c r="A129" t="s">
        <v>33</v>
      </c>
      <c r="B129">
        <v>1.942E-2</v>
      </c>
      <c r="C129" s="154" t="s">
        <v>221</v>
      </c>
      <c r="D129" s="154" t="s">
        <v>210</v>
      </c>
      <c r="E129">
        <v>0.24</v>
      </c>
      <c r="F129">
        <v>0.17</v>
      </c>
      <c r="G129">
        <v>6.9999999999999979E-2</v>
      </c>
      <c r="H129" t="str">
        <f t="shared" si="1"/>
        <v>SHORT</v>
      </c>
    </row>
    <row r="130" spans="1:8" x14ac:dyDescent="0.2">
      <c r="A130" t="s">
        <v>33</v>
      </c>
      <c r="B130">
        <v>2.0128E-2</v>
      </c>
      <c r="C130" s="154" t="s">
        <v>222</v>
      </c>
      <c r="D130" s="154" t="s">
        <v>210</v>
      </c>
      <c r="E130">
        <v>0.25</v>
      </c>
      <c r="F130">
        <v>0.18</v>
      </c>
      <c r="G130">
        <v>7.0000000000000007E-2</v>
      </c>
      <c r="H130" t="str">
        <f t="shared" si="1"/>
        <v>SHORT</v>
      </c>
    </row>
    <row r="131" spans="1:8" x14ac:dyDescent="0.2">
      <c r="A131" t="s">
        <v>33</v>
      </c>
      <c r="B131">
        <v>1.3061E-2</v>
      </c>
      <c r="C131" s="154" t="s">
        <v>223</v>
      </c>
      <c r="D131" s="154" t="s">
        <v>210</v>
      </c>
      <c r="E131">
        <v>0.16</v>
      </c>
      <c r="F131">
        <v>0.12</v>
      </c>
      <c r="G131">
        <v>4.0000000000000008E-2</v>
      </c>
      <c r="H131" t="str">
        <f t="shared" ref="H131:H197" si="2">IF(D131-C131 &gt; 365, "LONG", "SHORT")</f>
        <v>SHORT</v>
      </c>
    </row>
    <row r="132" spans="1:8" x14ac:dyDescent="0.2">
      <c r="A132" t="s">
        <v>33</v>
      </c>
      <c r="B132">
        <v>4.3310000000000001E-2</v>
      </c>
      <c r="C132" s="154" t="s">
        <v>163</v>
      </c>
      <c r="D132" s="154" t="s">
        <v>210</v>
      </c>
      <c r="E132">
        <v>0.54</v>
      </c>
      <c r="F132">
        <v>0.52</v>
      </c>
      <c r="G132">
        <v>2.0000000000000021E-2</v>
      </c>
      <c r="H132" t="str">
        <f t="shared" si="2"/>
        <v>SHORT</v>
      </c>
    </row>
    <row r="133" spans="1:8" x14ac:dyDescent="0.2">
      <c r="A133" t="s">
        <v>33</v>
      </c>
      <c r="B133">
        <v>1.4947999999999999E-2</v>
      </c>
      <c r="C133" s="154" t="s">
        <v>163</v>
      </c>
      <c r="D133" s="154" t="s">
        <v>210</v>
      </c>
      <c r="E133">
        <v>0.19</v>
      </c>
      <c r="F133">
        <v>0.18</v>
      </c>
      <c r="G133">
        <v>1.0000000000000011E-2</v>
      </c>
      <c r="H133" t="str">
        <f t="shared" si="2"/>
        <v>SHORT</v>
      </c>
    </row>
    <row r="134" spans="1:8" x14ac:dyDescent="0.2">
      <c r="A134" t="s">
        <v>33</v>
      </c>
      <c r="B134">
        <v>1.5280999999999999E-2</v>
      </c>
      <c r="C134" s="154" t="s">
        <v>196</v>
      </c>
      <c r="D134" s="154" t="s">
        <v>210</v>
      </c>
      <c r="E134">
        <v>0.19</v>
      </c>
      <c r="F134">
        <v>0.21</v>
      </c>
      <c r="G134">
        <v>-1.999999999999999E-2</v>
      </c>
      <c r="H134" t="str">
        <f t="shared" si="2"/>
        <v>SHORT</v>
      </c>
    </row>
    <row r="135" spans="1:8" x14ac:dyDescent="0.2">
      <c r="A135" t="s">
        <v>33</v>
      </c>
      <c r="B135">
        <v>5.7539899999999999</v>
      </c>
      <c r="C135" s="154" t="s">
        <v>155</v>
      </c>
      <c r="D135" s="154" t="s">
        <v>210</v>
      </c>
      <c r="E135">
        <v>71.989999999999995</v>
      </c>
      <c r="F135">
        <v>80.53</v>
      </c>
      <c r="G135">
        <v>-8.5400000000000063</v>
      </c>
      <c r="H135" t="str">
        <f t="shared" si="2"/>
        <v>SHORT</v>
      </c>
    </row>
    <row r="136" spans="1:8" x14ac:dyDescent="0.2">
      <c r="A136" t="s">
        <v>33</v>
      </c>
      <c r="B136">
        <v>2.9390000000000002E-3</v>
      </c>
      <c r="C136" s="154" t="s">
        <v>190</v>
      </c>
      <c r="D136" s="154" t="s">
        <v>210</v>
      </c>
      <c r="E136">
        <v>0.04</v>
      </c>
      <c r="F136">
        <v>0.04</v>
      </c>
      <c r="G136">
        <v>0</v>
      </c>
      <c r="H136" t="str">
        <f t="shared" si="2"/>
        <v>SHORT</v>
      </c>
    </row>
    <row r="137" spans="1:8" x14ac:dyDescent="0.2">
      <c r="A137" t="s">
        <v>33</v>
      </c>
      <c r="B137">
        <v>9.7800000000000005E-3</v>
      </c>
      <c r="C137" s="154" t="s">
        <v>190</v>
      </c>
      <c r="D137" s="154" t="s">
        <v>210</v>
      </c>
      <c r="E137">
        <v>0.12</v>
      </c>
      <c r="F137">
        <v>0.13</v>
      </c>
      <c r="G137">
        <v>-1.0000000000000011E-2</v>
      </c>
      <c r="H137" t="str">
        <f t="shared" si="2"/>
        <v>SHORT</v>
      </c>
    </row>
    <row r="138" spans="1:8" x14ac:dyDescent="0.2">
      <c r="A138" t="s">
        <v>33</v>
      </c>
      <c r="B138">
        <v>8.2400000000000008E-3</v>
      </c>
      <c r="C138" s="154" t="s">
        <v>190</v>
      </c>
      <c r="D138" s="154" t="s">
        <v>210</v>
      </c>
      <c r="E138">
        <v>0.1</v>
      </c>
      <c r="F138">
        <v>0.11</v>
      </c>
      <c r="G138">
        <v>-9.999999999999995E-3</v>
      </c>
      <c r="H138" t="str">
        <f t="shared" si="2"/>
        <v>SHORT</v>
      </c>
    </row>
    <row r="139" spans="1:8" x14ac:dyDescent="0.2">
      <c r="A139" t="s">
        <v>33</v>
      </c>
      <c r="B139">
        <v>1.5312399999999999</v>
      </c>
      <c r="C139" s="154" t="s">
        <v>210</v>
      </c>
      <c r="D139" s="154" t="s">
        <v>210</v>
      </c>
      <c r="E139">
        <v>19.16</v>
      </c>
      <c r="F139">
        <v>20</v>
      </c>
      <c r="G139">
        <v>-0.83999999999999986</v>
      </c>
      <c r="H139" t="str">
        <f t="shared" si="2"/>
        <v>SHORT</v>
      </c>
    </row>
    <row r="140" spans="1:8" x14ac:dyDescent="0.2">
      <c r="A140" t="s">
        <v>33</v>
      </c>
      <c r="B140">
        <v>1.2748000000000001E-2</v>
      </c>
      <c r="C140" s="154" t="s">
        <v>224</v>
      </c>
      <c r="D140" s="154" t="s">
        <v>158</v>
      </c>
      <c r="E140">
        <v>0.15</v>
      </c>
      <c r="F140">
        <v>0.15</v>
      </c>
      <c r="G140">
        <v>0</v>
      </c>
      <c r="H140" t="str">
        <f t="shared" si="2"/>
        <v>SHORT</v>
      </c>
    </row>
    <row r="141" spans="1:8" x14ac:dyDescent="0.2">
      <c r="A141" t="s">
        <v>33</v>
      </c>
      <c r="B141">
        <v>1.9869000000000001E-2</v>
      </c>
      <c r="C141" s="154" t="s">
        <v>225</v>
      </c>
      <c r="D141" s="154" t="s">
        <v>158</v>
      </c>
      <c r="E141">
        <v>0.23</v>
      </c>
      <c r="F141">
        <v>0.24</v>
      </c>
      <c r="G141">
        <v>-9.9999999999999811E-3</v>
      </c>
      <c r="H141" t="str">
        <f t="shared" si="2"/>
        <v>SHORT</v>
      </c>
    </row>
    <row r="142" spans="1:8" x14ac:dyDescent="0.2">
      <c r="A142" t="s">
        <v>33</v>
      </c>
      <c r="B142">
        <v>15.381562000000001</v>
      </c>
      <c r="C142" s="154" t="s">
        <v>149</v>
      </c>
      <c r="D142" s="154" t="s">
        <v>158</v>
      </c>
      <c r="E142">
        <v>179.37</v>
      </c>
      <c r="F142">
        <v>199.95</v>
      </c>
      <c r="G142">
        <v>-20.579999999999981</v>
      </c>
      <c r="H142" t="str">
        <f t="shared" si="2"/>
        <v>SHORT</v>
      </c>
    </row>
    <row r="143" spans="1:8" x14ac:dyDescent="0.2">
      <c r="A143" t="s">
        <v>33</v>
      </c>
      <c r="B143">
        <v>11.674170999999999</v>
      </c>
      <c r="C143" s="154" t="s">
        <v>226</v>
      </c>
      <c r="D143" s="154" t="s">
        <v>227</v>
      </c>
      <c r="E143">
        <v>99.88</v>
      </c>
      <c r="F143">
        <v>126.43</v>
      </c>
      <c r="G143">
        <v>-26.550000000000011</v>
      </c>
      <c r="H143" t="str">
        <f t="shared" si="2"/>
        <v>SHORT</v>
      </c>
    </row>
    <row r="144" spans="1:8" x14ac:dyDescent="0.2">
      <c r="A144" t="s">
        <v>33</v>
      </c>
      <c r="B144">
        <v>5.0000000000000001E-3</v>
      </c>
      <c r="C144" s="154" t="s">
        <v>226</v>
      </c>
      <c r="D144" s="154" t="s">
        <v>227</v>
      </c>
      <c r="E144">
        <v>0.04</v>
      </c>
      <c r="F144">
        <v>0.05</v>
      </c>
      <c r="G144">
        <v>-0.01</v>
      </c>
      <c r="H144" t="str">
        <f t="shared" si="2"/>
        <v>SHORT</v>
      </c>
    </row>
    <row r="145" spans="1:8" x14ac:dyDescent="0.2">
      <c r="A145" t="s">
        <v>33</v>
      </c>
      <c r="B145">
        <v>5.0000000000000001E-3</v>
      </c>
      <c r="C145" s="154" t="s">
        <v>226</v>
      </c>
      <c r="D145" s="154" t="s">
        <v>228</v>
      </c>
      <c r="E145">
        <v>0.05</v>
      </c>
      <c r="F145">
        <v>0.05</v>
      </c>
      <c r="G145">
        <v>0</v>
      </c>
      <c r="H145" t="str">
        <f t="shared" si="2"/>
        <v>SHORT</v>
      </c>
    </row>
    <row r="146" spans="1:8" x14ac:dyDescent="0.2">
      <c r="A146" t="s">
        <v>33</v>
      </c>
      <c r="B146">
        <v>5.0000000000000001E-3</v>
      </c>
      <c r="C146" s="154" t="s">
        <v>226</v>
      </c>
      <c r="D146" s="154" t="s">
        <v>228</v>
      </c>
      <c r="E146">
        <v>0.05</v>
      </c>
      <c r="F146">
        <v>0.05</v>
      </c>
      <c r="G146">
        <v>0</v>
      </c>
      <c r="H146" t="str">
        <f t="shared" si="2"/>
        <v>SHORT</v>
      </c>
    </row>
    <row r="147" spans="1:8" x14ac:dyDescent="0.2">
      <c r="A147" t="s">
        <v>33</v>
      </c>
      <c r="B147">
        <v>2.6050000000000001E-3</v>
      </c>
      <c r="C147" s="154" t="s">
        <v>226</v>
      </c>
      <c r="D147" s="154" t="s">
        <v>160</v>
      </c>
      <c r="E147">
        <v>0.02</v>
      </c>
      <c r="F147">
        <v>0.03</v>
      </c>
      <c r="G147">
        <v>-9.9999999999999985E-3</v>
      </c>
      <c r="H147" t="str">
        <f t="shared" si="2"/>
        <v>SHORT</v>
      </c>
    </row>
    <row r="148" spans="1:8" x14ac:dyDescent="0.2">
      <c r="A148" t="s">
        <v>33</v>
      </c>
      <c r="B148">
        <v>2.065E-3</v>
      </c>
      <c r="C148" s="154" t="s">
        <v>229</v>
      </c>
      <c r="D148" s="154" t="s">
        <v>160</v>
      </c>
      <c r="E148">
        <v>0.02</v>
      </c>
      <c r="F148">
        <v>0.02</v>
      </c>
      <c r="G148">
        <v>0</v>
      </c>
      <c r="H148" t="str">
        <f t="shared" si="2"/>
        <v>SHORT</v>
      </c>
    </row>
    <row r="149" spans="1:8" x14ac:dyDescent="0.2">
      <c r="A149" t="s">
        <v>33</v>
      </c>
      <c r="B149">
        <v>3.9220000000000001E-3</v>
      </c>
      <c r="C149" s="154" t="s">
        <v>159</v>
      </c>
      <c r="D149" s="154" t="s">
        <v>160</v>
      </c>
      <c r="E149">
        <v>0.04</v>
      </c>
      <c r="F149">
        <v>0.04</v>
      </c>
      <c r="G149">
        <v>0</v>
      </c>
      <c r="H149" t="str">
        <f t="shared" si="2"/>
        <v>SHORT</v>
      </c>
    </row>
    <row r="150" spans="1:8" x14ac:dyDescent="0.2">
      <c r="A150" t="s">
        <v>33</v>
      </c>
      <c r="B150">
        <v>33.477586000000002</v>
      </c>
      <c r="C150" s="154" t="s">
        <v>226</v>
      </c>
      <c r="D150" s="154" t="s">
        <v>160</v>
      </c>
      <c r="E150">
        <v>301.76</v>
      </c>
      <c r="F150">
        <v>362.6</v>
      </c>
      <c r="G150">
        <v>-60.840000000000032</v>
      </c>
      <c r="H150" t="str">
        <f t="shared" si="2"/>
        <v>SHORT</v>
      </c>
    </row>
    <row r="151" spans="1:8" x14ac:dyDescent="0.2">
      <c r="A151" t="s">
        <v>33</v>
      </c>
      <c r="B151">
        <v>0.16642000000000001</v>
      </c>
      <c r="C151" s="154" t="s">
        <v>226</v>
      </c>
      <c r="D151" s="154" t="s">
        <v>160</v>
      </c>
      <c r="E151">
        <v>1.5</v>
      </c>
      <c r="F151">
        <v>1.85</v>
      </c>
      <c r="G151">
        <v>-0.35000000000000009</v>
      </c>
      <c r="H151" t="str">
        <f t="shared" si="2"/>
        <v>SHORT</v>
      </c>
    </row>
    <row r="152" spans="1:8" x14ac:dyDescent="0.2">
      <c r="A152" t="s">
        <v>33</v>
      </c>
      <c r="B152">
        <v>0.83357999999999999</v>
      </c>
      <c r="C152" s="154" t="s">
        <v>226</v>
      </c>
      <c r="D152" s="154" t="s">
        <v>160</v>
      </c>
      <c r="E152">
        <v>7.51</v>
      </c>
      <c r="F152">
        <v>9.0500000000000007</v>
      </c>
      <c r="G152">
        <v>-1.5400000000000009</v>
      </c>
      <c r="H152" t="str">
        <f t="shared" si="2"/>
        <v>SHORT</v>
      </c>
    </row>
    <row r="153" spans="1:8" x14ac:dyDescent="0.2">
      <c r="A153" t="s">
        <v>33</v>
      </c>
      <c r="B153">
        <v>41.124938999999998</v>
      </c>
      <c r="C153" s="154" t="s">
        <v>229</v>
      </c>
      <c r="D153" s="154" t="s">
        <v>160</v>
      </c>
      <c r="E153">
        <v>370.69</v>
      </c>
      <c r="F153">
        <v>373.08</v>
      </c>
      <c r="G153">
        <v>-2.3899999999999859</v>
      </c>
      <c r="H153" t="str">
        <f t="shared" si="2"/>
        <v>SHORT</v>
      </c>
    </row>
    <row r="154" spans="1:8" x14ac:dyDescent="0.2">
      <c r="A154" t="s">
        <v>51</v>
      </c>
      <c r="B154">
        <v>119.36914477000001</v>
      </c>
      <c r="C154" s="154" t="s">
        <v>230</v>
      </c>
      <c r="D154" s="154" t="s">
        <v>155</v>
      </c>
      <c r="E154">
        <v>142.43</v>
      </c>
      <c r="F154">
        <v>150</v>
      </c>
      <c r="G154">
        <v>-7.5699999999999932</v>
      </c>
      <c r="H154" t="str">
        <f t="shared" si="2"/>
        <v>SHORT</v>
      </c>
    </row>
    <row r="155" spans="1:8" x14ac:dyDescent="0.2">
      <c r="A155" t="s">
        <v>44</v>
      </c>
      <c r="B155">
        <v>345.467266</v>
      </c>
      <c r="C155" s="154" t="s">
        <v>153</v>
      </c>
      <c r="D155" s="154" t="s">
        <v>149</v>
      </c>
      <c r="E155">
        <v>84.9</v>
      </c>
      <c r="F155">
        <v>100</v>
      </c>
      <c r="G155">
        <v>-15.099999999999991</v>
      </c>
      <c r="H155" t="str">
        <f t="shared" si="2"/>
        <v>SHORT</v>
      </c>
    </row>
    <row r="156" spans="1:8" x14ac:dyDescent="0.2">
      <c r="A156" t="s">
        <v>44</v>
      </c>
      <c r="B156">
        <v>838.19814699999995</v>
      </c>
      <c r="C156" s="154" t="s">
        <v>210</v>
      </c>
      <c r="D156" s="154" t="s">
        <v>149</v>
      </c>
      <c r="E156">
        <v>205.99</v>
      </c>
      <c r="F156">
        <v>209.96</v>
      </c>
      <c r="G156">
        <v>-3.9699999999999989</v>
      </c>
      <c r="H156" t="str">
        <f t="shared" si="2"/>
        <v>SHORT</v>
      </c>
    </row>
    <row r="157" spans="1:8" x14ac:dyDescent="0.2">
      <c r="A157" t="s">
        <v>44</v>
      </c>
      <c r="B157">
        <v>444.33621499999998</v>
      </c>
      <c r="C157" s="154" t="s">
        <v>188</v>
      </c>
      <c r="D157" s="154" t="s">
        <v>149</v>
      </c>
      <c r="E157">
        <v>109.2</v>
      </c>
      <c r="F157">
        <v>111.26</v>
      </c>
      <c r="G157">
        <v>-2.0600000000000018</v>
      </c>
      <c r="H157" t="str">
        <f t="shared" si="2"/>
        <v>SHORT</v>
      </c>
    </row>
    <row r="158" spans="1:8" x14ac:dyDescent="0.2">
      <c r="A158" t="s">
        <v>44</v>
      </c>
      <c r="B158">
        <v>49.862876999999997</v>
      </c>
      <c r="C158" s="154" t="s">
        <v>188</v>
      </c>
      <c r="D158" s="154" t="s">
        <v>192</v>
      </c>
      <c r="E158">
        <v>10</v>
      </c>
      <c r="F158">
        <v>12.49</v>
      </c>
      <c r="G158">
        <v>-2.4900000000000002</v>
      </c>
      <c r="H158" t="str">
        <f t="shared" si="2"/>
        <v>SHORT</v>
      </c>
    </row>
    <row r="159" spans="1:8" x14ac:dyDescent="0.2">
      <c r="A159" t="s">
        <v>44</v>
      </c>
      <c r="B159">
        <v>324.38193999999999</v>
      </c>
      <c r="C159" s="154" t="s">
        <v>231</v>
      </c>
      <c r="D159" s="154" t="s">
        <v>192</v>
      </c>
      <c r="E159">
        <v>65.069999999999993</v>
      </c>
      <c r="F159">
        <v>77.930000000000007</v>
      </c>
      <c r="G159">
        <v>-12.86000000000001</v>
      </c>
      <c r="H159" t="str">
        <f t="shared" si="2"/>
        <v>SHORT</v>
      </c>
    </row>
    <row r="160" spans="1:8" x14ac:dyDescent="0.2">
      <c r="A160" t="s">
        <v>44</v>
      </c>
      <c r="B160">
        <v>0.87223099999999998</v>
      </c>
      <c r="C160" s="154" t="s">
        <v>232</v>
      </c>
      <c r="D160" s="154" t="s">
        <v>192</v>
      </c>
      <c r="E160">
        <v>0.17</v>
      </c>
      <c r="F160">
        <v>0.18</v>
      </c>
      <c r="G160">
        <v>-9.9999999999999811E-3</v>
      </c>
      <c r="H160" t="str">
        <f t="shared" si="2"/>
        <v>SHORT</v>
      </c>
    </row>
    <row r="161" spans="1:8" x14ac:dyDescent="0.2">
      <c r="A161" t="s">
        <v>44</v>
      </c>
      <c r="B161">
        <v>570.41654500000004</v>
      </c>
      <c r="C161" s="154" t="s">
        <v>155</v>
      </c>
      <c r="D161" s="154" t="s">
        <v>192</v>
      </c>
      <c r="E161">
        <v>114.42</v>
      </c>
      <c r="F161">
        <v>142.43</v>
      </c>
      <c r="G161">
        <v>-28.010000000000009</v>
      </c>
      <c r="H161" t="str">
        <f t="shared" si="2"/>
        <v>SHORT</v>
      </c>
    </row>
    <row r="162" spans="1:8" x14ac:dyDescent="0.2">
      <c r="A162" t="s">
        <v>44</v>
      </c>
      <c r="B162">
        <v>353.71018700000002</v>
      </c>
      <c r="C162" s="154" t="s">
        <v>155</v>
      </c>
      <c r="D162" s="154" t="s">
        <v>192</v>
      </c>
      <c r="E162">
        <v>70.95</v>
      </c>
      <c r="F162">
        <v>88.26</v>
      </c>
      <c r="G162">
        <v>-17.309999999999999</v>
      </c>
      <c r="H162" t="str">
        <f t="shared" si="2"/>
        <v>SHORT</v>
      </c>
    </row>
    <row r="163" spans="1:8" x14ac:dyDescent="0.2">
      <c r="A163" t="s">
        <v>44</v>
      </c>
      <c r="B163">
        <v>491.241399</v>
      </c>
      <c r="C163" s="154" t="s">
        <v>188</v>
      </c>
      <c r="D163" s="154" t="s">
        <v>192</v>
      </c>
      <c r="E163">
        <v>98.54</v>
      </c>
      <c r="F163">
        <v>123</v>
      </c>
      <c r="G163">
        <v>-24.45999999999999</v>
      </c>
      <c r="H163" t="str">
        <f t="shared" si="2"/>
        <v>SHORT</v>
      </c>
    </row>
    <row r="164" spans="1:8" x14ac:dyDescent="0.2">
      <c r="A164" t="s">
        <v>44</v>
      </c>
      <c r="B164">
        <v>1770.1610250000001</v>
      </c>
      <c r="C164" s="154" t="s">
        <v>192</v>
      </c>
      <c r="D164" s="154" t="s">
        <v>192</v>
      </c>
      <c r="E164">
        <v>355.09</v>
      </c>
      <c r="F164">
        <v>363.23</v>
      </c>
      <c r="G164">
        <v>-8.1400000000000432</v>
      </c>
      <c r="H164" t="str">
        <f t="shared" si="2"/>
        <v>SHORT</v>
      </c>
    </row>
    <row r="165" spans="1:8" x14ac:dyDescent="0.2">
      <c r="A165" t="s">
        <v>44</v>
      </c>
      <c r="B165">
        <v>1151.259779</v>
      </c>
      <c r="C165" s="154" t="s">
        <v>213</v>
      </c>
      <c r="D165" s="154" t="s">
        <v>214</v>
      </c>
      <c r="E165">
        <v>270.66000000000003</v>
      </c>
      <c r="F165">
        <v>229.5</v>
      </c>
      <c r="G165">
        <v>41.160000000000032</v>
      </c>
      <c r="H165" t="str">
        <f t="shared" si="2"/>
        <v>SHORT</v>
      </c>
    </row>
    <row r="166" spans="1:8" x14ac:dyDescent="0.2">
      <c r="A166" t="s">
        <v>44</v>
      </c>
      <c r="B166">
        <v>452.25930699999998</v>
      </c>
      <c r="C166" s="154" t="s">
        <v>233</v>
      </c>
      <c r="D166" s="154" t="s">
        <v>233</v>
      </c>
      <c r="E166">
        <v>99</v>
      </c>
      <c r="F166">
        <v>100</v>
      </c>
      <c r="G166">
        <v>-1</v>
      </c>
      <c r="H166" t="str">
        <f t="shared" si="2"/>
        <v>SHORT</v>
      </c>
    </row>
    <row r="167" spans="1:8" x14ac:dyDescent="0.2">
      <c r="A167" t="s">
        <v>44</v>
      </c>
      <c r="B167">
        <v>10.06667</v>
      </c>
      <c r="C167" s="154" t="s">
        <v>234</v>
      </c>
      <c r="D167" s="154" t="s">
        <v>159</v>
      </c>
      <c r="E167">
        <v>2.25</v>
      </c>
      <c r="F167">
        <v>2.2799999999999998</v>
      </c>
      <c r="G167">
        <v>-2.9999999999999801E-2</v>
      </c>
      <c r="H167" t="str">
        <f t="shared" si="2"/>
        <v>SHORT</v>
      </c>
    </row>
    <row r="168" spans="1:8" x14ac:dyDescent="0.2">
      <c r="A168" t="s">
        <v>44</v>
      </c>
      <c r="B168">
        <v>4205.5225110000001</v>
      </c>
      <c r="C168" s="154" t="s">
        <v>159</v>
      </c>
      <c r="D168" s="154" t="s">
        <v>159</v>
      </c>
      <c r="E168">
        <v>939.09</v>
      </c>
      <c r="F168">
        <v>939.3</v>
      </c>
      <c r="G168">
        <v>-0.20999999999992269</v>
      </c>
      <c r="H168" t="str">
        <f t="shared" si="2"/>
        <v>SHORT</v>
      </c>
    </row>
    <row r="169" spans="1:8" x14ac:dyDescent="0.2">
      <c r="A169" t="s">
        <v>16</v>
      </c>
      <c r="B169">
        <v>3950.2304147499999</v>
      </c>
      <c r="C169" s="154" t="s">
        <v>163</v>
      </c>
      <c r="D169" s="154" t="s">
        <v>163</v>
      </c>
      <c r="E169">
        <v>299.82</v>
      </c>
      <c r="F169">
        <v>300.55</v>
      </c>
      <c r="G169">
        <v>-0.73000000000001819</v>
      </c>
      <c r="H169" t="str">
        <f t="shared" si="2"/>
        <v>SHORT</v>
      </c>
    </row>
    <row r="170" spans="1:8" x14ac:dyDescent="0.2">
      <c r="A170" t="s">
        <v>16</v>
      </c>
      <c r="B170">
        <v>2446.12929248</v>
      </c>
      <c r="C170" s="154" t="s">
        <v>163</v>
      </c>
      <c r="D170" s="154" t="s">
        <v>149</v>
      </c>
      <c r="E170">
        <v>168.62</v>
      </c>
      <c r="F170">
        <v>186.11</v>
      </c>
      <c r="G170">
        <v>-17.490000000000009</v>
      </c>
      <c r="H170" t="str">
        <f t="shared" si="2"/>
        <v>SHORT</v>
      </c>
    </row>
    <row r="171" spans="1:8" x14ac:dyDescent="0.2">
      <c r="A171" t="s">
        <v>16</v>
      </c>
      <c r="B171">
        <v>226.59986336</v>
      </c>
      <c r="C171" s="154" t="s">
        <v>235</v>
      </c>
      <c r="D171" s="154" t="s">
        <v>149</v>
      </c>
      <c r="E171">
        <v>15.62</v>
      </c>
      <c r="F171">
        <v>20</v>
      </c>
      <c r="G171">
        <v>-4.3800000000000008</v>
      </c>
      <c r="H171" t="str">
        <f t="shared" si="2"/>
        <v>SHORT</v>
      </c>
    </row>
    <row r="172" spans="1:8" x14ac:dyDescent="0.2">
      <c r="A172" t="s">
        <v>16</v>
      </c>
      <c r="B172">
        <v>227.92349100999999</v>
      </c>
      <c r="C172" s="154" t="s">
        <v>236</v>
      </c>
      <c r="D172" s="154" t="s">
        <v>149</v>
      </c>
      <c r="E172">
        <v>15.71</v>
      </c>
      <c r="F172">
        <v>20</v>
      </c>
      <c r="G172">
        <v>-4.2899999999999991</v>
      </c>
      <c r="H172" t="str">
        <f t="shared" si="2"/>
        <v>SHORT</v>
      </c>
    </row>
    <row r="173" spans="1:8" x14ac:dyDescent="0.2">
      <c r="A173" t="s">
        <v>16</v>
      </c>
      <c r="B173">
        <v>1</v>
      </c>
      <c r="C173" s="154" t="s">
        <v>163</v>
      </c>
      <c r="D173" s="154" t="s">
        <v>192</v>
      </c>
      <c r="E173">
        <v>0.06</v>
      </c>
      <c r="F173">
        <v>0.08</v>
      </c>
      <c r="G173">
        <v>-0.02</v>
      </c>
      <c r="H173" t="str">
        <f t="shared" si="2"/>
        <v>SHORT</v>
      </c>
    </row>
    <row r="174" spans="1:8" x14ac:dyDescent="0.2">
      <c r="A174" t="s">
        <v>16</v>
      </c>
      <c r="B174">
        <v>0.99999561999999997</v>
      </c>
      <c r="C174" s="154" t="s">
        <v>162</v>
      </c>
      <c r="D174" s="154" t="s">
        <v>192</v>
      </c>
      <c r="E174">
        <v>0.06</v>
      </c>
      <c r="F174">
        <v>0.04</v>
      </c>
      <c r="G174">
        <v>0.02</v>
      </c>
      <c r="H174" t="str">
        <f t="shared" si="2"/>
        <v>SHORT</v>
      </c>
    </row>
    <row r="175" spans="1:8" x14ac:dyDescent="0.2">
      <c r="A175" t="s">
        <v>16</v>
      </c>
      <c r="B175">
        <v>1</v>
      </c>
      <c r="C175" s="155" t="s">
        <v>199</v>
      </c>
      <c r="D175" s="155" t="s">
        <v>199</v>
      </c>
      <c r="E175">
        <v>0.06</v>
      </c>
      <c r="F175">
        <v>0.06</v>
      </c>
      <c r="G175">
        <v>0</v>
      </c>
      <c r="H175" t="str">
        <f t="shared" si="2"/>
        <v>SHORT</v>
      </c>
    </row>
    <row r="176" spans="1:8" x14ac:dyDescent="0.2">
      <c r="A176" t="s">
        <v>16</v>
      </c>
      <c r="B176">
        <v>53.646000000000001</v>
      </c>
      <c r="C176" s="155" t="s">
        <v>199</v>
      </c>
      <c r="D176" s="155" t="s">
        <v>199</v>
      </c>
      <c r="E176">
        <v>3.16</v>
      </c>
      <c r="F176">
        <v>3.17</v>
      </c>
      <c r="G176">
        <v>-0.01</v>
      </c>
      <c r="H176" t="str">
        <f t="shared" si="2"/>
        <v>SHORT</v>
      </c>
    </row>
    <row r="177" spans="1:8" x14ac:dyDescent="0.2">
      <c r="A177" t="s">
        <v>16</v>
      </c>
      <c r="B177">
        <v>1</v>
      </c>
      <c r="C177" s="155" t="s">
        <v>199</v>
      </c>
      <c r="D177" s="155" t="s">
        <v>199</v>
      </c>
      <c r="E177">
        <v>0.06</v>
      </c>
      <c r="F177">
        <v>0.06</v>
      </c>
      <c r="G177">
        <v>0</v>
      </c>
      <c r="H177" t="str">
        <f t="shared" si="2"/>
        <v>SHORT</v>
      </c>
    </row>
    <row r="178" spans="1:8" x14ac:dyDescent="0.2">
      <c r="A178" t="s">
        <v>16</v>
      </c>
      <c r="B178">
        <v>31.021000000000001</v>
      </c>
      <c r="C178" s="155" t="s">
        <v>199</v>
      </c>
      <c r="D178" s="155" t="s">
        <v>199</v>
      </c>
      <c r="E178">
        <v>1.83</v>
      </c>
      <c r="F178">
        <v>1.81</v>
      </c>
      <c r="G178">
        <v>-0.02</v>
      </c>
      <c r="H178" t="str">
        <f t="shared" si="2"/>
        <v>SHORT</v>
      </c>
    </row>
    <row r="179" spans="1:8" x14ac:dyDescent="0.2">
      <c r="A179" t="s">
        <v>38</v>
      </c>
      <c r="B179">
        <v>2.3085714300000002</v>
      </c>
      <c r="C179" s="154" t="s">
        <v>237</v>
      </c>
      <c r="D179" s="154" t="s">
        <v>238</v>
      </c>
      <c r="E179">
        <v>0.16</v>
      </c>
      <c r="F179">
        <v>0.16</v>
      </c>
      <c r="G179">
        <v>0</v>
      </c>
      <c r="H179" t="str">
        <f t="shared" si="2"/>
        <v>SHORT</v>
      </c>
    </row>
    <row r="180" spans="1:8" x14ac:dyDescent="0.2">
      <c r="A180" t="s">
        <v>34</v>
      </c>
      <c r="B180">
        <v>9.936299999999999E-4</v>
      </c>
      <c r="C180" s="154" t="s">
        <v>170</v>
      </c>
      <c r="D180" s="154" t="s">
        <v>155</v>
      </c>
      <c r="E180">
        <v>0.02</v>
      </c>
      <c r="F180">
        <v>0.01</v>
      </c>
      <c r="G180">
        <v>0.01</v>
      </c>
      <c r="H180" t="str">
        <f t="shared" si="2"/>
        <v>SHORT</v>
      </c>
    </row>
    <row r="181" spans="1:8" x14ac:dyDescent="0.2">
      <c r="A181" t="s">
        <v>34</v>
      </c>
      <c r="B181">
        <v>4.3594E-4</v>
      </c>
      <c r="C181" s="154" t="s">
        <v>239</v>
      </c>
      <c r="D181" s="154" t="s">
        <v>155</v>
      </c>
      <c r="E181">
        <v>0.01</v>
      </c>
      <c r="F181">
        <v>0</v>
      </c>
      <c r="G181">
        <v>0.01</v>
      </c>
      <c r="H181" t="str">
        <f t="shared" si="2"/>
        <v>SHORT</v>
      </c>
    </row>
    <row r="182" spans="1:8" x14ac:dyDescent="0.2">
      <c r="A182" t="s">
        <v>34</v>
      </c>
      <c r="B182">
        <v>4.1938000000000001E-4</v>
      </c>
      <c r="C182" s="154" t="s">
        <v>171</v>
      </c>
      <c r="D182" s="154" t="s">
        <v>155</v>
      </c>
      <c r="E182">
        <v>0.01</v>
      </c>
      <c r="F182">
        <v>0</v>
      </c>
      <c r="G182">
        <v>0.01</v>
      </c>
      <c r="H182" t="str">
        <f t="shared" si="2"/>
        <v>SHORT</v>
      </c>
    </row>
    <row r="183" spans="1:8" x14ac:dyDescent="0.2">
      <c r="A183" t="s">
        <v>34</v>
      </c>
      <c r="B183">
        <v>4.1976999999999997E-4</v>
      </c>
      <c r="C183" s="154" t="s">
        <v>240</v>
      </c>
      <c r="D183" s="154" t="s">
        <v>155</v>
      </c>
      <c r="E183">
        <v>0.01</v>
      </c>
      <c r="F183">
        <v>0</v>
      </c>
      <c r="G183">
        <v>0.01</v>
      </c>
      <c r="H183" t="str">
        <f t="shared" si="2"/>
        <v>SHORT</v>
      </c>
    </row>
    <row r="184" spans="1:8" x14ac:dyDescent="0.2">
      <c r="A184" t="s">
        <v>34</v>
      </c>
      <c r="B184">
        <v>4.1147999999999998E-4</v>
      </c>
      <c r="C184" s="154" t="s">
        <v>148</v>
      </c>
      <c r="D184" s="154" t="s">
        <v>155</v>
      </c>
      <c r="E184">
        <v>0.01</v>
      </c>
      <c r="F184">
        <v>0</v>
      </c>
      <c r="G184">
        <v>0.01</v>
      </c>
      <c r="H184" t="str">
        <f t="shared" si="2"/>
        <v>SHORT</v>
      </c>
    </row>
    <row r="185" spans="1:8" x14ac:dyDescent="0.2">
      <c r="A185" t="s">
        <v>34</v>
      </c>
      <c r="B185">
        <v>4.1515999999999998E-4</v>
      </c>
      <c r="C185" s="154" t="s">
        <v>173</v>
      </c>
      <c r="D185" s="154" t="s">
        <v>155</v>
      </c>
      <c r="E185">
        <v>0.01</v>
      </c>
      <c r="F185">
        <v>0</v>
      </c>
      <c r="G185">
        <v>0.01</v>
      </c>
      <c r="H185" t="str">
        <f t="shared" si="2"/>
        <v>SHORT</v>
      </c>
    </row>
    <row r="186" spans="1:8" x14ac:dyDescent="0.2">
      <c r="A186" t="s">
        <v>34</v>
      </c>
      <c r="B186">
        <v>3.5089000000000002E-4</v>
      </c>
      <c r="C186" s="154" t="s">
        <v>241</v>
      </c>
      <c r="D186" s="154" t="s">
        <v>155</v>
      </c>
      <c r="E186">
        <v>0.01</v>
      </c>
      <c r="F186">
        <v>0</v>
      </c>
      <c r="G186">
        <v>0.01</v>
      </c>
      <c r="H186" t="str">
        <f t="shared" si="2"/>
        <v>SHORT</v>
      </c>
    </row>
    <row r="187" spans="1:8" x14ac:dyDescent="0.2">
      <c r="A187" t="s">
        <v>34</v>
      </c>
      <c r="B187">
        <v>3.6950999999999998E-4</v>
      </c>
      <c r="C187" s="154" t="s">
        <v>150</v>
      </c>
      <c r="D187" s="154" t="s">
        <v>155</v>
      </c>
      <c r="E187">
        <v>0.01</v>
      </c>
      <c r="F187">
        <v>0</v>
      </c>
      <c r="G187">
        <v>0.01</v>
      </c>
      <c r="H187" t="str">
        <f t="shared" si="2"/>
        <v>SHORT</v>
      </c>
    </row>
    <row r="188" spans="1:8" x14ac:dyDescent="0.2">
      <c r="A188" t="s">
        <v>34</v>
      </c>
      <c r="B188">
        <v>3.6335000000000002E-4</v>
      </c>
      <c r="C188" s="154" t="s">
        <v>242</v>
      </c>
      <c r="D188" s="154" t="s">
        <v>155</v>
      </c>
      <c r="E188">
        <v>0.01</v>
      </c>
      <c r="F188">
        <v>0</v>
      </c>
      <c r="G188">
        <v>0.01</v>
      </c>
      <c r="H188" t="str">
        <f t="shared" si="2"/>
        <v>SHORT</v>
      </c>
    </row>
    <row r="189" spans="1:8" x14ac:dyDescent="0.2">
      <c r="A189" t="s">
        <v>34</v>
      </c>
      <c r="B189">
        <v>3.5968000000000003E-4</v>
      </c>
      <c r="C189" s="154" t="s">
        <v>243</v>
      </c>
      <c r="D189" s="154" t="s">
        <v>155</v>
      </c>
      <c r="E189">
        <v>0.01</v>
      </c>
      <c r="F189">
        <v>0</v>
      </c>
      <c r="G189">
        <v>0.01</v>
      </c>
      <c r="H189" t="str">
        <f t="shared" si="2"/>
        <v>SHORT</v>
      </c>
    </row>
    <row r="190" spans="1:8" x14ac:dyDescent="0.2">
      <c r="A190" t="s">
        <v>34</v>
      </c>
      <c r="B190">
        <v>3.5209E-4</v>
      </c>
      <c r="C190" s="154" t="s">
        <v>244</v>
      </c>
      <c r="D190" s="154" t="s">
        <v>155</v>
      </c>
      <c r="E190">
        <v>0.01</v>
      </c>
      <c r="F190">
        <v>0</v>
      </c>
      <c r="G190">
        <v>0.01</v>
      </c>
      <c r="H190" t="str">
        <f t="shared" si="2"/>
        <v>SHORT</v>
      </c>
    </row>
    <row r="191" spans="1:8" x14ac:dyDescent="0.2">
      <c r="A191" t="s">
        <v>34</v>
      </c>
      <c r="B191">
        <v>4.4574515999999997</v>
      </c>
      <c r="C191" s="154" t="s">
        <v>163</v>
      </c>
      <c r="D191" s="154" t="s">
        <v>155</v>
      </c>
      <c r="E191">
        <v>88.15</v>
      </c>
      <c r="F191">
        <v>100</v>
      </c>
      <c r="G191">
        <v>-11.849999999999991</v>
      </c>
      <c r="H191" t="str">
        <f t="shared" si="2"/>
        <v>SHORT</v>
      </c>
    </row>
    <row r="192" spans="1:8" x14ac:dyDescent="0.2">
      <c r="A192" t="s">
        <v>50</v>
      </c>
      <c r="B192">
        <v>1.5234003700000001</v>
      </c>
      <c r="C192" s="154" t="s">
        <v>148</v>
      </c>
      <c r="D192" s="154" t="s">
        <v>155</v>
      </c>
      <c r="E192">
        <v>27</v>
      </c>
      <c r="F192">
        <v>20</v>
      </c>
      <c r="G192">
        <v>7</v>
      </c>
      <c r="H192" t="str">
        <f t="shared" si="2"/>
        <v>SHORT</v>
      </c>
    </row>
    <row r="193" spans="1:8" x14ac:dyDescent="0.2">
      <c r="A193" t="s">
        <v>50</v>
      </c>
      <c r="B193">
        <v>1.6139497199999999</v>
      </c>
      <c r="C193" s="154" t="s">
        <v>150</v>
      </c>
      <c r="D193" s="154" t="s">
        <v>155</v>
      </c>
      <c r="E193">
        <v>28.6</v>
      </c>
      <c r="F193">
        <v>20</v>
      </c>
      <c r="G193">
        <v>8.6000000000000014</v>
      </c>
      <c r="H193" t="str">
        <f t="shared" si="2"/>
        <v>SHORT</v>
      </c>
    </row>
    <row r="194" spans="1:8" x14ac:dyDescent="0.2">
      <c r="A194" t="s">
        <v>50</v>
      </c>
      <c r="B194">
        <v>1.4063604199999999</v>
      </c>
      <c r="C194" s="154" t="s">
        <v>151</v>
      </c>
      <c r="D194" s="154" t="s">
        <v>155</v>
      </c>
      <c r="E194">
        <v>24.93</v>
      </c>
      <c r="F194">
        <v>20</v>
      </c>
      <c r="G194">
        <v>4.93</v>
      </c>
      <c r="H194" t="str">
        <f t="shared" si="2"/>
        <v>SHORT</v>
      </c>
    </row>
    <row r="195" spans="1:8" x14ac:dyDescent="0.2">
      <c r="A195" t="s">
        <v>45</v>
      </c>
      <c r="B195">
        <v>374.7470457</v>
      </c>
      <c r="C195" s="154" t="s">
        <v>231</v>
      </c>
      <c r="D195" s="154" t="s">
        <v>162</v>
      </c>
      <c r="E195">
        <v>29.24</v>
      </c>
      <c r="F195">
        <v>32.9</v>
      </c>
      <c r="G195">
        <v>-3.66</v>
      </c>
      <c r="H195" t="str">
        <f t="shared" si="2"/>
        <v>SHORT</v>
      </c>
    </row>
    <row r="196" spans="1:8" x14ac:dyDescent="0.2">
      <c r="A196" t="s">
        <v>45</v>
      </c>
      <c r="B196">
        <v>1290.8326978</v>
      </c>
      <c r="C196" s="154" t="s">
        <v>231</v>
      </c>
      <c r="D196" s="154" t="s">
        <v>155</v>
      </c>
      <c r="E196">
        <v>108.61</v>
      </c>
      <c r="F196">
        <v>113.33</v>
      </c>
      <c r="G196">
        <v>-4.7199999999999989</v>
      </c>
      <c r="H196" t="str">
        <f t="shared" si="2"/>
        <v>SHORT</v>
      </c>
    </row>
    <row r="197" spans="1:8" x14ac:dyDescent="0.2">
      <c r="A197" t="s">
        <v>45</v>
      </c>
      <c r="B197">
        <v>1062.7997565000001</v>
      </c>
      <c r="C197" s="154" t="s">
        <v>153</v>
      </c>
      <c r="D197" s="154" t="s">
        <v>155</v>
      </c>
      <c r="E197">
        <v>89.42</v>
      </c>
      <c r="F197">
        <v>100</v>
      </c>
      <c r="G197">
        <v>-10.58</v>
      </c>
      <c r="H197" t="str">
        <f t="shared" si="2"/>
        <v>SHORT</v>
      </c>
    </row>
    <row r="198" spans="1:8" x14ac:dyDescent="0.2">
      <c r="A198" t="s">
        <v>45</v>
      </c>
      <c r="B198">
        <v>2140.2126904000002</v>
      </c>
      <c r="C198" s="154" t="s">
        <v>147</v>
      </c>
      <c r="D198" s="154" t="s">
        <v>192</v>
      </c>
      <c r="E198">
        <v>192.92</v>
      </c>
      <c r="F198">
        <v>200</v>
      </c>
      <c r="G198">
        <v>-7.0800000000000134</v>
      </c>
      <c r="H198" t="str">
        <f t="shared" ref="H198:H261" si="3">IF(D198-C198 &gt; 365, "LONG", "SHORT")</f>
        <v>SHORT</v>
      </c>
    </row>
    <row r="199" spans="1:8" x14ac:dyDescent="0.2">
      <c r="A199" t="s">
        <v>15</v>
      </c>
      <c r="B199">
        <v>1.949411</v>
      </c>
      <c r="C199" s="154" t="s">
        <v>147</v>
      </c>
      <c r="D199" s="154" t="s">
        <v>233</v>
      </c>
      <c r="E199">
        <v>0.97</v>
      </c>
      <c r="F199">
        <v>0.85</v>
      </c>
      <c r="G199">
        <v>0.12</v>
      </c>
      <c r="H199" t="str">
        <f t="shared" si="3"/>
        <v>SHORT</v>
      </c>
    </row>
    <row r="200" spans="1:8" x14ac:dyDescent="0.2">
      <c r="A200" t="s">
        <v>15</v>
      </c>
      <c r="B200">
        <v>218.05908600000001</v>
      </c>
      <c r="C200" s="154" t="s">
        <v>147</v>
      </c>
      <c r="D200" s="154" t="s">
        <v>233</v>
      </c>
      <c r="E200">
        <v>107.48</v>
      </c>
      <c r="F200">
        <v>95.33</v>
      </c>
      <c r="G200">
        <v>12.150000000000009</v>
      </c>
      <c r="H200" t="str">
        <f t="shared" si="3"/>
        <v>SHORT</v>
      </c>
    </row>
    <row r="201" spans="1:8" x14ac:dyDescent="0.2">
      <c r="A201" t="s">
        <v>15</v>
      </c>
      <c r="B201">
        <v>2.0316010000000002</v>
      </c>
      <c r="C201" s="154" t="s">
        <v>245</v>
      </c>
      <c r="D201" s="154" t="s">
        <v>246</v>
      </c>
      <c r="E201">
        <v>1</v>
      </c>
      <c r="F201">
        <v>0.87</v>
      </c>
      <c r="G201">
        <v>-5.0499999999999554</v>
      </c>
      <c r="H201" t="str">
        <f t="shared" si="3"/>
        <v>SHORT</v>
      </c>
    </row>
    <row r="202" spans="1:8" x14ac:dyDescent="0.2">
      <c r="A202" t="s">
        <v>43</v>
      </c>
      <c r="B202">
        <v>10581.61742294</v>
      </c>
      <c r="C202" s="154" t="s">
        <v>147</v>
      </c>
      <c r="D202" s="154" t="s">
        <v>192</v>
      </c>
      <c r="E202">
        <v>361.53</v>
      </c>
      <c r="F202">
        <v>400</v>
      </c>
      <c r="G202">
        <v>0.13</v>
      </c>
      <c r="H202" t="str">
        <f t="shared" si="3"/>
        <v>SHORT</v>
      </c>
    </row>
    <row r="203" spans="1:8" x14ac:dyDescent="0.2">
      <c r="A203" t="s">
        <v>43</v>
      </c>
      <c r="B203">
        <v>22.76346173</v>
      </c>
      <c r="C203" s="154" t="s">
        <v>226</v>
      </c>
      <c r="D203" s="154" t="s">
        <v>228</v>
      </c>
      <c r="E203">
        <v>0</v>
      </c>
      <c r="F203">
        <v>1.36</v>
      </c>
      <c r="G203">
        <v>-38.470000000000027</v>
      </c>
      <c r="H203" t="str">
        <f t="shared" si="3"/>
        <v>SHORT</v>
      </c>
    </row>
    <row r="204" spans="1:8" x14ac:dyDescent="0.2">
      <c r="A204" t="s">
        <v>43</v>
      </c>
      <c r="B204">
        <v>30.233383910000001</v>
      </c>
      <c r="C204" s="154" t="s">
        <v>226</v>
      </c>
      <c r="D204" s="154" t="s">
        <v>228</v>
      </c>
      <c r="E204">
        <v>1.1499999999999999</v>
      </c>
      <c r="F204">
        <v>1.43</v>
      </c>
      <c r="G204">
        <v>-1.36</v>
      </c>
      <c r="H204" t="str">
        <f t="shared" si="3"/>
        <v>SHORT</v>
      </c>
    </row>
    <row r="205" spans="1:8" x14ac:dyDescent="0.2">
      <c r="A205" t="s">
        <v>43</v>
      </c>
      <c r="B205">
        <v>28.193308819999999</v>
      </c>
      <c r="C205" s="154" t="s">
        <v>226</v>
      </c>
      <c r="D205" s="154" t="s">
        <v>229</v>
      </c>
      <c r="E205">
        <v>1</v>
      </c>
      <c r="F205">
        <v>1.33</v>
      </c>
      <c r="G205">
        <v>-0.28000000000000003</v>
      </c>
      <c r="H205" t="str">
        <f t="shared" si="3"/>
        <v>SHORT</v>
      </c>
    </row>
    <row r="206" spans="1:8" x14ac:dyDescent="0.2">
      <c r="A206" t="s">
        <v>43</v>
      </c>
      <c r="B206">
        <v>10480.330599770001</v>
      </c>
      <c r="C206" s="154" t="s">
        <v>226</v>
      </c>
      <c r="D206" s="154" t="s">
        <v>229</v>
      </c>
      <c r="E206">
        <v>372.09</v>
      </c>
      <c r="F206">
        <v>496.16</v>
      </c>
      <c r="G206">
        <v>-0.33000000000000013</v>
      </c>
      <c r="H206" t="str">
        <f t="shared" si="3"/>
        <v>SHORT</v>
      </c>
    </row>
    <row r="207" spans="1:8" x14ac:dyDescent="0.2">
      <c r="A207" t="s">
        <v>41</v>
      </c>
      <c r="B207">
        <v>4.6079999999999998E-4</v>
      </c>
      <c r="C207" s="154" t="s">
        <v>247</v>
      </c>
      <c r="D207" s="154" t="s">
        <v>248</v>
      </c>
      <c r="E207">
        <v>18.91</v>
      </c>
      <c r="F207">
        <v>22.69</v>
      </c>
      <c r="G207">
        <v>-3.7800000000000011</v>
      </c>
      <c r="H207" t="str">
        <f t="shared" si="3"/>
        <v>SHORT</v>
      </c>
    </row>
    <row r="208" spans="1:8" x14ac:dyDescent="0.2">
      <c r="A208" t="s">
        <v>41</v>
      </c>
      <c r="B208">
        <v>2.0900000000000001E-4</v>
      </c>
      <c r="C208" s="154" t="s">
        <v>249</v>
      </c>
      <c r="D208" s="154" t="s">
        <v>248</v>
      </c>
      <c r="E208">
        <v>8.58</v>
      </c>
      <c r="F208">
        <v>10.01</v>
      </c>
      <c r="G208">
        <v>-1.43</v>
      </c>
      <c r="H208" t="str">
        <f t="shared" si="3"/>
        <v>SHORT</v>
      </c>
    </row>
    <row r="209" spans="1:8" x14ac:dyDescent="0.2">
      <c r="A209" t="s">
        <v>41</v>
      </c>
      <c r="B209">
        <v>1.9387000000000001E-4</v>
      </c>
      <c r="C209" s="154" t="s">
        <v>250</v>
      </c>
      <c r="D209" s="154" t="s">
        <v>248</v>
      </c>
      <c r="E209">
        <v>7.96</v>
      </c>
      <c r="F209">
        <v>9.57</v>
      </c>
      <c r="G209">
        <v>-1.61</v>
      </c>
      <c r="H209" t="str">
        <f t="shared" si="3"/>
        <v>SHORT</v>
      </c>
    </row>
    <row r="210" spans="1:8" x14ac:dyDescent="0.2">
      <c r="A210" t="s">
        <v>41</v>
      </c>
      <c r="B210">
        <v>6.7741999999999998E-4</v>
      </c>
      <c r="C210" s="154" t="s">
        <v>251</v>
      </c>
      <c r="D210" s="154" t="s">
        <v>248</v>
      </c>
      <c r="E210">
        <v>27.8</v>
      </c>
      <c r="F210">
        <v>29.98</v>
      </c>
      <c r="G210">
        <v>-2.1800000000000002</v>
      </c>
      <c r="H210" t="str">
        <f t="shared" si="3"/>
        <v>SHORT</v>
      </c>
    </row>
    <row r="211" spans="1:8" x14ac:dyDescent="0.2">
      <c r="A211" t="s">
        <v>41</v>
      </c>
      <c r="B211">
        <v>6.9700000000000003E-4</v>
      </c>
      <c r="C211" s="154" t="s">
        <v>252</v>
      </c>
      <c r="D211" s="154" t="s">
        <v>253</v>
      </c>
      <c r="E211">
        <v>29.54</v>
      </c>
      <c r="F211">
        <v>29.01</v>
      </c>
      <c r="G211">
        <v>0.52999999999999758</v>
      </c>
      <c r="H211" t="str">
        <f t="shared" si="3"/>
        <v>SHORT</v>
      </c>
    </row>
    <row r="212" spans="1:8" x14ac:dyDescent="0.2">
      <c r="A212" t="s">
        <v>41</v>
      </c>
      <c r="B212">
        <v>8.1800000000000004E-4</v>
      </c>
      <c r="C212" s="154" t="s">
        <v>252</v>
      </c>
      <c r="D212" s="154" t="s">
        <v>254</v>
      </c>
      <c r="E212">
        <v>28.87</v>
      </c>
      <c r="F212">
        <v>34.049999999999997</v>
      </c>
      <c r="G212">
        <v>-5.1799999999999962</v>
      </c>
      <c r="H212" t="str">
        <f t="shared" si="3"/>
        <v>SHORT</v>
      </c>
    </row>
    <row r="213" spans="1:8" x14ac:dyDescent="0.2">
      <c r="A213" t="s">
        <v>41</v>
      </c>
      <c r="B213">
        <v>7.2000000000000005E-4</v>
      </c>
      <c r="C213" s="154" t="s">
        <v>252</v>
      </c>
      <c r="D213" s="154" t="s">
        <v>255</v>
      </c>
      <c r="E213">
        <v>24.93</v>
      </c>
      <c r="F213">
        <v>29.97</v>
      </c>
      <c r="G213">
        <v>-5.0399999999999991</v>
      </c>
      <c r="H213" t="str">
        <f t="shared" si="3"/>
        <v>SHORT</v>
      </c>
    </row>
    <row r="214" spans="1:8" x14ac:dyDescent="0.2">
      <c r="A214" t="s">
        <v>41</v>
      </c>
      <c r="B214">
        <v>4.6717999999999998E-4</v>
      </c>
      <c r="C214" s="154" t="s">
        <v>256</v>
      </c>
      <c r="D214" s="154" t="s">
        <v>257</v>
      </c>
      <c r="E214">
        <v>18.670000000000002</v>
      </c>
      <c r="F214">
        <v>20</v>
      </c>
      <c r="G214">
        <v>-1.3299999999999981</v>
      </c>
      <c r="H214" t="str">
        <f t="shared" si="3"/>
        <v>SHORT</v>
      </c>
    </row>
    <row r="215" spans="1:8" x14ac:dyDescent="0.2">
      <c r="A215" t="s">
        <v>41</v>
      </c>
      <c r="B215">
        <v>4.6669000000000002E-4</v>
      </c>
      <c r="C215" s="154" t="s">
        <v>256</v>
      </c>
      <c r="D215" s="154" t="s">
        <v>257</v>
      </c>
      <c r="E215">
        <v>18.66</v>
      </c>
      <c r="F215">
        <v>20</v>
      </c>
      <c r="G215">
        <v>-1.34</v>
      </c>
      <c r="H215" t="str">
        <f t="shared" si="3"/>
        <v>SHORT</v>
      </c>
    </row>
    <row r="216" spans="1:8" x14ac:dyDescent="0.2">
      <c r="A216" t="s">
        <v>61</v>
      </c>
      <c r="B216">
        <v>13.196624590000001</v>
      </c>
      <c r="C216" s="154" t="s">
        <v>248</v>
      </c>
      <c r="D216" s="154" t="s">
        <v>252</v>
      </c>
      <c r="E216">
        <v>41.5</v>
      </c>
      <c r="F216">
        <v>49.03</v>
      </c>
      <c r="G216">
        <v>-7.5300000000000011</v>
      </c>
      <c r="H216" t="str">
        <f t="shared" si="3"/>
        <v>SHORT</v>
      </c>
    </row>
    <row r="217" spans="1:8" x14ac:dyDescent="0.2">
      <c r="A217" t="s">
        <v>42</v>
      </c>
      <c r="B217">
        <v>1.7812611300000001</v>
      </c>
      <c r="C217" s="154" t="s">
        <v>248</v>
      </c>
      <c r="D217" s="154" t="s">
        <v>248</v>
      </c>
      <c r="E217">
        <v>49.03</v>
      </c>
      <c r="F217">
        <v>50.14</v>
      </c>
      <c r="G217">
        <v>-1.109999999999999</v>
      </c>
      <c r="H217" t="str">
        <f t="shared" si="3"/>
        <v>SHORT</v>
      </c>
    </row>
    <row r="218" spans="1:8" x14ac:dyDescent="0.2">
      <c r="A218" t="s">
        <v>42</v>
      </c>
      <c r="B218">
        <v>2.0595949899999999</v>
      </c>
      <c r="C218" s="154" t="s">
        <v>248</v>
      </c>
      <c r="D218" s="154" t="s">
        <v>252</v>
      </c>
      <c r="E218">
        <v>53.4</v>
      </c>
      <c r="F218">
        <v>57.98</v>
      </c>
      <c r="G218">
        <v>-4.5799999999999983</v>
      </c>
      <c r="H218" t="str">
        <f t="shared" si="3"/>
        <v>SHORT</v>
      </c>
    </row>
    <row r="219" spans="1:8" x14ac:dyDescent="0.2">
      <c r="A219" t="s">
        <v>42</v>
      </c>
      <c r="B219">
        <v>0.75839652999999996</v>
      </c>
      <c r="C219" s="154" t="s">
        <v>258</v>
      </c>
      <c r="D219" s="154" t="s">
        <v>259</v>
      </c>
      <c r="E219">
        <v>13.74</v>
      </c>
      <c r="F219">
        <v>13.29</v>
      </c>
      <c r="G219">
        <v>0.45000000000000112</v>
      </c>
      <c r="H219" t="str">
        <f t="shared" si="3"/>
        <v>SHORT</v>
      </c>
    </row>
    <row r="220" spans="1:8" x14ac:dyDescent="0.2">
      <c r="A220" t="s">
        <v>42</v>
      </c>
      <c r="B220">
        <v>1.0893102800000001</v>
      </c>
      <c r="C220" s="154" t="s">
        <v>258</v>
      </c>
      <c r="D220" s="154" t="s">
        <v>259</v>
      </c>
      <c r="E220">
        <v>19.37</v>
      </c>
      <c r="F220">
        <v>19.09</v>
      </c>
      <c r="G220">
        <v>0.28000000000000108</v>
      </c>
      <c r="H220" t="str">
        <f t="shared" si="3"/>
        <v>SHORT</v>
      </c>
    </row>
    <row r="221" spans="1:8" x14ac:dyDescent="0.2">
      <c r="A221" t="s">
        <v>35</v>
      </c>
      <c r="B221">
        <v>8.6095939999999995</v>
      </c>
      <c r="C221" s="154" t="s">
        <v>260</v>
      </c>
      <c r="D221" s="154" t="s">
        <v>248</v>
      </c>
      <c r="E221">
        <v>10.25</v>
      </c>
      <c r="F221">
        <v>11.33</v>
      </c>
      <c r="G221">
        <v>-1.08</v>
      </c>
      <c r="H221" t="str">
        <f t="shared" si="3"/>
        <v>SHORT</v>
      </c>
    </row>
    <row r="222" spans="1:8" x14ac:dyDescent="0.2">
      <c r="A222" t="s">
        <v>35</v>
      </c>
      <c r="B222">
        <v>8.7615110000000005</v>
      </c>
      <c r="C222" s="154" t="s">
        <v>261</v>
      </c>
      <c r="D222" s="154" t="s">
        <v>248</v>
      </c>
      <c r="E222">
        <v>10.44</v>
      </c>
      <c r="F222">
        <v>12.49</v>
      </c>
      <c r="G222">
        <v>-2.0500000000000012</v>
      </c>
      <c r="H222" t="str">
        <f t="shared" si="3"/>
        <v>SHORT</v>
      </c>
    </row>
    <row r="223" spans="1:8" x14ac:dyDescent="0.2">
      <c r="A223" t="s">
        <v>35</v>
      </c>
      <c r="B223">
        <v>292.78099800000001</v>
      </c>
      <c r="C223" s="154" t="s">
        <v>262</v>
      </c>
      <c r="D223" s="154" t="s">
        <v>263</v>
      </c>
      <c r="E223">
        <v>140.32</v>
      </c>
      <c r="F223">
        <v>146.94</v>
      </c>
      <c r="G223">
        <v>-6.6200000000000054</v>
      </c>
      <c r="H223" t="str">
        <f t="shared" si="3"/>
        <v>SHORT</v>
      </c>
    </row>
    <row r="224" spans="1:8" x14ac:dyDescent="0.2">
      <c r="A224" t="s">
        <v>35</v>
      </c>
      <c r="B224">
        <v>0.112633</v>
      </c>
      <c r="C224" s="154" t="s">
        <v>264</v>
      </c>
      <c r="D224" s="154" t="s">
        <v>263</v>
      </c>
      <c r="E224">
        <v>0.05</v>
      </c>
      <c r="F224">
        <v>0.05</v>
      </c>
      <c r="G224">
        <v>0</v>
      </c>
      <c r="H224" t="str">
        <f t="shared" si="3"/>
        <v>SHORT</v>
      </c>
    </row>
    <row r="225" spans="1:8" x14ac:dyDescent="0.2">
      <c r="A225" t="s">
        <v>35</v>
      </c>
      <c r="B225">
        <v>0.112285</v>
      </c>
      <c r="C225" s="154" t="s">
        <v>265</v>
      </c>
      <c r="D225" s="154" t="s">
        <v>263</v>
      </c>
      <c r="E225">
        <v>0.05</v>
      </c>
      <c r="F225">
        <v>0.04</v>
      </c>
      <c r="G225">
        <v>0.01</v>
      </c>
      <c r="H225" t="str">
        <f t="shared" si="3"/>
        <v>SHORT</v>
      </c>
    </row>
    <row r="226" spans="1:8" x14ac:dyDescent="0.2">
      <c r="A226" t="s">
        <v>35</v>
      </c>
      <c r="B226">
        <v>0.11355</v>
      </c>
      <c r="C226" s="154" t="s">
        <v>266</v>
      </c>
      <c r="D226" s="154" t="s">
        <v>267</v>
      </c>
      <c r="E226">
        <v>0.04</v>
      </c>
      <c r="F226">
        <v>0.05</v>
      </c>
      <c r="G226">
        <v>-0.01</v>
      </c>
      <c r="H226" t="str">
        <f t="shared" si="3"/>
        <v>SHORT</v>
      </c>
    </row>
    <row r="227" spans="1:8" x14ac:dyDescent="0.2">
      <c r="A227" t="s">
        <v>35</v>
      </c>
      <c r="B227">
        <v>125.19973299999999</v>
      </c>
      <c r="C227" s="154" t="s">
        <v>161</v>
      </c>
      <c r="D227" s="154" t="s">
        <v>267</v>
      </c>
      <c r="E227">
        <v>48.69</v>
      </c>
      <c r="F227">
        <v>54.41</v>
      </c>
      <c r="G227">
        <v>-5.7199999999999989</v>
      </c>
      <c r="H227" t="str">
        <f t="shared" si="3"/>
        <v>SHORT</v>
      </c>
    </row>
    <row r="228" spans="1:8" x14ac:dyDescent="0.2">
      <c r="A228" t="s">
        <v>62</v>
      </c>
      <c r="B228">
        <v>78.847219999999993</v>
      </c>
      <c r="C228" s="154" t="s">
        <v>248</v>
      </c>
      <c r="D228" s="154" t="s">
        <v>252</v>
      </c>
      <c r="E228">
        <v>45.95</v>
      </c>
      <c r="F228">
        <v>49.04</v>
      </c>
      <c r="G228">
        <v>-3.0899999999999959</v>
      </c>
      <c r="H228" t="str">
        <f t="shared" si="3"/>
        <v>SHORT</v>
      </c>
    </row>
    <row r="229" spans="1:8" x14ac:dyDescent="0.2">
      <c r="A229" t="s">
        <v>40</v>
      </c>
      <c r="B229">
        <v>8.8701000000000003E-4</v>
      </c>
      <c r="C229" s="154" t="s">
        <v>268</v>
      </c>
      <c r="D229" s="154" t="s">
        <v>248</v>
      </c>
      <c r="E229">
        <v>2.78</v>
      </c>
      <c r="F229">
        <v>3.61</v>
      </c>
      <c r="G229">
        <v>-0.83000000000000007</v>
      </c>
      <c r="H229" t="str">
        <f t="shared" si="3"/>
        <v>SHORT</v>
      </c>
    </row>
    <row r="230" spans="1:8" x14ac:dyDescent="0.2">
      <c r="A230" t="s">
        <v>40</v>
      </c>
      <c r="B230">
        <v>3.88375E-3</v>
      </c>
      <c r="C230" s="154" t="s">
        <v>250</v>
      </c>
      <c r="D230" s="154" t="s">
        <v>248</v>
      </c>
      <c r="E230">
        <v>12.16</v>
      </c>
      <c r="F230">
        <v>15.21</v>
      </c>
      <c r="G230">
        <v>-3.0500000000000012</v>
      </c>
      <c r="H230" t="str">
        <f t="shared" si="3"/>
        <v>SHORT</v>
      </c>
    </row>
    <row r="231" spans="1:8" x14ac:dyDescent="0.2">
      <c r="A231" t="s">
        <v>40</v>
      </c>
      <c r="B231">
        <v>2.37521E-3</v>
      </c>
      <c r="C231" s="154" t="s">
        <v>250</v>
      </c>
      <c r="D231" s="154" t="s">
        <v>248</v>
      </c>
      <c r="E231">
        <v>7.44</v>
      </c>
      <c r="F231">
        <v>9.2899999999999991</v>
      </c>
      <c r="G231">
        <v>-1.849999999999999</v>
      </c>
      <c r="H231" t="str">
        <f t="shared" si="3"/>
        <v>SHORT</v>
      </c>
    </row>
    <row r="232" spans="1:8" x14ac:dyDescent="0.2">
      <c r="A232" t="s">
        <v>40</v>
      </c>
      <c r="B232">
        <v>2.2016620000000001E-2</v>
      </c>
      <c r="C232" s="154" t="s">
        <v>251</v>
      </c>
      <c r="D232" s="154" t="s">
        <v>248</v>
      </c>
      <c r="E232">
        <v>68.959999999999994</v>
      </c>
      <c r="F232">
        <v>82.9</v>
      </c>
      <c r="G232">
        <v>-13.94000000000001</v>
      </c>
      <c r="H232" t="str">
        <f t="shared" si="3"/>
        <v>SHORT</v>
      </c>
    </row>
    <row r="233" spans="1:8" x14ac:dyDescent="0.2">
      <c r="A233" t="s">
        <v>40</v>
      </c>
      <c r="B233">
        <v>4.5423499999999997E-3</v>
      </c>
      <c r="C233" s="154" t="s">
        <v>251</v>
      </c>
      <c r="D233" s="154" t="s">
        <v>248</v>
      </c>
      <c r="E233">
        <v>14.27</v>
      </c>
      <c r="F233">
        <v>17.100000000000001</v>
      </c>
      <c r="G233">
        <v>-2.8300000000000018</v>
      </c>
      <c r="H233" t="str">
        <f t="shared" si="3"/>
        <v>SHORT</v>
      </c>
    </row>
    <row r="234" spans="1:8" x14ac:dyDescent="0.2">
      <c r="A234" t="s">
        <v>40</v>
      </c>
      <c r="B234">
        <v>4.5952299999999996E-3</v>
      </c>
      <c r="C234" s="154" t="s">
        <v>248</v>
      </c>
      <c r="D234" s="154" t="s">
        <v>248</v>
      </c>
      <c r="E234">
        <v>14.44</v>
      </c>
      <c r="F234">
        <v>14.34</v>
      </c>
      <c r="G234">
        <v>9.9999999999999645E-2</v>
      </c>
      <c r="H234" t="str">
        <f t="shared" si="3"/>
        <v>SHORT</v>
      </c>
    </row>
    <row r="235" spans="1:8" x14ac:dyDescent="0.2">
      <c r="A235" t="s">
        <v>40</v>
      </c>
      <c r="B235">
        <v>6.4715900000000002E-3</v>
      </c>
      <c r="C235" s="154" t="s">
        <v>248</v>
      </c>
      <c r="D235" s="154" t="s">
        <v>248</v>
      </c>
      <c r="E235">
        <v>20.329999999999998</v>
      </c>
      <c r="F235">
        <v>20.69</v>
      </c>
      <c r="G235">
        <v>-0.36000000000000298</v>
      </c>
      <c r="H235" t="str">
        <f t="shared" si="3"/>
        <v>SHORT</v>
      </c>
    </row>
    <row r="236" spans="1:8" x14ac:dyDescent="0.2">
      <c r="A236" t="s">
        <v>40</v>
      </c>
      <c r="B236">
        <v>1.5663179999999999E-2</v>
      </c>
      <c r="C236" s="154" t="s">
        <v>248</v>
      </c>
      <c r="D236" s="154" t="s">
        <v>252</v>
      </c>
      <c r="E236">
        <v>47.22</v>
      </c>
      <c r="F236">
        <v>48.9</v>
      </c>
      <c r="G236">
        <v>-1.68</v>
      </c>
      <c r="H236" t="str">
        <f t="shared" si="3"/>
        <v>SHORT</v>
      </c>
    </row>
    <row r="237" spans="1:8" x14ac:dyDescent="0.2">
      <c r="A237" t="s">
        <v>40</v>
      </c>
      <c r="B237">
        <v>1.519364E-2</v>
      </c>
      <c r="C237" s="154" t="s">
        <v>252</v>
      </c>
      <c r="D237" s="154" t="s">
        <v>252</v>
      </c>
      <c r="E237">
        <v>45.81</v>
      </c>
      <c r="F237">
        <v>46.77</v>
      </c>
      <c r="G237">
        <v>-0.96000000000000085</v>
      </c>
      <c r="H237" t="str">
        <f t="shared" si="3"/>
        <v>SHORT</v>
      </c>
    </row>
    <row r="238" spans="1:8" x14ac:dyDescent="0.2">
      <c r="A238" t="s">
        <v>40</v>
      </c>
      <c r="B238">
        <v>6.8607800000000004E-3</v>
      </c>
      <c r="C238" s="154" t="s">
        <v>252</v>
      </c>
      <c r="D238" s="154" t="s">
        <v>253</v>
      </c>
      <c r="E238">
        <v>22.35</v>
      </c>
      <c r="F238">
        <v>21</v>
      </c>
      <c r="G238">
        <v>1.350000000000001</v>
      </c>
      <c r="H238" t="str">
        <f t="shared" si="3"/>
        <v>SHORT</v>
      </c>
    </row>
    <row r="239" spans="1:8" x14ac:dyDescent="0.2">
      <c r="A239" t="s">
        <v>40</v>
      </c>
      <c r="B239">
        <v>2.1541199999999998E-3</v>
      </c>
      <c r="C239" s="154" t="s">
        <v>252</v>
      </c>
      <c r="D239" s="154" t="s">
        <v>253</v>
      </c>
      <c r="E239">
        <v>7.02</v>
      </c>
      <c r="F239">
        <v>6.63</v>
      </c>
      <c r="G239">
        <v>0.38999999999999968</v>
      </c>
      <c r="H239" t="str">
        <f t="shared" si="3"/>
        <v>SHORT</v>
      </c>
    </row>
    <row r="240" spans="1:8" x14ac:dyDescent="0.2">
      <c r="A240" t="s">
        <v>40</v>
      </c>
      <c r="B240">
        <v>8.1530400000000003E-3</v>
      </c>
      <c r="C240" s="154" t="s">
        <v>252</v>
      </c>
      <c r="D240" s="154" t="s">
        <v>254</v>
      </c>
      <c r="E240">
        <v>20.94</v>
      </c>
      <c r="F240">
        <v>24.95</v>
      </c>
      <c r="G240">
        <v>-4.009999999999998</v>
      </c>
      <c r="H240" t="str">
        <f t="shared" si="3"/>
        <v>SHORT</v>
      </c>
    </row>
    <row r="241" spans="1:8" x14ac:dyDescent="0.2">
      <c r="A241" t="s">
        <v>40</v>
      </c>
      <c r="B241">
        <v>1.36589E-3</v>
      </c>
      <c r="C241" s="154" t="s">
        <v>252</v>
      </c>
      <c r="D241" s="154" t="s">
        <v>254</v>
      </c>
      <c r="E241">
        <v>3.51</v>
      </c>
      <c r="F241">
        <v>4.1399999999999997</v>
      </c>
      <c r="G241">
        <v>-0.62999999999999989</v>
      </c>
      <c r="H241" t="str">
        <f t="shared" si="3"/>
        <v>SHORT</v>
      </c>
    </row>
    <row r="242" spans="1:8" x14ac:dyDescent="0.2">
      <c r="A242" t="s">
        <v>40</v>
      </c>
      <c r="B242">
        <v>1.232188E-2</v>
      </c>
      <c r="C242" s="154" t="s">
        <v>252</v>
      </c>
      <c r="D242" s="154" t="s">
        <v>258</v>
      </c>
      <c r="E242">
        <v>31.16</v>
      </c>
      <c r="F242">
        <v>37.36</v>
      </c>
      <c r="G242">
        <v>-6.1999999999999993</v>
      </c>
      <c r="H242" t="str">
        <f t="shared" si="3"/>
        <v>SHORT</v>
      </c>
    </row>
    <row r="243" spans="1:8" x14ac:dyDescent="0.2">
      <c r="A243" t="s">
        <v>40</v>
      </c>
      <c r="B243">
        <v>4.8343000000000003E-4</v>
      </c>
      <c r="C243" s="154" t="s">
        <v>255</v>
      </c>
      <c r="D243" s="154" t="s">
        <v>258</v>
      </c>
      <c r="E243">
        <v>1.22</v>
      </c>
      <c r="F243">
        <v>1.24</v>
      </c>
      <c r="G243">
        <v>-2.0000000000000021E-2</v>
      </c>
      <c r="H243" t="str">
        <f t="shared" si="3"/>
        <v>SHORT</v>
      </c>
    </row>
    <row r="244" spans="1:8" x14ac:dyDescent="0.2">
      <c r="A244" t="s">
        <v>40</v>
      </c>
      <c r="B244">
        <v>1.2713240000000001E-2</v>
      </c>
      <c r="C244" s="154" t="s">
        <v>255</v>
      </c>
      <c r="D244" s="154" t="s">
        <v>258</v>
      </c>
      <c r="E244">
        <v>32.369999999999997</v>
      </c>
      <c r="F244">
        <v>32.619999999999997</v>
      </c>
      <c r="G244">
        <v>-0.25</v>
      </c>
      <c r="H244" t="str">
        <f t="shared" si="3"/>
        <v>SHORT</v>
      </c>
    </row>
    <row r="245" spans="1:8" x14ac:dyDescent="0.2">
      <c r="A245" t="s">
        <v>40</v>
      </c>
      <c r="B245">
        <v>3.3121499999999998E-3</v>
      </c>
      <c r="C245" s="154" t="s">
        <v>255</v>
      </c>
      <c r="D245" s="154" t="s">
        <v>269</v>
      </c>
      <c r="E245">
        <v>9.8699999999999992</v>
      </c>
      <c r="F245">
        <v>8.5</v>
      </c>
      <c r="G245">
        <v>1.369999999999999</v>
      </c>
      <c r="H245" t="str">
        <f t="shared" si="3"/>
        <v>SHORT</v>
      </c>
    </row>
    <row r="246" spans="1:8" x14ac:dyDescent="0.2">
      <c r="A246" t="s">
        <v>40</v>
      </c>
      <c r="B246">
        <v>3.4363699999999998E-3</v>
      </c>
      <c r="C246" s="154" t="s">
        <v>255</v>
      </c>
      <c r="D246" s="154" t="s">
        <v>256</v>
      </c>
      <c r="E246">
        <v>10.24</v>
      </c>
      <c r="F246">
        <v>8.82</v>
      </c>
      <c r="G246">
        <v>1.42</v>
      </c>
      <c r="H246" t="str">
        <f t="shared" si="3"/>
        <v>SHORT</v>
      </c>
    </row>
    <row r="247" spans="1:8" x14ac:dyDescent="0.2">
      <c r="A247" t="s">
        <v>40</v>
      </c>
      <c r="B247">
        <v>3.2756600000000001E-3</v>
      </c>
      <c r="C247" s="154" t="s">
        <v>255</v>
      </c>
      <c r="D247" s="154" t="s">
        <v>256</v>
      </c>
      <c r="E247">
        <v>9.76</v>
      </c>
      <c r="F247">
        <v>8.35</v>
      </c>
      <c r="G247">
        <v>1.41</v>
      </c>
      <c r="H247" t="str">
        <f t="shared" si="3"/>
        <v>SHORT</v>
      </c>
    </row>
    <row r="248" spans="1:8" x14ac:dyDescent="0.2">
      <c r="A248" t="s">
        <v>40</v>
      </c>
      <c r="B248">
        <v>5.3464699999999999E-3</v>
      </c>
      <c r="C248" s="154" t="s">
        <v>255</v>
      </c>
      <c r="D248" s="154" t="s">
        <v>262</v>
      </c>
      <c r="E248">
        <v>8.43</v>
      </c>
      <c r="F248">
        <v>13.63</v>
      </c>
      <c r="G248">
        <v>-5.2000000000000011</v>
      </c>
      <c r="H248" t="str">
        <f t="shared" si="3"/>
        <v>SHORT</v>
      </c>
    </row>
    <row r="249" spans="1:8" x14ac:dyDescent="0.2">
      <c r="A249" t="s">
        <v>40</v>
      </c>
      <c r="B249">
        <v>2.7235999999999997E-4</v>
      </c>
      <c r="C249" s="154" t="s">
        <v>255</v>
      </c>
      <c r="D249" s="154" t="s">
        <v>262</v>
      </c>
      <c r="E249">
        <v>0.43</v>
      </c>
      <c r="F249">
        <v>0.69</v>
      </c>
      <c r="G249">
        <v>-0.26</v>
      </c>
      <c r="H249" t="str">
        <f t="shared" si="3"/>
        <v>SHORT</v>
      </c>
    </row>
    <row r="250" spans="1:8" x14ac:dyDescent="0.2">
      <c r="A250" t="s">
        <v>40</v>
      </c>
      <c r="B250">
        <v>1.0627559999999999E-2</v>
      </c>
      <c r="C250" s="154" t="s">
        <v>255</v>
      </c>
      <c r="D250" s="154" t="s">
        <v>262</v>
      </c>
      <c r="E250">
        <v>16.75</v>
      </c>
      <c r="F250">
        <v>24.93</v>
      </c>
      <c r="G250">
        <v>-8.18</v>
      </c>
      <c r="H250" t="str">
        <f t="shared" si="3"/>
        <v>SHORT</v>
      </c>
    </row>
    <row r="251" spans="1:8" x14ac:dyDescent="0.2">
      <c r="A251" t="s">
        <v>40</v>
      </c>
      <c r="B251">
        <v>7.0839999999999998E-4</v>
      </c>
      <c r="C251" s="154" t="s">
        <v>270</v>
      </c>
      <c r="D251" s="154" t="s">
        <v>262</v>
      </c>
      <c r="E251">
        <v>1.1200000000000001</v>
      </c>
      <c r="F251">
        <v>1.9</v>
      </c>
      <c r="G251">
        <v>-0.7799999999999998</v>
      </c>
      <c r="H251" t="str">
        <f t="shared" si="3"/>
        <v>SHORT</v>
      </c>
    </row>
    <row r="252" spans="1:8" x14ac:dyDescent="0.2">
      <c r="A252" t="s">
        <v>40</v>
      </c>
      <c r="B252">
        <v>1.3743E-2</v>
      </c>
      <c r="C252" s="154" t="s">
        <v>257</v>
      </c>
      <c r="D252" s="154" t="s">
        <v>262</v>
      </c>
      <c r="E252">
        <v>21.66</v>
      </c>
      <c r="F252">
        <v>37.33</v>
      </c>
      <c r="G252">
        <v>-15.67</v>
      </c>
      <c r="H252" t="str">
        <f t="shared" si="3"/>
        <v>SHORT</v>
      </c>
    </row>
    <row r="253" spans="1:8" x14ac:dyDescent="0.2">
      <c r="A253" t="s">
        <v>40</v>
      </c>
      <c r="B253">
        <v>1.4940470000000001E-2</v>
      </c>
      <c r="C253" s="154" t="s">
        <v>271</v>
      </c>
      <c r="D253" s="154" t="s">
        <v>262</v>
      </c>
      <c r="E253">
        <v>23.55</v>
      </c>
      <c r="F253">
        <v>47.37</v>
      </c>
      <c r="G253">
        <v>-23.82</v>
      </c>
      <c r="H253" t="str">
        <f t="shared" si="3"/>
        <v>SHORT</v>
      </c>
    </row>
    <row r="254" spans="1:8" x14ac:dyDescent="0.2">
      <c r="A254" t="s">
        <v>40</v>
      </c>
      <c r="B254">
        <v>2.4495449999999998E-2</v>
      </c>
      <c r="C254" s="154" t="s">
        <v>272</v>
      </c>
      <c r="D254" s="154" t="s">
        <v>262</v>
      </c>
      <c r="E254">
        <v>38.6</v>
      </c>
      <c r="F254">
        <v>39.01</v>
      </c>
      <c r="G254">
        <v>-0.40999999999999659</v>
      </c>
      <c r="H254" t="str">
        <f t="shared" si="3"/>
        <v>SHORT</v>
      </c>
    </row>
    <row r="255" spans="1:8" x14ac:dyDescent="0.2">
      <c r="A255" t="s">
        <v>40</v>
      </c>
      <c r="B255">
        <v>2.9329959999999999E-2</v>
      </c>
      <c r="C255" s="154" t="s">
        <v>273</v>
      </c>
      <c r="D255" s="154" t="s">
        <v>262</v>
      </c>
      <c r="E255">
        <v>46.22</v>
      </c>
      <c r="F255">
        <v>50</v>
      </c>
      <c r="G255">
        <v>-3.7800000000000011</v>
      </c>
      <c r="H255" t="str">
        <f t="shared" si="3"/>
        <v>SHORT</v>
      </c>
    </row>
    <row r="256" spans="1:8" x14ac:dyDescent="0.2">
      <c r="A256" t="s">
        <v>40</v>
      </c>
      <c r="B256">
        <v>3.356058E-2</v>
      </c>
      <c r="C256" s="154" t="s">
        <v>274</v>
      </c>
      <c r="D256" s="154" t="s">
        <v>262</v>
      </c>
      <c r="E256">
        <v>53.19</v>
      </c>
      <c r="F256">
        <v>43</v>
      </c>
      <c r="G256">
        <v>10.19</v>
      </c>
      <c r="H256" t="str">
        <f t="shared" si="3"/>
        <v>SHORT</v>
      </c>
    </row>
    <row r="257" spans="1:8" x14ac:dyDescent="0.2">
      <c r="A257" t="s">
        <v>40</v>
      </c>
      <c r="B257">
        <v>2.029829E-2</v>
      </c>
      <c r="C257" s="154" t="s">
        <v>274</v>
      </c>
      <c r="D257" s="154" t="s">
        <v>262</v>
      </c>
      <c r="E257">
        <v>32.17</v>
      </c>
      <c r="F257">
        <v>25.83</v>
      </c>
      <c r="G257">
        <v>6.3400000000000034</v>
      </c>
      <c r="H257" t="str">
        <f t="shared" si="3"/>
        <v>SHORT</v>
      </c>
    </row>
    <row r="258" spans="1:8" x14ac:dyDescent="0.2">
      <c r="A258" t="s">
        <v>40</v>
      </c>
      <c r="B258">
        <v>3.1947830000000003E-2</v>
      </c>
      <c r="C258" s="154" t="s">
        <v>275</v>
      </c>
      <c r="D258" s="154" t="s">
        <v>262</v>
      </c>
      <c r="E258">
        <v>50.64</v>
      </c>
      <c r="F258">
        <v>50</v>
      </c>
      <c r="G258">
        <v>0.64000000000000057</v>
      </c>
      <c r="H258" t="str">
        <f t="shared" si="3"/>
        <v>SHORT</v>
      </c>
    </row>
    <row r="259" spans="1:8" x14ac:dyDescent="0.2">
      <c r="A259" t="s">
        <v>40</v>
      </c>
      <c r="B259">
        <v>6.9026399999999998E-3</v>
      </c>
      <c r="C259" s="154" t="s">
        <v>272</v>
      </c>
      <c r="D259" s="154" t="s">
        <v>262</v>
      </c>
      <c r="E259">
        <v>10.94</v>
      </c>
      <c r="F259">
        <v>10.99</v>
      </c>
      <c r="G259">
        <v>-5.0000000000000711E-2</v>
      </c>
      <c r="H259" t="str">
        <f t="shared" si="3"/>
        <v>SHORT</v>
      </c>
    </row>
    <row r="260" spans="1:8" x14ac:dyDescent="0.2">
      <c r="A260" t="s">
        <v>40</v>
      </c>
      <c r="B260">
        <v>6.3976299999999996E-3</v>
      </c>
      <c r="C260" s="154" t="s">
        <v>274</v>
      </c>
      <c r="D260" s="154" t="s">
        <v>276</v>
      </c>
      <c r="E260">
        <v>10.53</v>
      </c>
      <c r="F260">
        <v>8.14</v>
      </c>
      <c r="G260">
        <v>2.3899999999999988</v>
      </c>
      <c r="H260" t="str">
        <f t="shared" si="3"/>
        <v>SHORT</v>
      </c>
    </row>
    <row r="261" spans="1:8" x14ac:dyDescent="0.2">
      <c r="A261" t="s">
        <v>40</v>
      </c>
      <c r="B261">
        <v>2.7035590000000002E-2</v>
      </c>
      <c r="C261" s="154" t="s">
        <v>277</v>
      </c>
      <c r="D261" s="154" t="s">
        <v>276</v>
      </c>
      <c r="E261">
        <v>44.51</v>
      </c>
      <c r="F261">
        <v>50</v>
      </c>
      <c r="G261">
        <v>-5.490000000000002</v>
      </c>
      <c r="H261" t="str">
        <f t="shared" si="3"/>
        <v>SHORT</v>
      </c>
    </row>
    <row r="262" spans="1:8" x14ac:dyDescent="0.2">
      <c r="A262" t="s">
        <v>40</v>
      </c>
      <c r="B262">
        <v>2.5103E-2</v>
      </c>
      <c r="C262" s="154" t="s">
        <v>278</v>
      </c>
      <c r="D262" s="154" t="s">
        <v>276</v>
      </c>
      <c r="E262">
        <v>41.33</v>
      </c>
      <c r="F262">
        <v>50</v>
      </c>
      <c r="G262">
        <v>-8.6700000000000017</v>
      </c>
      <c r="H262" t="str">
        <f t="shared" ref="H262:H325" si="4">IF(D262-C262 &gt; 365, "LONG", "SHORT")</f>
        <v>SHORT</v>
      </c>
    </row>
    <row r="263" spans="1:8" x14ac:dyDescent="0.2">
      <c r="A263" t="s">
        <v>40</v>
      </c>
      <c r="B263">
        <v>3.028424E-2</v>
      </c>
      <c r="C263" s="154" t="s">
        <v>279</v>
      </c>
      <c r="D263" s="154" t="s">
        <v>276</v>
      </c>
      <c r="E263">
        <v>49.86</v>
      </c>
      <c r="F263">
        <v>50</v>
      </c>
      <c r="G263">
        <v>-0.1400000000000006</v>
      </c>
      <c r="H263" t="str">
        <f t="shared" si="4"/>
        <v>SHORT</v>
      </c>
    </row>
    <row r="264" spans="1:8" x14ac:dyDescent="0.2">
      <c r="A264" t="s">
        <v>40</v>
      </c>
      <c r="B264">
        <v>8.3335389999999995E-2</v>
      </c>
      <c r="C264" s="154" t="s">
        <v>263</v>
      </c>
      <c r="D264" s="154" t="s">
        <v>161</v>
      </c>
      <c r="E264">
        <v>107.65</v>
      </c>
      <c r="F264">
        <v>140.43</v>
      </c>
      <c r="G264">
        <v>-32.78</v>
      </c>
      <c r="H264" t="str">
        <f t="shared" si="4"/>
        <v>SHORT</v>
      </c>
    </row>
    <row r="265" spans="1:8" x14ac:dyDescent="0.2">
      <c r="A265" t="s">
        <v>40</v>
      </c>
      <c r="B265">
        <v>2.0042200000000001E-3</v>
      </c>
      <c r="C265" s="154" t="s">
        <v>263</v>
      </c>
      <c r="D265" s="154" t="s">
        <v>161</v>
      </c>
      <c r="E265">
        <v>2.59</v>
      </c>
      <c r="F265">
        <v>3.38</v>
      </c>
      <c r="G265">
        <v>-0.79</v>
      </c>
      <c r="H265" t="str">
        <f t="shared" si="4"/>
        <v>SHORT</v>
      </c>
    </row>
    <row r="266" spans="1:8" x14ac:dyDescent="0.2">
      <c r="A266" t="s">
        <v>40</v>
      </c>
      <c r="B266">
        <v>2.7867079999999999E-2</v>
      </c>
      <c r="C266" s="154" t="s">
        <v>280</v>
      </c>
      <c r="D266" s="154" t="s">
        <v>161</v>
      </c>
      <c r="E266">
        <v>36</v>
      </c>
      <c r="F266">
        <v>50</v>
      </c>
      <c r="G266">
        <v>-14</v>
      </c>
      <c r="H266" t="str">
        <f t="shared" si="4"/>
        <v>SHORT</v>
      </c>
    </row>
    <row r="267" spans="1:8" x14ac:dyDescent="0.2">
      <c r="A267" t="s">
        <v>40</v>
      </c>
      <c r="B267">
        <v>1.2590530000000001E-2</v>
      </c>
      <c r="C267" s="154" t="s">
        <v>274</v>
      </c>
      <c r="D267" s="154" t="s">
        <v>161</v>
      </c>
      <c r="E267">
        <v>16.260000000000002</v>
      </c>
      <c r="F267">
        <v>16.02</v>
      </c>
      <c r="G267">
        <v>0.24000000000000199</v>
      </c>
      <c r="H267" t="str">
        <f t="shared" si="4"/>
        <v>SHORT</v>
      </c>
    </row>
    <row r="268" spans="1:8" x14ac:dyDescent="0.2">
      <c r="A268" t="s">
        <v>40</v>
      </c>
      <c r="B268">
        <v>4.3246680000000003E-2</v>
      </c>
      <c r="C268" s="154" t="s">
        <v>281</v>
      </c>
      <c r="D268" s="154" t="s">
        <v>161</v>
      </c>
      <c r="E268">
        <v>55.85</v>
      </c>
      <c r="F268">
        <v>50</v>
      </c>
      <c r="G268">
        <v>5.8500000000000014</v>
      </c>
      <c r="H268" t="str">
        <f t="shared" si="4"/>
        <v>SHORT</v>
      </c>
    </row>
    <row r="269" spans="1:8" x14ac:dyDescent="0.2">
      <c r="A269" t="s">
        <v>40</v>
      </c>
      <c r="B269">
        <v>4.1425660000000003E-2</v>
      </c>
      <c r="C269" s="154" t="s">
        <v>282</v>
      </c>
      <c r="D269" s="154" t="s">
        <v>161</v>
      </c>
      <c r="E269">
        <v>53.5</v>
      </c>
      <c r="F269">
        <v>50</v>
      </c>
      <c r="G269">
        <v>3.5</v>
      </c>
      <c r="H269" t="str">
        <f t="shared" si="4"/>
        <v>SHORT</v>
      </c>
    </row>
    <row r="270" spans="1:8" x14ac:dyDescent="0.2">
      <c r="A270" t="s">
        <v>40</v>
      </c>
      <c r="B270">
        <v>3.1119709999999998E-2</v>
      </c>
      <c r="C270" s="154" t="s">
        <v>283</v>
      </c>
      <c r="D270" s="154" t="s">
        <v>161</v>
      </c>
      <c r="E270">
        <v>40.19</v>
      </c>
      <c r="F270">
        <v>50</v>
      </c>
      <c r="G270">
        <v>-9.8100000000000023</v>
      </c>
      <c r="H270" t="str">
        <f t="shared" si="4"/>
        <v>SHORT</v>
      </c>
    </row>
    <row r="271" spans="1:8" x14ac:dyDescent="0.2">
      <c r="A271" t="s">
        <v>40</v>
      </c>
      <c r="B271">
        <v>2.99414E-2</v>
      </c>
      <c r="C271" s="154" t="s">
        <v>284</v>
      </c>
      <c r="D271" s="154" t="s">
        <v>161</v>
      </c>
      <c r="E271">
        <v>38.67</v>
      </c>
      <c r="F271">
        <v>50</v>
      </c>
      <c r="G271">
        <v>-11.33</v>
      </c>
      <c r="H271" t="str">
        <f t="shared" si="4"/>
        <v>SHORT</v>
      </c>
    </row>
    <row r="272" spans="1:8" x14ac:dyDescent="0.2">
      <c r="A272" t="s">
        <v>40</v>
      </c>
      <c r="B272">
        <v>7.8843269999999993E-2</v>
      </c>
      <c r="C272" s="154" t="s">
        <v>263</v>
      </c>
      <c r="D272" s="154" t="s">
        <v>161</v>
      </c>
      <c r="E272">
        <v>101.83</v>
      </c>
      <c r="F272">
        <v>132.53</v>
      </c>
      <c r="G272">
        <v>-30.7</v>
      </c>
      <c r="H272" t="str">
        <f t="shared" si="4"/>
        <v>SHORT</v>
      </c>
    </row>
    <row r="273" spans="1:8" x14ac:dyDescent="0.2">
      <c r="A273" t="s">
        <v>40</v>
      </c>
      <c r="B273">
        <v>8.6738670000000004E-2</v>
      </c>
      <c r="C273" s="154" t="s">
        <v>263</v>
      </c>
      <c r="D273" s="154" t="s">
        <v>161</v>
      </c>
      <c r="E273">
        <v>112.02</v>
      </c>
      <c r="F273">
        <v>146.07</v>
      </c>
      <c r="G273">
        <v>-34.049999999999997</v>
      </c>
      <c r="H273" t="str">
        <f t="shared" si="4"/>
        <v>SHORT</v>
      </c>
    </row>
    <row r="274" spans="1:8" x14ac:dyDescent="0.2">
      <c r="A274" t="s">
        <v>40</v>
      </c>
      <c r="B274">
        <v>3.524733E-2</v>
      </c>
      <c r="C274" s="154" t="s">
        <v>285</v>
      </c>
      <c r="D274" s="154" t="s">
        <v>161</v>
      </c>
      <c r="E274">
        <v>45.52</v>
      </c>
      <c r="F274">
        <v>50</v>
      </c>
      <c r="G274">
        <v>-4.4799999999999969</v>
      </c>
      <c r="H274" t="str">
        <f t="shared" si="4"/>
        <v>SHORT</v>
      </c>
    </row>
    <row r="275" spans="1:8" x14ac:dyDescent="0.2">
      <c r="A275" t="s">
        <v>40</v>
      </c>
      <c r="B275">
        <v>3.6367650000000001E-2</v>
      </c>
      <c r="C275" s="154" t="s">
        <v>286</v>
      </c>
      <c r="D275" s="154" t="s">
        <v>161</v>
      </c>
      <c r="E275">
        <v>46.97</v>
      </c>
      <c r="F275">
        <v>50</v>
      </c>
      <c r="G275">
        <v>-3.0300000000000011</v>
      </c>
      <c r="H275" t="str">
        <f t="shared" si="4"/>
        <v>SHORT</v>
      </c>
    </row>
    <row r="276" spans="1:8" x14ac:dyDescent="0.2">
      <c r="A276" t="s">
        <v>40</v>
      </c>
      <c r="B276">
        <v>3.5982489999999999E-2</v>
      </c>
      <c r="C276" s="154" t="s">
        <v>287</v>
      </c>
      <c r="D276" s="154" t="s">
        <v>161</v>
      </c>
      <c r="E276">
        <v>46.47</v>
      </c>
      <c r="F276">
        <v>50</v>
      </c>
      <c r="G276">
        <v>-3.5300000000000011</v>
      </c>
      <c r="H276" t="str">
        <f t="shared" si="4"/>
        <v>SHORT</v>
      </c>
    </row>
    <row r="277" spans="1:8" x14ac:dyDescent="0.2">
      <c r="A277" t="s">
        <v>40</v>
      </c>
      <c r="B277">
        <v>1.1130000000000001E-3</v>
      </c>
      <c r="C277" s="154" t="s">
        <v>288</v>
      </c>
      <c r="D277" s="154" t="s">
        <v>150</v>
      </c>
      <c r="E277">
        <v>1.34</v>
      </c>
      <c r="F277">
        <v>1.86</v>
      </c>
      <c r="G277">
        <v>-0.52</v>
      </c>
      <c r="H277" t="str">
        <f t="shared" si="4"/>
        <v>SHORT</v>
      </c>
    </row>
    <row r="278" spans="1:8" x14ac:dyDescent="0.2">
      <c r="A278" t="s">
        <v>40</v>
      </c>
      <c r="B278">
        <v>4.2763000000000002E-2</v>
      </c>
      <c r="C278" s="154" t="s">
        <v>288</v>
      </c>
      <c r="D278" s="154" t="s">
        <v>150</v>
      </c>
      <c r="E278">
        <v>50.03</v>
      </c>
      <c r="F278">
        <v>71.400000000000006</v>
      </c>
      <c r="G278">
        <v>-21.37</v>
      </c>
      <c r="H278" t="str">
        <f t="shared" si="4"/>
        <v>SHORT</v>
      </c>
    </row>
    <row r="279" spans="1:8" x14ac:dyDescent="0.2">
      <c r="A279" t="s">
        <v>40</v>
      </c>
      <c r="B279">
        <v>8.1899999999999996E-4</v>
      </c>
      <c r="C279" s="154" t="s">
        <v>168</v>
      </c>
      <c r="D279" s="154" t="s">
        <v>150</v>
      </c>
      <c r="E279">
        <v>0.97</v>
      </c>
      <c r="F279">
        <v>1.34</v>
      </c>
      <c r="G279">
        <v>-0.37000000000000011</v>
      </c>
      <c r="H279" t="str">
        <f t="shared" si="4"/>
        <v>SHORT</v>
      </c>
    </row>
    <row r="280" spans="1:8" x14ac:dyDescent="0.2">
      <c r="A280" t="s">
        <v>40</v>
      </c>
      <c r="B280">
        <v>2.6946689999999999E-2</v>
      </c>
      <c r="C280" s="154" t="s">
        <v>168</v>
      </c>
      <c r="D280" s="154" t="s">
        <v>150</v>
      </c>
      <c r="E280">
        <v>31.34</v>
      </c>
      <c r="F280">
        <v>44.22</v>
      </c>
      <c r="G280">
        <v>-12.88</v>
      </c>
      <c r="H280" t="str">
        <f t="shared" si="4"/>
        <v>SHORT</v>
      </c>
    </row>
    <row r="281" spans="1:8" x14ac:dyDescent="0.2">
      <c r="A281" t="s">
        <v>40</v>
      </c>
      <c r="B281">
        <v>1.601431E-2</v>
      </c>
      <c r="C281" s="154" t="s">
        <v>288</v>
      </c>
      <c r="D281" s="154" t="s">
        <v>150</v>
      </c>
      <c r="E281">
        <v>18.63</v>
      </c>
      <c r="F281">
        <v>26.74</v>
      </c>
      <c r="G281">
        <v>-8.11</v>
      </c>
      <c r="H281" t="str">
        <f t="shared" si="4"/>
        <v>SHORT</v>
      </c>
    </row>
    <row r="282" spans="1:8" x14ac:dyDescent="0.2">
      <c r="A282" t="s">
        <v>40</v>
      </c>
      <c r="B282">
        <v>6.5099999999999999E-4</v>
      </c>
      <c r="C282" s="154" t="s">
        <v>161</v>
      </c>
      <c r="D282" s="154" t="s">
        <v>150</v>
      </c>
      <c r="E282">
        <v>0.76</v>
      </c>
      <c r="F282">
        <v>0.89</v>
      </c>
      <c r="G282">
        <v>-0.13</v>
      </c>
      <c r="H282" t="str">
        <f t="shared" si="4"/>
        <v>SHORT</v>
      </c>
    </row>
    <row r="283" spans="1:8" x14ac:dyDescent="0.2">
      <c r="A283" t="s">
        <v>40</v>
      </c>
      <c r="B283">
        <v>5.2980649999999997E-2</v>
      </c>
      <c r="C283" s="154" t="s">
        <v>161</v>
      </c>
      <c r="D283" s="154" t="s">
        <v>150</v>
      </c>
      <c r="E283">
        <v>61.49</v>
      </c>
      <c r="F283">
        <v>72.72</v>
      </c>
      <c r="G283">
        <v>-11.23</v>
      </c>
      <c r="H283" t="str">
        <f t="shared" si="4"/>
        <v>SHORT</v>
      </c>
    </row>
    <row r="284" spans="1:8" x14ac:dyDescent="0.2">
      <c r="A284" t="s">
        <v>40</v>
      </c>
      <c r="B284">
        <v>3.3175349999999999E-2</v>
      </c>
      <c r="C284" s="154" t="s">
        <v>168</v>
      </c>
      <c r="D284" s="154" t="s">
        <v>150</v>
      </c>
      <c r="E284">
        <v>38.51</v>
      </c>
      <c r="F284">
        <v>54.44</v>
      </c>
      <c r="G284">
        <v>-15.93</v>
      </c>
      <c r="H284" t="str">
        <f t="shared" si="4"/>
        <v>SHORT</v>
      </c>
    </row>
    <row r="285" spans="1:8" x14ac:dyDescent="0.2">
      <c r="A285" t="s">
        <v>40</v>
      </c>
      <c r="B285">
        <v>1.922138E-2</v>
      </c>
      <c r="C285" s="154" t="s">
        <v>161</v>
      </c>
      <c r="D285" s="154" t="s">
        <v>150</v>
      </c>
      <c r="E285">
        <v>22.6</v>
      </c>
      <c r="F285">
        <v>26.38</v>
      </c>
      <c r="G285">
        <v>-3.779999999999998</v>
      </c>
      <c r="H285" t="str">
        <f t="shared" si="4"/>
        <v>SHORT</v>
      </c>
    </row>
    <row r="286" spans="1:8" x14ac:dyDescent="0.2">
      <c r="A286" t="s">
        <v>40</v>
      </c>
      <c r="B286">
        <v>7.3598159999999996E-2</v>
      </c>
      <c r="C286" s="154" t="s">
        <v>161</v>
      </c>
      <c r="D286" s="154" t="s">
        <v>150</v>
      </c>
      <c r="E286">
        <v>86.55</v>
      </c>
      <c r="F286">
        <v>99.99</v>
      </c>
      <c r="G286">
        <v>-13.44</v>
      </c>
      <c r="H286" t="str">
        <f t="shared" si="4"/>
        <v>SHORT</v>
      </c>
    </row>
    <row r="287" spans="1:8" x14ac:dyDescent="0.2">
      <c r="A287" t="s">
        <v>40</v>
      </c>
      <c r="B287">
        <v>7.5120039999999999E-2</v>
      </c>
      <c r="C287" s="154" t="s">
        <v>289</v>
      </c>
      <c r="D287" s="154" t="s">
        <v>150</v>
      </c>
      <c r="E287">
        <v>88.34</v>
      </c>
      <c r="F287">
        <v>100</v>
      </c>
      <c r="G287">
        <v>-11.66</v>
      </c>
      <c r="H287" t="str">
        <f t="shared" si="4"/>
        <v>SHORT</v>
      </c>
    </row>
    <row r="288" spans="1:8" x14ac:dyDescent="0.2">
      <c r="A288" t="s">
        <v>40</v>
      </c>
      <c r="B288">
        <v>7.3430300000000004E-2</v>
      </c>
      <c r="C288" s="154" t="s">
        <v>290</v>
      </c>
      <c r="D288" s="154" t="s">
        <v>150</v>
      </c>
      <c r="E288">
        <v>86.35</v>
      </c>
      <c r="F288">
        <v>100</v>
      </c>
      <c r="G288">
        <v>-13.650000000000009</v>
      </c>
      <c r="H288" t="str">
        <f t="shared" si="4"/>
        <v>SHORT</v>
      </c>
    </row>
    <row r="289" spans="1:8" x14ac:dyDescent="0.2">
      <c r="A289" t="s">
        <v>40</v>
      </c>
      <c r="B289">
        <v>5.2499999999999997E-4</v>
      </c>
      <c r="C289" s="154" t="s">
        <v>291</v>
      </c>
      <c r="D289" s="154" t="s">
        <v>150</v>
      </c>
      <c r="E289">
        <v>0.62</v>
      </c>
      <c r="F289">
        <v>0.67</v>
      </c>
      <c r="G289">
        <v>-5.0000000000000037E-2</v>
      </c>
      <c r="H289" t="str">
        <f t="shared" si="4"/>
        <v>SHORT</v>
      </c>
    </row>
    <row r="290" spans="1:8" x14ac:dyDescent="0.2">
      <c r="A290" t="s">
        <v>40</v>
      </c>
      <c r="B290">
        <v>1.3748120000000001E-2</v>
      </c>
      <c r="C290" s="154" t="s">
        <v>291</v>
      </c>
      <c r="D290" s="154" t="s">
        <v>150</v>
      </c>
      <c r="E290">
        <v>16.170000000000002</v>
      </c>
      <c r="F290">
        <v>17.5</v>
      </c>
      <c r="G290">
        <v>-1.3299999999999981</v>
      </c>
      <c r="H290" t="str">
        <f t="shared" si="4"/>
        <v>SHORT</v>
      </c>
    </row>
    <row r="291" spans="1:8" x14ac:dyDescent="0.2">
      <c r="A291" t="s">
        <v>40</v>
      </c>
      <c r="B291">
        <v>6.4292150000000006E-2</v>
      </c>
      <c r="C291" s="154" t="s">
        <v>291</v>
      </c>
      <c r="D291" s="154" t="s">
        <v>231</v>
      </c>
      <c r="E291">
        <v>79.92</v>
      </c>
      <c r="F291">
        <v>81.83</v>
      </c>
      <c r="G291">
        <v>-1.909999999999997</v>
      </c>
      <c r="H291" t="str">
        <f t="shared" si="4"/>
        <v>SHORT</v>
      </c>
    </row>
    <row r="292" spans="1:8" x14ac:dyDescent="0.2">
      <c r="A292" t="s">
        <v>40</v>
      </c>
      <c r="B292">
        <v>3.715446E-2</v>
      </c>
      <c r="C292" s="154" t="s">
        <v>292</v>
      </c>
      <c r="D292" s="154" t="s">
        <v>231</v>
      </c>
      <c r="E292">
        <v>46.18</v>
      </c>
      <c r="F292">
        <v>45.48</v>
      </c>
      <c r="G292">
        <v>0.70000000000000284</v>
      </c>
      <c r="H292" t="str">
        <f t="shared" si="4"/>
        <v>SHORT</v>
      </c>
    </row>
    <row r="293" spans="1:8" x14ac:dyDescent="0.2">
      <c r="A293" t="s">
        <v>40</v>
      </c>
      <c r="B293">
        <v>1.6193989999999998E-2</v>
      </c>
      <c r="C293" s="154" t="s">
        <v>148</v>
      </c>
      <c r="D293" s="154" t="s">
        <v>231</v>
      </c>
      <c r="E293">
        <v>20.13</v>
      </c>
      <c r="F293">
        <v>20</v>
      </c>
      <c r="G293">
        <v>0.12999999999999901</v>
      </c>
      <c r="H293" t="str">
        <f t="shared" si="4"/>
        <v>SHORT</v>
      </c>
    </row>
    <row r="294" spans="1:8" x14ac:dyDescent="0.2">
      <c r="A294" t="s">
        <v>40</v>
      </c>
      <c r="B294">
        <v>2.423407E-2</v>
      </c>
      <c r="C294" s="154" t="s">
        <v>292</v>
      </c>
      <c r="D294" s="154" t="s">
        <v>293</v>
      </c>
      <c r="E294">
        <v>30.61</v>
      </c>
      <c r="F294">
        <v>29.67</v>
      </c>
      <c r="G294">
        <v>0.93999999999999773</v>
      </c>
      <c r="H294" t="str">
        <f t="shared" si="4"/>
        <v>SHORT</v>
      </c>
    </row>
    <row r="295" spans="1:8" x14ac:dyDescent="0.2">
      <c r="A295" t="s">
        <v>40</v>
      </c>
      <c r="B295">
        <v>3.1500000000000001E-4</v>
      </c>
      <c r="C295" s="154" t="s">
        <v>292</v>
      </c>
      <c r="D295" s="154" t="s">
        <v>293</v>
      </c>
      <c r="E295">
        <v>0.4</v>
      </c>
      <c r="F295">
        <v>0.39</v>
      </c>
      <c r="G295">
        <v>1.0000000000000011E-2</v>
      </c>
      <c r="H295" t="str">
        <f t="shared" si="4"/>
        <v>SHORT</v>
      </c>
    </row>
    <row r="296" spans="1:8" x14ac:dyDescent="0.2">
      <c r="A296" t="s">
        <v>40</v>
      </c>
      <c r="B296">
        <v>1.5361929999999999E-2</v>
      </c>
      <c r="C296" s="154" t="s">
        <v>151</v>
      </c>
      <c r="D296" s="154" t="s">
        <v>293</v>
      </c>
      <c r="E296">
        <v>19.399999999999999</v>
      </c>
      <c r="F296">
        <v>20</v>
      </c>
      <c r="G296">
        <v>-0.60000000000000142</v>
      </c>
      <c r="H296" t="str">
        <f t="shared" si="4"/>
        <v>SHORT</v>
      </c>
    </row>
    <row r="297" spans="1:8" x14ac:dyDescent="0.2">
      <c r="A297" t="s">
        <v>40</v>
      </c>
      <c r="B297">
        <v>1.9987330000000001E-2</v>
      </c>
      <c r="C297" s="154" t="s">
        <v>292</v>
      </c>
      <c r="D297" s="154" t="s">
        <v>293</v>
      </c>
      <c r="E297">
        <v>25.35</v>
      </c>
      <c r="F297">
        <v>24.47</v>
      </c>
      <c r="G297">
        <v>0.88000000000000256</v>
      </c>
      <c r="H297" t="str">
        <f t="shared" si="4"/>
        <v>SHORT</v>
      </c>
    </row>
    <row r="298" spans="1:8" x14ac:dyDescent="0.2">
      <c r="A298" t="s">
        <v>40</v>
      </c>
      <c r="B298">
        <v>2.52E-4</v>
      </c>
      <c r="C298" s="154" t="s">
        <v>200</v>
      </c>
      <c r="D298" s="154" t="s">
        <v>293</v>
      </c>
      <c r="E298">
        <v>0.32</v>
      </c>
      <c r="F298">
        <v>0.3</v>
      </c>
      <c r="G298">
        <v>2.0000000000000021E-2</v>
      </c>
      <c r="H298" t="str">
        <f t="shared" si="4"/>
        <v>SHORT</v>
      </c>
    </row>
    <row r="299" spans="1:8" x14ac:dyDescent="0.2">
      <c r="A299" t="s">
        <v>40</v>
      </c>
      <c r="B299">
        <v>5.8927670000000001E-2</v>
      </c>
      <c r="C299" s="154" t="s">
        <v>200</v>
      </c>
      <c r="D299" s="154" t="s">
        <v>293</v>
      </c>
      <c r="E299">
        <v>74.739999999999995</v>
      </c>
      <c r="F299">
        <v>71.16</v>
      </c>
      <c r="G299">
        <v>3.5799999999999979</v>
      </c>
      <c r="H299" t="str">
        <f t="shared" si="4"/>
        <v>SHORT</v>
      </c>
    </row>
    <row r="300" spans="1:8" x14ac:dyDescent="0.2">
      <c r="A300" t="s">
        <v>40</v>
      </c>
      <c r="B300">
        <v>3.1500000000000001E-4</v>
      </c>
      <c r="C300" s="154" t="s">
        <v>200</v>
      </c>
      <c r="D300" s="154" t="s">
        <v>293</v>
      </c>
      <c r="E300">
        <v>0.4</v>
      </c>
      <c r="F300">
        <v>0.38</v>
      </c>
      <c r="G300">
        <v>2.0000000000000021E-2</v>
      </c>
      <c r="H300" t="str">
        <f t="shared" si="4"/>
        <v>SHORT</v>
      </c>
    </row>
    <row r="301" spans="1:8" x14ac:dyDescent="0.2">
      <c r="A301" t="s">
        <v>40</v>
      </c>
      <c r="B301">
        <v>0.31627699999999997</v>
      </c>
      <c r="C301" s="154" t="s">
        <v>200</v>
      </c>
      <c r="D301" s="154" t="s">
        <v>293</v>
      </c>
      <c r="E301">
        <v>400.13</v>
      </c>
      <c r="F301">
        <v>381.94</v>
      </c>
      <c r="G301">
        <v>18.190000000000001</v>
      </c>
      <c r="H301" t="str">
        <f t="shared" si="4"/>
        <v>SHORT</v>
      </c>
    </row>
    <row r="302" spans="1:8" x14ac:dyDescent="0.2">
      <c r="A302" t="s">
        <v>40</v>
      </c>
      <c r="B302">
        <v>6.546E-5</v>
      </c>
      <c r="C302" s="154" t="s">
        <v>201</v>
      </c>
      <c r="D302" s="154" t="s">
        <v>177</v>
      </c>
      <c r="E302">
        <v>0.08</v>
      </c>
      <c r="F302">
        <v>0.08</v>
      </c>
      <c r="G302">
        <v>0</v>
      </c>
      <c r="H302" t="str">
        <f t="shared" si="4"/>
        <v>SHORT</v>
      </c>
    </row>
    <row r="303" spans="1:8" x14ac:dyDescent="0.2">
      <c r="A303" t="s">
        <v>40</v>
      </c>
      <c r="B303">
        <v>2.5112740000000001E-2</v>
      </c>
      <c r="C303" s="154" t="s">
        <v>201</v>
      </c>
      <c r="D303" s="154" t="s">
        <v>177</v>
      </c>
      <c r="E303">
        <v>30.54</v>
      </c>
      <c r="F303">
        <v>30.96</v>
      </c>
      <c r="G303">
        <v>-0.42000000000000171</v>
      </c>
      <c r="H303" t="str">
        <f t="shared" si="4"/>
        <v>SHORT</v>
      </c>
    </row>
    <row r="304" spans="1:8" x14ac:dyDescent="0.2">
      <c r="A304" t="s">
        <v>40</v>
      </c>
      <c r="B304">
        <v>1.5972259999999999E-2</v>
      </c>
      <c r="C304" s="154" t="s">
        <v>215</v>
      </c>
      <c r="D304" s="154" t="s">
        <v>177</v>
      </c>
      <c r="E304">
        <v>19.420000000000002</v>
      </c>
      <c r="F304">
        <v>20</v>
      </c>
      <c r="G304">
        <v>-0.57999999999999829</v>
      </c>
      <c r="H304" t="str">
        <f t="shared" si="4"/>
        <v>SHORT</v>
      </c>
    </row>
    <row r="305" spans="1:8" x14ac:dyDescent="0.2">
      <c r="A305" t="s">
        <v>40</v>
      </c>
      <c r="B305">
        <v>8.2324999999999995E-2</v>
      </c>
      <c r="C305" s="154" t="s">
        <v>201</v>
      </c>
      <c r="D305" s="154" t="s">
        <v>177</v>
      </c>
      <c r="E305">
        <v>100</v>
      </c>
      <c r="F305">
        <v>101.48</v>
      </c>
      <c r="G305">
        <v>-1.480000000000004</v>
      </c>
      <c r="H305" t="str">
        <f t="shared" si="4"/>
        <v>SHORT</v>
      </c>
    </row>
    <row r="306" spans="1:8" x14ac:dyDescent="0.2">
      <c r="A306" t="s">
        <v>40</v>
      </c>
      <c r="B306">
        <v>6.5539999999999999E-5</v>
      </c>
      <c r="C306" s="154" t="s">
        <v>201</v>
      </c>
      <c r="D306" s="154" t="s">
        <v>177</v>
      </c>
      <c r="E306">
        <v>0.08</v>
      </c>
      <c r="F306">
        <v>0.08</v>
      </c>
      <c r="G306">
        <v>0</v>
      </c>
      <c r="H306" t="str">
        <f t="shared" si="4"/>
        <v>SHORT</v>
      </c>
    </row>
    <row r="307" spans="1:8" x14ac:dyDescent="0.2">
      <c r="A307" t="s">
        <v>40</v>
      </c>
      <c r="B307">
        <v>4.0683999999999998E-2</v>
      </c>
      <c r="C307" s="154" t="s">
        <v>201</v>
      </c>
      <c r="D307" s="154" t="s">
        <v>205</v>
      </c>
      <c r="E307">
        <v>49.99</v>
      </c>
      <c r="F307">
        <v>50.15</v>
      </c>
      <c r="G307">
        <v>-0.15999999999999659</v>
      </c>
      <c r="H307" t="str">
        <f t="shared" si="4"/>
        <v>SHORT</v>
      </c>
    </row>
    <row r="308" spans="1:8" x14ac:dyDescent="0.2">
      <c r="A308" t="s">
        <v>40</v>
      </c>
      <c r="B308">
        <v>6.6379999999999998E-5</v>
      </c>
      <c r="C308" s="154" t="s">
        <v>201</v>
      </c>
      <c r="D308" s="154" t="s">
        <v>205</v>
      </c>
      <c r="E308">
        <v>0.08</v>
      </c>
      <c r="F308">
        <v>0.08</v>
      </c>
      <c r="G308">
        <v>0</v>
      </c>
      <c r="H308" t="str">
        <f t="shared" si="4"/>
        <v>SHORT</v>
      </c>
    </row>
    <row r="309" spans="1:8" x14ac:dyDescent="0.2">
      <c r="A309" t="s">
        <v>40</v>
      </c>
      <c r="B309">
        <v>8.1725000000000006E-2</v>
      </c>
      <c r="C309" s="154" t="s">
        <v>201</v>
      </c>
      <c r="D309" s="154" t="s">
        <v>205</v>
      </c>
      <c r="E309">
        <v>99.93</v>
      </c>
      <c r="F309">
        <v>100.74</v>
      </c>
      <c r="G309">
        <v>-0.80999999999998806</v>
      </c>
      <c r="H309" t="str">
        <f t="shared" si="4"/>
        <v>SHORT</v>
      </c>
    </row>
    <row r="310" spans="1:8" x14ac:dyDescent="0.2">
      <c r="A310" t="s">
        <v>40</v>
      </c>
      <c r="B310">
        <v>6.622E-5</v>
      </c>
      <c r="C310" s="154" t="s">
        <v>201</v>
      </c>
      <c r="D310" s="154" t="s">
        <v>205</v>
      </c>
      <c r="E310">
        <v>0.08</v>
      </c>
      <c r="F310">
        <v>0.08</v>
      </c>
      <c r="G310">
        <v>0</v>
      </c>
      <c r="H310" t="str">
        <f t="shared" si="4"/>
        <v>SHORT</v>
      </c>
    </row>
    <row r="311" spans="1:8" x14ac:dyDescent="0.2">
      <c r="A311" t="s">
        <v>40</v>
      </c>
      <c r="B311">
        <v>6.3810000000000001E-5</v>
      </c>
      <c r="C311" s="154" t="s">
        <v>205</v>
      </c>
      <c r="D311" s="154" t="s">
        <v>223</v>
      </c>
      <c r="E311">
        <v>0.08</v>
      </c>
      <c r="F311">
        <v>0.08</v>
      </c>
      <c r="G311">
        <v>0</v>
      </c>
      <c r="H311" t="str">
        <f t="shared" si="4"/>
        <v>SHORT</v>
      </c>
    </row>
    <row r="312" spans="1:8" x14ac:dyDescent="0.2">
      <c r="A312" t="s">
        <v>40</v>
      </c>
      <c r="B312">
        <v>4.1825000000000001E-2</v>
      </c>
      <c r="C312" s="154" t="s">
        <v>205</v>
      </c>
      <c r="D312" s="154" t="s">
        <v>223</v>
      </c>
      <c r="E312">
        <v>49.98</v>
      </c>
      <c r="F312">
        <v>51.66</v>
      </c>
      <c r="G312">
        <v>-1.68</v>
      </c>
      <c r="H312" t="str">
        <f t="shared" si="4"/>
        <v>SHORT</v>
      </c>
    </row>
    <row r="313" spans="1:8" x14ac:dyDescent="0.2">
      <c r="A313" t="s">
        <v>40</v>
      </c>
      <c r="B313">
        <v>8.3696000000000007E-2</v>
      </c>
      <c r="C313" s="154" t="s">
        <v>205</v>
      </c>
      <c r="D313" s="154" t="s">
        <v>223</v>
      </c>
      <c r="E313">
        <v>100</v>
      </c>
      <c r="F313">
        <v>103.37</v>
      </c>
      <c r="G313">
        <v>-3.370000000000005</v>
      </c>
      <c r="H313" t="str">
        <f t="shared" si="4"/>
        <v>SHORT</v>
      </c>
    </row>
    <row r="314" spans="1:8" x14ac:dyDescent="0.2">
      <c r="A314" t="s">
        <v>40</v>
      </c>
      <c r="B314">
        <v>6.3239999999999998E-5</v>
      </c>
      <c r="C314" s="154" t="s">
        <v>205</v>
      </c>
      <c r="D314" s="154" t="s">
        <v>223</v>
      </c>
      <c r="E314">
        <v>0.08</v>
      </c>
      <c r="F314">
        <v>0.08</v>
      </c>
      <c r="G314">
        <v>0</v>
      </c>
      <c r="H314" t="str">
        <f t="shared" si="4"/>
        <v>SHORT</v>
      </c>
    </row>
    <row r="315" spans="1:8" x14ac:dyDescent="0.2">
      <c r="A315" t="s">
        <v>57</v>
      </c>
      <c r="B315">
        <v>37.85224736</v>
      </c>
      <c r="C315" s="154" t="s">
        <v>254</v>
      </c>
      <c r="D315" s="154" t="s">
        <v>255</v>
      </c>
      <c r="E315">
        <v>21.98</v>
      </c>
      <c r="F315">
        <v>24.45</v>
      </c>
      <c r="G315">
        <v>-2.4699999999999989</v>
      </c>
      <c r="H315" t="str">
        <f t="shared" si="4"/>
        <v>SHORT</v>
      </c>
    </row>
    <row r="316" spans="1:8" x14ac:dyDescent="0.2">
      <c r="A316" t="s">
        <v>58</v>
      </c>
      <c r="B316">
        <v>840.67473926000002</v>
      </c>
      <c r="C316" s="154" t="s">
        <v>254</v>
      </c>
      <c r="D316" s="154" t="s">
        <v>255</v>
      </c>
      <c r="E316">
        <v>29.81</v>
      </c>
      <c r="F316">
        <v>28.87</v>
      </c>
      <c r="G316">
        <v>0.93999999999999773</v>
      </c>
      <c r="H316" t="str">
        <f t="shared" si="4"/>
        <v>SHORT</v>
      </c>
    </row>
    <row r="317" spans="1:8" x14ac:dyDescent="0.2">
      <c r="A317" t="s">
        <v>58</v>
      </c>
      <c r="B317">
        <v>602.30154056000003</v>
      </c>
      <c r="C317" s="154" t="s">
        <v>294</v>
      </c>
      <c r="D317" s="154" t="s">
        <v>255</v>
      </c>
      <c r="E317">
        <v>21.36</v>
      </c>
      <c r="F317">
        <v>23.52</v>
      </c>
      <c r="G317">
        <v>-2.16</v>
      </c>
      <c r="H317" t="str">
        <f t="shared" si="4"/>
        <v>SHORT</v>
      </c>
    </row>
    <row r="318" spans="1:8" x14ac:dyDescent="0.2">
      <c r="A318" t="s">
        <v>54</v>
      </c>
      <c r="B318">
        <v>36.42306705</v>
      </c>
      <c r="C318" s="154" t="s">
        <v>269</v>
      </c>
      <c r="D318" s="154" t="s">
        <v>259</v>
      </c>
      <c r="E318">
        <v>9.32</v>
      </c>
      <c r="F318">
        <v>9.8699999999999992</v>
      </c>
      <c r="G318">
        <v>-0.54999999999999893</v>
      </c>
      <c r="H318" t="str">
        <f t="shared" si="4"/>
        <v>SHORT</v>
      </c>
    </row>
    <row r="319" spans="1:8" x14ac:dyDescent="0.2">
      <c r="A319" t="s">
        <v>33</v>
      </c>
      <c r="B319">
        <v>11.074009999999999</v>
      </c>
      <c r="C319" s="154" t="s">
        <v>161</v>
      </c>
      <c r="D319" s="154" t="s">
        <v>161</v>
      </c>
      <c r="E319">
        <v>146.19</v>
      </c>
      <c r="F319">
        <v>146.24</v>
      </c>
      <c r="G319">
        <v>-5.0000000000011369E-2</v>
      </c>
      <c r="H319" t="str">
        <f t="shared" si="4"/>
        <v>SHORT</v>
      </c>
    </row>
    <row r="320" spans="1:8" x14ac:dyDescent="0.2">
      <c r="A320" t="s">
        <v>33</v>
      </c>
      <c r="B320">
        <v>4.0729150000000001</v>
      </c>
      <c r="C320" s="154" t="s">
        <v>161</v>
      </c>
      <c r="D320" s="154" t="s">
        <v>161</v>
      </c>
      <c r="E320">
        <v>53.77</v>
      </c>
      <c r="F320">
        <v>53.76</v>
      </c>
      <c r="G320">
        <v>1.0000000000005119E-2</v>
      </c>
      <c r="H320" t="str">
        <f t="shared" si="4"/>
        <v>SHORT</v>
      </c>
    </row>
    <row r="321" spans="1:8" x14ac:dyDescent="0.2">
      <c r="A321" t="s">
        <v>33</v>
      </c>
      <c r="B321">
        <v>7.5809259999999998</v>
      </c>
      <c r="C321" s="154" t="s">
        <v>161</v>
      </c>
      <c r="D321" s="154" t="s">
        <v>161</v>
      </c>
      <c r="E321">
        <v>99.99</v>
      </c>
      <c r="F321">
        <v>100.07</v>
      </c>
      <c r="G321">
        <v>-7.9999999999998295E-2</v>
      </c>
      <c r="H321" t="str">
        <f t="shared" si="4"/>
        <v>SHORT</v>
      </c>
    </row>
    <row r="322" spans="1:8" x14ac:dyDescent="0.2">
      <c r="A322" t="s">
        <v>33</v>
      </c>
      <c r="B322">
        <v>15.158405</v>
      </c>
      <c r="C322" s="154" t="s">
        <v>161</v>
      </c>
      <c r="D322" s="154" t="s">
        <v>161</v>
      </c>
      <c r="E322">
        <v>199.96</v>
      </c>
      <c r="F322">
        <v>200.09</v>
      </c>
      <c r="G322">
        <v>-0.12999999999999551</v>
      </c>
      <c r="H322" t="str">
        <f t="shared" si="4"/>
        <v>SHORT</v>
      </c>
    </row>
    <row r="323" spans="1:8" x14ac:dyDescent="0.2">
      <c r="A323" t="s">
        <v>33</v>
      </c>
      <c r="B323">
        <v>3.556632</v>
      </c>
      <c r="C323" s="154" t="s">
        <v>161</v>
      </c>
      <c r="D323" s="154" t="s">
        <v>267</v>
      </c>
      <c r="E323">
        <v>48.29</v>
      </c>
      <c r="F323">
        <v>46.95</v>
      </c>
      <c r="G323">
        <v>1.3399999999999961</v>
      </c>
      <c r="H323" t="str">
        <f t="shared" si="4"/>
        <v>SHORT</v>
      </c>
    </row>
    <row r="324" spans="1:8" x14ac:dyDescent="0.2">
      <c r="A324" t="s">
        <v>33</v>
      </c>
      <c r="B324">
        <v>3.3258999999999997E-2</v>
      </c>
      <c r="C324" s="154" t="s">
        <v>295</v>
      </c>
      <c r="D324" s="154" t="s">
        <v>267</v>
      </c>
      <c r="E324">
        <v>0.45</v>
      </c>
      <c r="F324">
        <v>0.44</v>
      </c>
      <c r="G324">
        <v>1.0000000000000011E-2</v>
      </c>
      <c r="H324" t="str">
        <f t="shared" si="4"/>
        <v>SHORT</v>
      </c>
    </row>
    <row r="325" spans="1:8" x14ac:dyDescent="0.2">
      <c r="A325" t="s">
        <v>51</v>
      </c>
      <c r="B325">
        <v>6.0493305599999996</v>
      </c>
      <c r="C325" s="154" t="s">
        <v>296</v>
      </c>
      <c r="D325" s="154" t="s">
        <v>248</v>
      </c>
      <c r="E325">
        <v>12.25</v>
      </c>
      <c r="F325">
        <v>14.68</v>
      </c>
      <c r="G325">
        <v>-2.4300000000000002</v>
      </c>
      <c r="H325" t="str">
        <f t="shared" si="4"/>
        <v>SHORT</v>
      </c>
    </row>
    <row r="326" spans="1:8" x14ac:dyDescent="0.2">
      <c r="A326" t="s">
        <v>51</v>
      </c>
      <c r="B326">
        <v>6.29638235</v>
      </c>
      <c r="C326" s="154" t="s">
        <v>259</v>
      </c>
      <c r="D326" s="154" t="s">
        <v>256</v>
      </c>
      <c r="E326">
        <v>10.98</v>
      </c>
      <c r="F326">
        <v>12.14</v>
      </c>
      <c r="G326">
        <v>-1.1599999999999999</v>
      </c>
      <c r="H326" t="str">
        <f t="shared" ref="H326:H389" si="5">IF(D326-C326 &gt; 365, "LONG", "SHORT")</f>
        <v>SHORT</v>
      </c>
    </row>
    <row r="327" spans="1:8" x14ac:dyDescent="0.2">
      <c r="A327" t="s">
        <v>51</v>
      </c>
      <c r="B327">
        <v>4.9322087999999997</v>
      </c>
      <c r="C327" s="154" t="s">
        <v>259</v>
      </c>
      <c r="D327" s="154" t="s">
        <v>256</v>
      </c>
      <c r="E327">
        <v>8.6</v>
      </c>
      <c r="F327">
        <v>9.32</v>
      </c>
      <c r="G327">
        <v>-0.72000000000000064</v>
      </c>
      <c r="H327" t="str">
        <f t="shared" si="5"/>
        <v>SHORT</v>
      </c>
    </row>
    <row r="328" spans="1:8" x14ac:dyDescent="0.2">
      <c r="A328" t="s">
        <v>51</v>
      </c>
      <c r="B328">
        <v>0.23732640999999999</v>
      </c>
      <c r="C328" s="154" t="s">
        <v>297</v>
      </c>
      <c r="D328" s="154" t="s">
        <v>256</v>
      </c>
      <c r="E328">
        <v>0.41</v>
      </c>
      <c r="F328">
        <v>0.44</v>
      </c>
      <c r="G328">
        <v>-3.000000000000003E-2</v>
      </c>
      <c r="H328" t="str">
        <f t="shared" si="5"/>
        <v>SHORT</v>
      </c>
    </row>
    <row r="329" spans="1:8" x14ac:dyDescent="0.2">
      <c r="A329" t="s">
        <v>51</v>
      </c>
      <c r="B329">
        <v>20.12041597</v>
      </c>
      <c r="C329" s="154" t="s">
        <v>258</v>
      </c>
      <c r="D329" s="154" t="s">
        <v>271</v>
      </c>
      <c r="E329">
        <v>31.82</v>
      </c>
      <c r="F329">
        <v>32.369999999999997</v>
      </c>
      <c r="G329">
        <v>-0.54999999999999716</v>
      </c>
      <c r="H329" t="str">
        <f t="shared" si="5"/>
        <v>SHORT</v>
      </c>
    </row>
    <row r="330" spans="1:8" x14ac:dyDescent="0.2">
      <c r="A330" t="s">
        <v>51</v>
      </c>
      <c r="B330">
        <v>9.8318377899999998</v>
      </c>
      <c r="C330" s="154" t="s">
        <v>297</v>
      </c>
      <c r="D330" s="154" t="s">
        <v>271</v>
      </c>
      <c r="E330">
        <v>15.55</v>
      </c>
      <c r="F330">
        <v>18.440000000000001</v>
      </c>
      <c r="G330">
        <v>-2.890000000000001</v>
      </c>
      <c r="H330" t="str">
        <f t="shared" si="5"/>
        <v>SHORT</v>
      </c>
    </row>
    <row r="331" spans="1:8" x14ac:dyDescent="0.2">
      <c r="A331" t="s">
        <v>51</v>
      </c>
      <c r="B331">
        <v>176.07568337000001</v>
      </c>
      <c r="C331" s="154" t="s">
        <v>276</v>
      </c>
      <c r="D331" s="154" t="s">
        <v>263</v>
      </c>
      <c r="E331">
        <v>149.44999999999999</v>
      </c>
      <c r="F331">
        <v>146.22</v>
      </c>
      <c r="G331">
        <v>3.2299999999999902</v>
      </c>
      <c r="H331" t="str">
        <f t="shared" si="5"/>
        <v>SHORT</v>
      </c>
    </row>
    <row r="332" spans="1:8" x14ac:dyDescent="0.2">
      <c r="A332" t="s">
        <v>34</v>
      </c>
      <c r="B332">
        <v>0.13994595000000001</v>
      </c>
      <c r="C332" s="154" t="s">
        <v>248</v>
      </c>
      <c r="D332" s="154" t="s">
        <v>248</v>
      </c>
      <c r="E332">
        <v>19.649999999999999</v>
      </c>
      <c r="F332">
        <v>20.72</v>
      </c>
      <c r="G332">
        <v>-1.07</v>
      </c>
      <c r="H332" t="str">
        <f t="shared" si="5"/>
        <v>SHORT</v>
      </c>
    </row>
    <row r="333" spans="1:8" x14ac:dyDescent="0.2">
      <c r="A333" t="s">
        <v>34</v>
      </c>
      <c r="B333">
        <v>0.63016919999999998</v>
      </c>
      <c r="C333" s="154" t="s">
        <v>248</v>
      </c>
      <c r="D333" s="154" t="s">
        <v>248</v>
      </c>
      <c r="E333">
        <v>88.47</v>
      </c>
      <c r="F333">
        <v>91.34</v>
      </c>
      <c r="G333">
        <v>-2.870000000000005</v>
      </c>
      <c r="H333" t="str">
        <f t="shared" si="5"/>
        <v>SHORT</v>
      </c>
    </row>
    <row r="334" spans="1:8" x14ac:dyDescent="0.2">
      <c r="A334" t="s">
        <v>34</v>
      </c>
      <c r="B334">
        <v>4.0490642799999996</v>
      </c>
      <c r="C334" s="154" t="s">
        <v>262</v>
      </c>
      <c r="D334" s="154" t="s">
        <v>263</v>
      </c>
      <c r="E334">
        <v>132.12</v>
      </c>
      <c r="F334">
        <v>156.75</v>
      </c>
      <c r="G334">
        <v>-24.63</v>
      </c>
      <c r="H334" t="str">
        <f t="shared" si="5"/>
        <v>SHORT</v>
      </c>
    </row>
    <row r="335" spans="1:8" x14ac:dyDescent="0.2">
      <c r="A335" t="s">
        <v>34</v>
      </c>
      <c r="B335">
        <v>1.30503E-3</v>
      </c>
      <c r="C335" s="154" t="s">
        <v>298</v>
      </c>
      <c r="D335" s="154" t="s">
        <v>263</v>
      </c>
      <c r="E335">
        <v>0.04</v>
      </c>
      <c r="F335">
        <v>0.05</v>
      </c>
      <c r="G335">
        <v>-0.01</v>
      </c>
      <c r="H335" t="str">
        <f t="shared" si="5"/>
        <v>SHORT</v>
      </c>
    </row>
    <row r="336" spans="1:8" x14ac:dyDescent="0.2">
      <c r="A336" t="s">
        <v>34</v>
      </c>
      <c r="B336">
        <v>1.3001600000000001E-3</v>
      </c>
      <c r="C336" s="154" t="s">
        <v>299</v>
      </c>
      <c r="D336" s="154" t="s">
        <v>263</v>
      </c>
      <c r="E336">
        <v>0.04</v>
      </c>
      <c r="F336">
        <v>0.06</v>
      </c>
      <c r="G336">
        <v>-0.02</v>
      </c>
      <c r="H336" t="str">
        <f t="shared" si="5"/>
        <v>SHORT</v>
      </c>
    </row>
    <row r="337" spans="1:8" x14ac:dyDescent="0.2">
      <c r="A337" t="s">
        <v>34</v>
      </c>
      <c r="B337">
        <v>1.2923100000000001E-3</v>
      </c>
      <c r="C337" s="154" t="s">
        <v>300</v>
      </c>
      <c r="D337" s="154" t="s">
        <v>263</v>
      </c>
      <c r="E337">
        <v>0.04</v>
      </c>
      <c r="F337">
        <v>0.05</v>
      </c>
      <c r="G337">
        <v>-0.01</v>
      </c>
      <c r="H337" t="str">
        <f t="shared" si="5"/>
        <v>SHORT</v>
      </c>
    </row>
    <row r="338" spans="1:8" x14ac:dyDescent="0.2">
      <c r="A338" t="s">
        <v>34</v>
      </c>
      <c r="B338">
        <v>1.29766E-3</v>
      </c>
      <c r="C338" s="154" t="s">
        <v>301</v>
      </c>
      <c r="D338" s="154" t="s">
        <v>263</v>
      </c>
      <c r="E338">
        <v>0.04</v>
      </c>
      <c r="F338">
        <v>0.04</v>
      </c>
      <c r="G338">
        <v>0</v>
      </c>
      <c r="H338" t="str">
        <f t="shared" si="5"/>
        <v>SHORT</v>
      </c>
    </row>
    <row r="339" spans="1:8" x14ac:dyDescent="0.2">
      <c r="A339" t="s">
        <v>34</v>
      </c>
      <c r="B339">
        <v>6.5089E-4</v>
      </c>
      <c r="C339" s="154" t="s">
        <v>279</v>
      </c>
      <c r="D339" s="154" t="s">
        <v>263</v>
      </c>
      <c r="E339">
        <v>0.02</v>
      </c>
      <c r="F339">
        <v>0.02</v>
      </c>
      <c r="G339">
        <v>0</v>
      </c>
      <c r="H339" t="str">
        <f t="shared" si="5"/>
        <v>SHORT</v>
      </c>
    </row>
    <row r="340" spans="1:8" x14ac:dyDescent="0.2">
      <c r="A340" t="s">
        <v>34</v>
      </c>
      <c r="B340">
        <v>1.39926E-3</v>
      </c>
      <c r="C340" s="154" t="s">
        <v>302</v>
      </c>
      <c r="D340" s="154" t="s">
        <v>263</v>
      </c>
      <c r="E340">
        <v>0.05</v>
      </c>
      <c r="F340">
        <v>0.04</v>
      </c>
      <c r="G340">
        <v>0.01</v>
      </c>
      <c r="H340" t="str">
        <f t="shared" si="5"/>
        <v>SHORT</v>
      </c>
    </row>
    <row r="341" spans="1:8" x14ac:dyDescent="0.2">
      <c r="A341" t="s">
        <v>34</v>
      </c>
      <c r="B341">
        <v>1.42425E-3</v>
      </c>
      <c r="C341" s="154" t="s">
        <v>303</v>
      </c>
      <c r="D341" s="154" t="s">
        <v>263</v>
      </c>
      <c r="E341">
        <v>0.05</v>
      </c>
      <c r="F341">
        <v>0.04</v>
      </c>
      <c r="G341">
        <v>0.01</v>
      </c>
      <c r="H341" t="str">
        <f t="shared" si="5"/>
        <v>SHORT</v>
      </c>
    </row>
    <row r="342" spans="1:8" x14ac:dyDescent="0.2">
      <c r="A342" t="s">
        <v>34</v>
      </c>
      <c r="B342">
        <v>1.2448299999999999E-3</v>
      </c>
      <c r="C342" s="154" t="s">
        <v>265</v>
      </c>
      <c r="D342" s="154" t="s">
        <v>263</v>
      </c>
      <c r="E342">
        <v>0.04</v>
      </c>
      <c r="F342">
        <v>0.03</v>
      </c>
      <c r="G342">
        <v>0.01</v>
      </c>
      <c r="H342" t="str">
        <f t="shared" si="5"/>
        <v>SHORT</v>
      </c>
    </row>
    <row r="343" spans="1:8" x14ac:dyDescent="0.2">
      <c r="A343" t="s">
        <v>34</v>
      </c>
      <c r="B343">
        <v>1.3996900000000001E-3</v>
      </c>
      <c r="C343" s="154" t="s">
        <v>304</v>
      </c>
      <c r="D343" s="154" t="s">
        <v>263</v>
      </c>
      <c r="E343">
        <v>0.05</v>
      </c>
      <c r="F343">
        <v>0.04</v>
      </c>
      <c r="G343">
        <v>0.01</v>
      </c>
      <c r="H343" t="str">
        <f t="shared" si="5"/>
        <v>SHORT</v>
      </c>
    </row>
    <row r="344" spans="1:8" x14ac:dyDescent="0.2">
      <c r="A344" t="s">
        <v>34</v>
      </c>
      <c r="B344">
        <v>1.4032599999999999E-3</v>
      </c>
      <c r="C344" s="154" t="s">
        <v>284</v>
      </c>
      <c r="D344" s="154" t="s">
        <v>263</v>
      </c>
      <c r="E344">
        <v>0.05</v>
      </c>
      <c r="F344">
        <v>0.04</v>
      </c>
      <c r="G344">
        <v>0.01</v>
      </c>
      <c r="H344" t="str">
        <f t="shared" si="5"/>
        <v>SHORT</v>
      </c>
    </row>
    <row r="345" spans="1:8" x14ac:dyDescent="0.2">
      <c r="A345" t="s">
        <v>34</v>
      </c>
      <c r="B345">
        <v>1.3926800000000001E-3</v>
      </c>
      <c r="C345" s="154" t="s">
        <v>164</v>
      </c>
      <c r="D345" s="154" t="s">
        <v>231</v>
      </c>
      <c r="E345">
        <v>0.02</v>
      </c>
      <c r="F345">
        <v>0.04</v>
      </c>
      <c r="G345">
        <v>-0.02</v>
      </c>
      <c r="H345" t="str">
        <f t="shared" si="5"/>
        <v>SHORT</v>
      </c>
    </row>
    <row r="346" spans="1:8" x14ac:dyDescent="0.2">
      <c r="A346" t="s">
        <v>34</v>
      </c>
      <c r="B346">
        <v>1.3742400000000001E-3</v>
      </c>
      <c r="C346" s="154" t="s">
        <v>266</v>
      </c>
      <c r="D346" s="154" t="s">
        <v>231</v>
      </c>
      <c r="E346">
        <v>0.02</v>
      </c>
      <c r="F346">
        <v>0.04</v>
      </c>
      <c r="G346">
        <v>-0.02</v>
      </c>
      <c r="H346" t="str">
        <f t="shared" si="5"/>
        <v>SHORT</v>
      </c>
    </row>
    <row r="347" spans="1:8" x14ac:dyDescent="0.2">
      <c r="A347" t="s">
        <v>34</v>
      </c>
      <c r="B347">
        <v>5.8921217700000001</v>
      </c>
      <c r="C347" s="154" t="s">
        <v>161</v>
      </c>
      <c r="D347" s="154" t="s">
        <v>231</v>
      </c>
      <c r="E347">
        <v>77.59</v>
      </c>
      <c r="F347">
        <v>199.96</v>
      </c>
      <c r="G347">
        <v>-122.37</v>
      </c>
      <c r="H347" t="str">
        <f t="shared" si="5"/>
        <v>SHORT</v>
      </c>
    </row>
    <row r="348" spans="1:8" x14ac:dyDescent="0.2">
      <c r="A348" t="s">
        <v>34</v>
      </c>
      <c r="B348">
        <v>1.8760700000000001E-3</v>
      </c>
      <c r="C348" s="154" t="s">
        <v>305</v>
      </c>
      <c r="D348" s="154" t="s">
        <v>231</v>
      </c>
      <c r="E348">
        <v>0.02</v>
      </c>
      <c r="F348">
        <v>0.05</v>
      </c>
      <c r="G348">
        <v>-0.03</v>
      </c>
      <c r="H348" t="str">
        <f t="shared" si="5"/>
        <v>SHORT</v>
      </c>
    </row>
    <row r="349" spans="1:8" x14ac:dyDescent="0.2">
      <c r="A349" t="s">
        <v>34</v>
      </c>
      <c r="B349">
        <v>1.86506E-3</v>
      </c>
      <c r="C349" s="154" t="s">
        <v>306</v>
      </c>
      <c r="D349" s="154" t="s">
        <v>231</v>
      </c>
      <c r="E349">
        <v>0.02</v>
      </c>
      <c r="F349">
        <v>0.05</v>
      </c>
      <c r="G349">
        <v>-0.03</v>
      </c>
      <c r="H349" t="str">
        <f t="shared" si="5"/>
        <v>SHORT</v>
      </c>
    </row>
    <row r="350" spans="1:8" x14ac:dyDescent="0.2">
      <c r="A350" t="s">
        <v>34</v>
      </c>
      <c r="B350">
        <v>1.8747E-3</v>
      </c>
      <c r="C350" s="154" t="s">
        <v>167</v>
      </c>
      <c r="D350" s="154" t="s">
        <v>231</v>
      </c>
      <c r="E350">
        <v>0.02</v>
      </c>
      <c r="F350">
        <v>0.05</v>
      </c>
      <c r="G350">
        <v>-0.03</v>
      </c>
      <c r="H350" t="str">
        <f t="shared" si="5"/>
        <v>SHORT</v>
      </c>
    </row>
    <row r="351" spans="1:8" x14ac:dyDescent="0.2">
      <c r="A351" t="s">
        <v>34</v>
      </c>
      <c r="B351">
        <v>1.79028E-3</v>
      </c>
      <c r="C351" s="154" t="s">
        <v>307</v>
      </c>
      <c r="D351" s="154" t="s">
        <v>231</v>
      </c>
      <c r="E351">
        <v>0.02</v>
      </c>
      <c r="F351">
        <v>0.04</v>
      </c>
      <c r="G351">
        <v>-0.02</v>
      </c>
      <c r="H351" t="str">
        <f t="shared" si="5"/>
        <v>SHORT</v>
      </c>
    </row>
    <row r="352" spans="1:8" x14ac:dyDescent="0.2">
      <c r="A352" t="s">
        <v>34</v>
      </c>
      <c r="B352">
        <v>1.8121700000000001E-3</v>
      </c>
      <c r="C352" s="154" t="s">
        <v>308</v>
      </c>
      <c r="D352" s="154" t="s">
        <v>231</v>
      </c>
      <c r="E352">
        <v>0.02</v>
      </c>
      <c r="F352">
        <v>0.05</v>
      </c>
      <c r="G352">
        <v>-0.03</v>
      </c>
      <c r="H352" t="str">
        <f t="shared" si="5"/>
        <v>SHORT</v>
      </c>
    </row>
    <row r="353" spans="1:8" x14ac:dyDescent="0.2">
      <c r="A353" t="s">
        <v>34</v>
      </c>
      <c r="B353">
        <v>1.8444799999999999E-3</v>
      </c>
      <c r="C353" s="154" t="s">
        <v>309</v>
      </c>
      <c r="D353" s="154" t="s">
        <v>231</v>
      </c>
      <c r="E353">
        <v>0.02</v>
      </c>
      <c r="F353">
        <v>0.05</v>
      </c>
      <c r="G353">
        <v>-0.03</v>
      </c>
      <c r="H353" t="str">
        <f t="shared" si="5"/>
        <v>SHORT</v>
      </c>
    </row>
    <row r="354" spans="1:8" x14ac:dyDescent="0.2">
      <c r="A354" t="s">
        <v>34</v>
      </c>
      <c r="B354">
        <v>1.80689E-3</v>
      </c>
      <c r="C354" s="154" t="s">
        <v>310</v>
      </c>
      <c r="D354" s="154" t="s">
        <v>231</v>
      </c>
      <c r="E354">
        <v>0.02</v>
      </c>
      <c r="F354">
        <v>0.05</v>
      </c>
      <c r="G354">
        <v>-0.03</v>
      </c>
      <c r="H354" t="str">
        <f t="shared" si="5"/>
        <v>SHORT</v>
      </c>
    </row>
    <row r="355" spans="1:8" x14ac:dyDescent="0.2">
      <c r="A355" t="s">
        <v>34</v>
      </c>
      <c r="B355">
        <v>1.85092E-3</v>
      </c>
      <c r="C355" s="154" t="s">
        <v>311</v>
      </c>
      <c r="D355" s="154" t="s">
        <v>231</v>
      </c>
      <c r="E355">
        <v>0.02</v>
      </c>
      <c r="F355">
        <v>0.06</v>
      </c>
      <c r="G355">
        <v>-3.9999999999999987E-2</v>
      </c>
      <c r="H355" t="str">
        <f t="shared" si="5"/>
        <v>SHORT</v>
      </c>
    </row>
    <row r="356" spans="1:8" x14ac:dyDescent="0.2">
      <c r="A356" t="s">
        <v>34</v>
      </c>
      <c r="B356">
        <v>1.8058E-3</v>
      </c>
      <c r="C356" s="154" t="s">
        <v>267</v>
      </c>
      <c r="D356" s="154" t="s">
        <v>231</v>
      </c>
      <c r="E356">
        <v>0.02</v>
      </c>
      <c r="F356">
        <v>0.05</v>
      </c>
      <c r="G356">
        <v>-0.03</v>
      </c>
      <c r="H356" t="str">
        <f t="shared" si="5"/>
        <v>SHORT</v>
      </c>
    </row>
    <row r="357" spans="1:8" x14ac:dyDescent="0.2">
      <c r="A357" t="s">
        <v>34</v>
      </c>
      <c r="B357">
        <v>1.82763E-3</v>
      </c>
      <c r="C357" s="154" t="s">
        <v>216</v>
      </c>
      <c r="D357" s="154" t="s">
        <v>231</v>
      </c>
      <c r="E357">
        <v>0.02</v>
      </c>
      <c r="F357">
        <v>0.06</v>
      </c>
      <c r="G357">
        <v>-3.9999999999999987E-2</v>
      </c>
      <c r="H357" t="str">
        <f t="shared" si="5"/>
        <v>SHORT</v>
      </c>
    </row>
    <row r="358" spans="1:8" x14ac:dyDescent="0.2">
      <c r="A358" t="s">
        <v>34</v>
      </c>
      <c r="B358">
        <v>1.94488E-3</v>
      </c>
      <c r="C358" s="154" t="s">
        <v>312</v>
      </c>
      <c r="D358" s="154" t="s">
        <v>231</v>
      </c>
      <c r="E358">
        <v>0.03</v>
      </c>
      <c r="F358">
        <v>0.03</v>
      </c>
      <c r="G358">
        <v>0</v>
      </c>
      <c r="H358" t="str">
        <f t="shared" si="5"/>
        <v>SHORT</v>
      </c>
    </row>
    <row r="359" spans="1:8" x14ac:dyDescent="0.2">
      <c r="A359" t="s">
        <v>34</v>
      </c>
      <c r="B359">
        <v>1.87458E-3</v>
      </c>
      <c r="C359" s="154" t="s">
        <v>313</v>
      </c>
      <c r="D359" s="154" t="s">
        <v>231</v>
      </c>
      <c r="E359">
        <v>0.02</v>
      </c>
      <c r="F359">
        <v>0.03</v>
      </c>
      <c r="G359">
        <v>-9.9999999999999985E-3</v>
      </c>
      <c r="H359" t="str">
        <f t="shared" si="5"/>
        <v>SHORT</v>
      </c>
    </row>
    <row r="360" spans="1:8" x14ac:dyDescent="0.2">
      <c r="A360" t="s">
        <v>34</v>
      </c>
      <c r="B360">
        <v>8.3726999999999998E-4</v>
      </c>
      <c r="C360" s="154" t="s">
        <v>170</v>
      </c>
      <c r="D360" s="154" t="s">
        <v>231</v>
      </c>
      <c r="E360">
        <v>0.01</v>
      </c>
      <c r="F360">
        <v>0.01</v>
      </c>
      <c r="G360">
        <v>0</v>
      </c>
      <c r="H360" t="str">
        <f t="shared" si="5"/>
        <v>SHORT</v>
      </c>
    </row>
    <row r="361" spans="1:8" x14ac:dyDescent="0.2">
      <c r="A361" t="s">
        <v>52</v>
      </c>
      <c r="B361">
        <v>0.269179</v>
      </c>
      <c r="C361" s="154" t="s">
        <v>269</v>
      </c>
      <c r="D361" s="154" t="s">
        <v>270</v>
      </c>
      <c r="E361">
        <v>0.63</v>
      </c>
      <c r="F361">
        <v>0.99</v>
      </c>
      <c r="G361">
        <v>-0.36</v>
      </c>
      <c r="H361" t="str">
        <f t="shared" si="5"/>
        <v>SHORT</v>
      </c>
    </row>
    <row r="362" spans="1:8" x14ac:dyDescent="0.2">
      <c r="A362" t="s">
        <v>52</v>
      </c>
      <c r="B362">
        <v>0.26954177000000001</v>
      </c>
      <c r="C362" s="154" t="s">
        <v>269</v>
      </c>
      <c r="D362" s="154" t="s">
        <v>270</v>
      </c>
      <c r="E362">
        <v>0.63</v>
      </c>
      <c r="F362">
        <v>1</v>
      </c>
      <c r="G362">
        <v>-0.37</v>
      </c>
      <c r="H362" t="str">
        <f t="shared" si="5"/>
        <v>SHORT</v>
      </c>
    </row>
    <row r="363" spans="1:8" x14ac:dyDescent="0.2">
      <c r="A363" t="s">
        <v>52</v>
      </c>
      <c r="B363">
        <v>0.26990553</v>
      </c>
      <c r="C363" s="154" t="s">
        <v>269</v>
      </c>
      <c r="D363" s="154" t="s">
        <v>270</v>
      </c>
      <c r="E363">
        <v>0.63</v>
      </c>
      <c r="F363">
        <v>0.99</v>
      </c>
      <c r="G363">
        <v>-0.36</v>
      </c>
      <c r="H363" t="str">
        <f t="shared" si="5"/>
        <v>SHORT</v>
      </c>
    </row>
    <row r="364" spans="1:8" x14ac:dyDescent="0.2">
      <c r="A364" t="s">
        <v>63</v>
      </c>
      <c r="B364">
        <v>242.62441733</v>
      </c>
      <c r="C364" s="154" t="s">
        <v>248</v>
      </c>
      <c r="D364" s="154" t="s">
        <v>248</v>
      </c>
      <c r="E364">
        <v>20.72</v>
      </c>
      <c r="F364">
        <v>23.77</v>
      </c>
      <c r="G364">
        <v>-3.0500000000000012</v>
      </c>
      <c r="H364" t="str">
        <f t="shared" si="5"/>
        <v>SHORT</v>
      </c>
    </row>
    <row r="365" spans="1:8" x14ac:dyDescent="0.2">
      <c r="A365" t="s">
        <v>59</v>
      </c>
      <c r="B365">
        <v>52.526181739999998</v>
      </c>
      <c r="C365" s="154" t="s">
        <v>254</v>
      </c>
      <c r="D365" s="154" t="s">
        <v>294</v>
      </c>
      <c r="E365">
        <v>23.52</v>
      </c>
      <c r="F365">
        <v>40.04</v>
      </c>
      <c r="G365">
        <v>-16.52</v>
      </c>
      <c r="H365" t="str">
        <f t="shared" si="5"/>
        <v>SHORT</v>
      </c>
    </row>
    <row r="366" spans="1:8" x14ac:dyDescent="0.2">
      <c r="A366" t="s">
        <v>60</v>
      </c>
      <c r="B366">
        <v>0.19981545000000001</v>
      </c>
      <c r="C366" s="154" t="s">
        <v>253</v>
      </c>
      <c r="D366" s="154" t="s">
        <v>254</v>
      </c>
      <c r="E366">
        <v>20.100000000000001</v>
      </c>
      <c r="F366">
        <v>29.37</v>
      </c>
      <c r="G366">
        <v>-9.27</v>
      </c>
      <c r="H366" t="str">
        <f t="shared" si="5"/>
        <v>SHORT</v>
      </c>
    </row>
    <row r="367" spans="1:8" x14ac:dyDescent="0.2">
      <c r="A367" t="s">
        <v>60</v>
      </c>
      <c r="B367">
        <v>0.19831138000000001</v>
      </c>
      <c r="C367" s="154" t="s">
        <v>253</v>
      </c>
      <c r="D367" s="154" t="s">
        <v>254</v>
      </c>
      <c r="E367">
        <v>19.940000000000001</v>
      </c>
      <c r="F367">
        <v>29.54</v>
      </c>
      <c r="G367">
        <v>-9.5999999999999979</v>
      </c>
      <c r="H367" t="str">
        <f t="shared" si="5"/>
        <v>SHORT</v>
      </c>
    </row>
    <row r="368" spans="1:8" x14ac:dyDescent="0.2">
      <c r="A368" t="s">
        <v>65</v>
      </c>
      <c r="B368">
        <v>279.60738657000002</v>
      </c>
      <c r="C368" s="154" t="s">
        <v>314</v>
      </c>
      <c r="D368" s="154" t="s">
        <v>251</v>
      </c>
      <c r="E368">
        <v>17.989999999999998</v>
      </c>
      <c r="F368">
        <v>17.64</v>
      </c>
      <c r="G368">
        <v>0.34999999999999792</v>
      </c>
      <c r="H368" t="str">
        <f t="shared" si="5"/>
        <v>SHORT</v>
      </c>
    </row>
    <row r="369" spans="1:8" x14ac:dyDescent="0.2">
      <c r="A369" t="s">
        <v>65</v>
      </c>
      <c r="B369">
        <v>186.24469737000001</v>
      </c>
      <c r="C369" s="154" t="s">
        <v>314</v>
      </c>
      <c r="D369" s="154" t="s">
        <v>251</v>
      </c>
      <c r="E369">
        <v>11.99</v>
      </c>
      <c r="F369">
        <v>11.74</v>
      </c>
      <c r="G369">
        <v>0.25</v>
      </c>
      <c r="H369" t="str">
        <f t="shared" si="5"/>
        <v>SHORT</v>
      </c>
    </row>
    <row r="370" spans="1:8" x14ac:dyDescent="0.2">
      <c r="A370" t="s">
        <v>64</v>
      </c>
      <c r="B370">
        <v>289.4535285</v>
      </c>
      <c r="C370" s="154" t="s">
        <v>261</v>
      </c>
      <c r="D370" s="154" t="s">
        <v>248</v>
      </c>
      <c r="E370">
        <v>12.1</v>
      </c>
      <c r="F370">
        <v>15</v>
      </c>
      <c r="G370">
        <v>-2.9</v>
      </c>
      <c r="H370" t="str">
        <f t="shared" si="5"/>
        <v>SHORT</v>
      </c>
    </row>
    <row r="371" spans="1:8" x14ac:dyDescent="0.2">
      <c r="A371" t="s">
        <v>64</v>
      </c>
      <c r="B371">
        <v>279.24018813999999</v>
      </c>
      <c r="C371" s="154" t="s">
        <v>248</v>
      </c>
      <c r="D371" s="154" t="s">
        <v>248</v>
      </c>
      <c r="E371">
        <v>11.67</v>
      </c>
      <c r="F371">
        <v>12.25</v>
      </c>
      <c r="G371">
        <v>-0.58000000000000007</v>
      </c>
      <c r="H371" t="str">
        <f t="shared" si="5"/>
        <v>SHORT</v>
      </c>
    </row>
    <row r="372" spans="1:8" x14ac:dyDescent="0.2">
      <c r="A372" t="s">
        <v>53</v>
      </c>
      <c r="B372">
        <v>56.116802880000002</v>
      </c>
      <c r="C372" s="154" t="s">
        <v>259</v>
      </c>
      <c r="D372" s="154" t="s">
        <v>297</v>
      </c>
      <c r="E372">
        <v>18.88</v>
      </c>
      <c r="F372">
        <v>19.37</v>
      </c>
      <c r="G372">
        <v>-0.49000000000000199</v>
      </c>
      <c r="H372" t="str">
        <f t="shared" si="5"/>
        <v>SHORT</v>
      </c>
    </row>
    <row r="373" spans="1:8" x14ac:dyDescent="0.2">
      <c r="A373" t="s">
        <v>56</v>
      </c>
      <c r="B373">
        <v>1.6941973699999999</v>
      </c>
      <c r="C373" s="154" t="s">
        <v>315</v>
      </c>
      <c r="D373" s="154" t="s">
        <v>255</v>
      </c>
      <c r="E373">
        <v>0.69</v>
      </c>
      <c r="F373">
        <v>1</v>
      </c>
      <c r="G373">
        <v>-0.31000000000000011</v>
      </c>
      <c r="H373" t="str">
        <f t="shared" si="5"/>
        <v>SHORT</v>
      </c>
    </row>
    <row r="374" spans="1:8" x14ac:dyDescent="0.2">
      <c r="A374" t="s">
        <v>55</v>
      </c>
      <c r="B374">
        <v>3.853386</v>
      </c>
      <c r="C374" s="154" t="s">
        <v>259</v>
      </c>
      <c r="D374" s="154" t="s">
        <v>259</v>
      </c>
      <c r="E374">
        <v>12.14</v>
      </c>
      <c r="F374">
        <v>13.74</v>
      </c>
      <c r="G374">
        <v>-1.6</v>
      </c>
      <c r="H374" t="str">
        <f t="shared" si="5"/>
        <v>SHORT</v>
      </c>
    </row>
    <row r="375" spans="1:8" x14ac:dyDescent="0.2">
      <c r="A375" t="s">
        <v>41</v>
      </c>
      <c r="B375">
        <v>8.2360000000000004E-5</v>
      </c>
      <c r="C375" s="154" t="s">
        <v>316</v>
      </c>
      <c r="D375" s="154" t="s">
        <v>317</v>
      </c>
      <c r="E375">
        <v>3.99</v>
      </c>
      <c r="F375">
        <v>4.87</v>
      </c>
      <c r="G375">
        <v>-0.87999999999999989</v>
      </c>
      <c r="H375" t="str">
        <f t="shared" si="5"/>
        <v>SHORT</v>
      </c>
    </row>
    <row r="376" spans="1:8" x14ac:dyDescent="0.2">
      <c r="A376" t="s">
        <v>41</v>
      </c>
      <c r="B376">
        <v>6.5290000000000007E-5</v>
      </c>
      <c r="C376" s="154" t="s">
        <v>316</v>
      </c>
      <c r="D376" s="154" t="s">
        <v>317</v>
      </c>
      <c r="E376">
        <v>3.16</v>
      </c>
      <c r="F376">
        <v>3.86</v>
      </c>
      <c r="G376">
        <v>-0.69999999999999973</v>
      </c>
      <c r="H376" t="str">
        <f t="shared" si="5"/>
        <v>SHORT</v>
      </c>
    </row>
    <row r="377" spans="1:8" x14ac:dyDescent="0.2">
      <c r="A377" t="s">
        <v>41</v>
      </c>
      <c r="B377">
        <v>4.6035E-4</v>
      </c>
      <c r="C377" s="154" t="s">
        <v>247</v>
      </c>
      <c r="D377" s="154" t="s">
        <v>317</v>
      </c>
      <c r="E377">
        <v>22.31</v>
      </c>
      <c r="F377">
        <v>23.55</v>
      </c>
      <c r="G377">
        <v>-1.240000000000002</v>
      </c>
      <c r="H377" t="str">
        <f t="shared" si="5"/>
        <v>SHORT</v>
      </c>
    </row>
    <row r="378" spans="1:8" x14ac:dyDescent="0.2">
      <c r="A378" t="s">
        <v>41</v>
      </c>
      <c r="B378">
        <v>2.0599999999999999E-4</v>
      </c>
      <c r="C378" s="154" t="s">
        <v>247</v>
      </c>
      <c r="D378" s="154" t="s">
        <v>317</v>
      </c>
      <c r="E378">
        <v>9.7799999999999994</v>
      </c>
      <c r="F378">
        <v>10.54</v>
      </c>
      <c r="G378">
        <v>-0.75999999999999979</v>
      </c>
      <c r="H378" t="str">
        <f t="shared" si="5"/>
        <v>SHORT</v>
      </c>
    </row>
    <row r="379" spans="1:8" x14ac:dyDescent="0.2">
      <c r="A379" t="s">
        <v>41</v>
      </c>
      <c r="B379">
        <v>1.9799999999999999E-4</v>
      </c>
      <c r="C379" s="154" t="s">
        <v>247</v>
      </c>
      <c r="D379" s="154" t="s">
        <v>318</v>
      </c>
      <c r="E379">
        <v>9.7899999999999991</v>
      </c>
      <c r="F379">
        <v>10.130000000000001</v>
      </c>
      <c r="G379">
        <v>-0.34000000000000158</v>
      </c>
      <c r="H379" t="str">
        <f t="shared" si="5"/>
        <v>SHORT</v>
      </c>
    </row>
    <row r="380" spans="1:8" x14ac:dyDescent="0.2">
      <c r="A380" t="s">
        <v>41</v>
      </c>
      <c r="B380">
        <v>1.9819999999999999E-4</v>
      </c>
      <c r="C380" s="154" t="s">
        <v>247</v>
      </c>
      <c r="D380" s="154" t="s">
        <v>318</v>
      </c>
      <c r="E380">
        <v>10</v>
      </c>
      <c r="F380">
        <v>10.14</v>
      </c>
      <c r="G380">
        <v>-0.1400000000000006</v>
      </c>
      <c r="H380" t="str">
        <f t="shared" si="5"/>
        <v>SHORT</v>
      </c>
    </row>
    <row r="381" spans="1:8" x14ac:dyDescent="0.2">
      <c r="A381" t="s">
        <v>41</v>
      </c>
      <c r="B381">
        <v>3.27E-6</v>
      </c>
      <c r="C381" s="154" t="s">
        <v>247</v>
      </c>
      <c r="D381" s="154" t="s">
        <v>318</v>
      </c>
      <c r="E381">
        <v>0.17</v>
      </c>
      <c r="F381">
        <v>0.17</v>
      </c>
      <c r="G381">
        <v>0</v>
      </c>
      <c r="H381" t="str">
        <f t="shared" si="5"/>
        <v>SHORT</v>
      </c>
    </row>
    <row r="382" spans="1:8" x14ac:dyDescent="0.2">
      <c r="A382" t="s">
        <v>41</v>
      </c>
      <c r="B382">
        <v>3.9500000000000001E-4</v>
      </c>
      <c r="C382" s="154" t="s">
        <v>247</v>
      </c>
      <c r="D382" s="154" t="s">
        <v>249</v>
      </c>
      <c r="E382">
        <v>19.579999999999998</v>
      </c>
      <c r="F382">
        <v>20.21</v>
      </c>
      <c r="G382">
        <v>-0.63000000000000256</v>
      </c>
      <c r="H382" t="str">
        <f t="shared" si="5"/>
        <v>SHORT</v>
      </c>
    </row>
    <row r="383" spans="1:8" x14ac:dyDescent="0.2">
      <c r="A383" t="s">
        <v>41</v>
      </c>
      <c r="B383">
        <v>5.1699999999999996E-6</v>
      </c>
      <c r="C383" s="154" t="s">
        <v>247</v>
      </c>
      <c r="D383" s="154" t="s">
        <v>249</v>
      </c>
      <c r="E383">
        <v>0.25</v>
      </c>
      <c r="F383">
        <v>0.26</v>
      </c>
      <c r="G383">
        <v>-1.0000000000000011E-2</v>
      </c>
      <c r="H383" t="str">
        <f t="shared" si="5"/>
        <v>SHORT</v>
      </c>
    </row>
    <row r="384" spans="1:8" x14ac:dyDescent="0.2">
      <c r="A384" t="s">
        <v>41</v>
      </c>
      <c r="B384">
        <v>5.7300000000000002E-6</v>
      </c>
      <c r="C384" s="154" t="s">
        <v>247</v>
      </c>
      <c r="D384" s="154" t="s">
        <v>249</v>
      </c>
      <c r="E384">
        <v>0.28000000000000003</v>
      </c>
      <c r="F384">
        <v>0.28999999999999998</v>
      </c>
      <c r="G384">
        <v>-9.9999999999999534E-3</v>
      </c>
      <c r="H384" t="str">
        <f t="shared" si="5"/>
        <v>SHORT</v>
      </c>
    </row>
    <row r="385" spans="1:8" x14ac:dyDescent="0.2">
      <c r="A385" t="s">
        <v>41</v>
      </c>
      <c r="B385">
        <v>1.8709999999999999E-4</v>
      </c>
      <c r="C385" s="154" t="s">
        <v>249</v>
      </c>
      <c r="D385" s="154" t="s">
        <v>249</v>
      </c>
      <c r="E385">
        <v>9.17</v>
      </c>
      <c r="F385">
        <v>9.4499999999999993</v>
      </c>
      <c r="G385">
        <v>-0.27999999999999942</v>
      </c>
      <c r="H385" t="str">
        <f t="shared" si="5"/>
        <v>SHORT</v>
      </c>
    </row>
    <row r="386" spans="1:8" x14ac:dyDescent="0.2">
      <c r="A386" t="s">
        <v>41</v>
      </c>
      <c r="B386">
        <v>2.2253E-4</v>
      </c>
      <c r="C386" s="154" t="s">
        <v>247</v>
      </c>
      <c r="D386" s="154" t="s">
        <v>261</v>
      </c>
      <c r="E386">
        <v>10.85</v>
      </c>
      <c r="F386">
        <v>10.96</v>
      </c>
      <c r="G386">
        <v>-0.11000000000000119</v>
      </c>
      <c r="H386" t="str">
        <f t="shared" si="5"/>
        <v>SHORT</v>
      </c>
    </row>
    <row r="387" spans="1:8" x14ac:dyDescent="0.2">
      <c r="A387" t="s">
        <v>41</v>
      </c>
      <c r="B387">
        <v>1.9903E-4</v>
      </c>
      <c r="C387" s="154" t="s">
        <v>247</v>
      </c>
      <c r="D387" s="154" t="s">
        <v>261</v>
      </c>
      <c r="E387">
        <v>9.7100000000000009</v>
      </c>
      <c r="F387">
        <v>9.9499999999999993</v>
      </c>
      <c r="G387">
        <v>-0.23999999999999841</v>
      </c>
      <c r="H387" t="str">
        <f t="shared" si="5"/>
        <v>SHORT</v>
      </c>
    </row>
    <row r="388" spans="1:8" x14ac:dyDescent="0.2">
      <c r="A388" t="s">
        <v>41</v>
      </c>
      <c r="B388">
        <v>7.9140000000000005E-5</v>
      </c>
      <c r="C388" s="154" t="s">
        <v>247</v>
      </c>
      <c r="D388" s="154" t="s">
        <v>261</v>
      </c>
      <c r="E388">
        <v>3.86</v>
      </c>
      <c r="F388">
        <v>3.97</v>
      </c>
      <c r="G388">
        <v>-0.11000000000000031</v>
      </c>
      <c r="H388" t="str">
        <f t="shared" si="5"/>
        <v>SHORT</v>
      </c>
    </row>
    <row r="389" spans="1:8" x14ac:dyDescent="0.2">
      <c r="A389" t="s">
        <v>41</v>
      </c>
      <c r="B389">
        <v>5.3749999999999999E-5</v>
      </c>
      <c r="C389" s="154" t="s">
        <v>247</v>
      </c>
      <c r="D389" s="154" t="s">
        <v>261</v>
      </c>
      <c r="E389">
        <v>2.62</v>
      </c>
      <c r="F389">
        <v>2.7</v>
      </c>
      <c r="G389">
        <v>-8.0000000000000071E-2</v>
      </c>
      <c r="H389" t="str">
        <f t="shared" si="5"/>
        <v>SHORT</v>
      </c>
    </row>
    <row r="390" spans="1:8" x14ac:dyDescent="0.2">
      <c r="A390" t="s">
        <v>41</v>
      </c>
      <c r="B390">
        <v>5.9500000000000003E-5</v>
      </c>
      <c r="C390" s="154" t="s">
        <v>247</v>
      </c>
      <c r="D390" s="154" t="s">
        <v>261</v>
      </c>
      <c r="E390">
        <v>2.9</v>
      </c>
      <c r="F390">
        <v>2.99</v>
      </c>
      <c r="G390">
        <v>-9.0000000000000302E-2</v>
      </c>
      <c r="H390" t="str">
        <f t="shared" ref="H390:H449" si="6">IF(D390-C390 &gt; 365, "LONG", "SHORT")</f>
        <v>SHORT</v>
      </c>
    </row>
    <row r="391" spans="1:8" x14ac:dyDescent="0.2">
      <c r="A391" t="s">
        <v>41</v>
      </c>
      <c r="B391">
        <v>5.9004999999999995E-4</v>
      </c>
      <c r="C391" s="154" t="s">
        <v>261</v>
      </c>
      <c r="D391" s="154" t="s">
        <v>261</v>
      </c>
      <c r="E391">
        <v>28.77</v>
      </c>
      <c r="F391">
        <v>30</v>
      </c>
      <c r="G391">
        <v>-1.23</v>
      </c>
      <c r="H391" t="str">
        <f t="shared" si="6"/>
        <v>SHORT</v>
      </c>
    </row>
    <row r="392" spans="1:8" x14ac:dyDescent="0.2">
      <c r="A392" t="s">
        <v>68</v>
      </c>
      <c r="B392">
        <v>345.35023947000002</v>
      </c>
      <c r="C392" s="154" t="s">
        <v>318</v>
      </c>
      <c r="D392" s="154" t="s">
        <v>268</v>
      </c>
      <c r="E392">
        <v>5.1100000000000003</v>
      </c>
      <c r="F392">
        <v>6.29</v>
      </c>
      <c r="G392">
        <v>-1.18</v>
      </c>
      <c r="H392" t="str">
        <f t="shared" si="6"/>
        <v>SHORT</v>
      </c>
    </row>
    <row r="393" spans="1:8" x14ac:dyDescent="0.2">
      <c r="A393" t="s">
        <v>68</v>
      </c>
      <c r="B393">
        <v>1073.7916747199999</v>
      </c>
      <c r="C393" s="154" t="s">
        <v>249</v>
      </c>
      <c r="D393" s="154" t="s">
        <v>268</v>
      </c>
      <c r="E393">
        <v>15.9</v>
      </c>
      <c r="F393">
        <v>19.579999999999998</v>
      </c>
      <c r="G393">
        <v>-3.6799999999999979</v>
      </c>
      <c r="H393" t="str">
        <f t="shared" si="6"/>
        <v>SHORT</v>
      </c>
    </row>
    <row r="394" spans="1:8" x14ac:dyDescent="0.2">
      <c r="A394" t="s">
        <v>68</v>
      </c>
      <c r="B394">
        <v>191.78071926999999</v>
      </c>
      <c r="C394" s="154" t="s">
        <v>318</v>
      </c>
      <c r="D394" s="154" t="s">
        <v>268</v>
      </c>
      <c r="E394">
        <v>2.59</v>
      </c>
      <c r="F394">
        <v>3.5</v>
      </c>
      <c r="G394">
        <v>-0.91000000000000014</v>
      </c>
      <c r="H394" t="str">
        <f t="shared" si="6"/>
        <v>SHORT</v>
      </c>
    </row>
    <row r="395" spans="1:8" x14ac:dyDescent="0.2">
      <c r="A395" t="s">
        <v>68</v>
      </c>
      <c r="B395">
        <v>705.97175244000005</v>
      </c>
      <c r="C395" s="154" t="s">
        <v>249</v>
      </c>
      <c r="D395" s="154" t="s">
        <v>268</v>
      </c>
      <c r="E395">
        <v>9.5299999999999994</v>
      </c>
      <c r="F395">
        <v>12.82</v>
      </c>
      <c r="G395">
        <v>-3.2900000000000009</v>
      </c>
      <c r="H395" t="str">
        <f t="shared" si="6"/>
        <v>SHORT</v>
      </c>
    </row>
    <row r="396" spans="1:8" x14ac:dyDescent="0.2">
      <c r="A396" t="s">
        <v>68</v>
      </c>
      <c r="B396">
        <v>536.74854684000002</v>
      </c>
      <c r="C396" s="154" t="s">
        <v>249</v>
      </c>
      <c r="D396" s="154" t="s">
        <v>268</v>
      </c>
      <c r="E396">
        <v>7.24</v>
      </c>
      <c r="F396">
        <v>9.4700000000000006</v>
      </c>
      <c r="G396">
        <v>-2.23</v>
      </c>
      <c r="H396" t="str">
        <f t="shared" si="6"/>
        <v>SHORT</v>
      </c>
    </row>
    <row r="397" spans="1:8" x14ac:dyDescent="0.2">
      <c r="A397" t="s">
        <v>35</v>
      </c>
      <c r="B397">
        <v>21.051154</v>
      </c>
      <c r="C397" s="154" t="s">
        <v>260</v>
      </c>
      <c r="D397" s="154" t="s">
        <v>261</v>
      </c>
      <c r="E397">
        <v>30</v>
      </c>
      <c r="F397">
        <v>27.71</v>
      </c>
      <c r="G397">
        <v>2.2899999999999991</v>
      </c>
      <c r="H397" t="str">
        <f t="shared" si="6"/>
        <v>SHORT</v>
      </c>
    </row>
    <row r="398" spans="1:8" x14ac:dyDescent="0.2">
      <c r="A398" t="s">
        <v>35</v>
      </c>
      <c r="B398">
        <v>13.678955</v>
      </c>
      <c r="C398" s="154" t="s">
        <v>261</v>
      </c>
      <c r="D398" s="154" t="s">
        <v>261</v>
      </c>
      <c r="E398">
        <v>19.989999999999998</v>
      </c>
      <c r="F398">
        <v>19.489999999999998</v>
      </c>
      <c r="G398">
        <v>0.5</v>
      </c>
      <c r="H398" t="str">
        <f t="shared" si="6"/>
        <v>SHORT</v>
      </c>
    </row>
    <row r="399" spans="1:8" x14ac:dyDescent="0.2">
      <c r="A399" t="s">
        <v>35</v>
      </c>
      <c r="B399">
        <v>10.284186</v>
      </c>
      <c r="C399" s="154" t="s">
        <v>261</v>
      </c>
      <c r="D399" s="154" t="s">
        <v>261</v>
      </c>
      <c r="E399">
        <v>15</v>
      </c>
      <c r="F399">
        <v>14.65</v>
      </c>
      <c r="G399">
        <v>0.34999999999999959</v>
      </c>
      <c r="H399" t="str">
        <f t="shared" si="6"/>
        <v>SHORT</v>
      </c>
    </row>
    <row r="400" spans="1:8" x14ac:dyDescent="0.2">
      <c r="A400" t="s">
        <v>35</v>
      </c>
      <c r="B400">
        <v>8.4757730000000002</v>
      </c>
      <c r="C400" s="154" t="s">
        <v>261</v>
      </c>
      <c r="D400" s="154" t="s">
        <v>314</v>
      </c>
      <c r="E400">
        <v>11.74</v>
      </c>
      <c r="F400">
        <v>12.08</v>
      </c>
      <c r="G400">
        <v>-0.33999999999999991</v>
      </c>
      <c r="H400" t="str">
        <f t="shared" si="6"/>
        <v>SHORT</v>
      </c>
    </row>
    <row r="401" spans="1:8" x14ac:dyDescent="0.2">
      <c r="A401" t="s">
        <v>40</v>
      </c>
      <c r="B401">
        <v>2.19871E-3</v>
      </c>
      <c r="C401" s="154" t="s">
        <v>247</v>
      </c>
      <c r="D401" s="154" t="s">
        <v>260</v>
      </c>
      <c r="E401">
        <v>8.7799999999999994</v>
      </c>
      <c r="F401">
        <v>10</v>
      </c>
      <c r="G401">
        <v>-1.2200000000000011</v>
      </c>
      <c r="H401" t="str">
        <f t="shared" si="6"/>
        <v>SHORT</v>
      </c>
    </row>
    <row r="402" spans="1:8" x14ac:dyDescent="0.2">
      <c r="A402" t="s">
        <v>40</v>
      </c>
      <c r="B402">
        <v>4.3178399999999999E-3</v>
      </c>
      <c r="C402" s="154" t="s">
        <v>317</v>
      </c>
      <c r="D402" s="154" t="s">
        <v>260</v>
      </c>
      <c r="E402">
        <v>17.25</v>
      </c>
      <c r="F402">
        <v>17.96</v>
      </c>
      <c r="G402">
        <v>-0.71000000000000085</v>
      </c>
      <c r="H402" t="str">
        <f t="shared" si="6"/>
        <v>SHORT</v>
      </c>
    </row>
    <row r="403" spans="1:8" x14ac:dyDescent="0.2">
      <c r="A403" t="s">
        <v>40</v>
      </c>
      <c r="B403">
        <v>3.2554799999999998E-3</v>
      </c>
      <c r="C403" s="154" t="s">
        <v>249</v>
      </c>
      <c r="D403" s="154" t="s">
        <v>260</v>
      </c>
      <c r="E403">
        <v>13.01</v>
      </c>
      <c r="F403">
        <v>15</v>
      </c>
      <c r="G403">
        <v>-1.99</v>
      </c>
      <c r="H403" t="str">
        <f t="shared" si="6"/>
        <v>SHORT</v>
      </c>
    </row>
    <row r="404" spans="1:8" x14ac:dyDescent="0.2">
      <c r="A404" t="s">
        <v>40</v>
      </c>
      <c r="B404">
        <v>2.7631600000000002E-3</v>
      </c>
      <c r="C404" s="154" t="s">
        <v>317</v>
      </c>
      <c r="D404" s="154" t="s">
        <v>261</v>
      </c>
      <c r="E404">
        <v>11.15</v>
      </c>
      <c r="F404">
        <v>11.5</v>
      </c>
      <c r="G404">
        <v>-0.34999999999999959</v>
      </c>
      <c r="H404" t="str">
        <f t="shared" si="6"/>
        <v>SHORT</v>
      </c>
    </row>
    <row r="405" spans="1:8" x14ac:dyDescent="0.2">
      <c r="A405" t="s">
        <v>40</v>
      </c>
      <c r="B405">
        <v>2.1023299999999999E-3</v>
      </c>
      <c r="C405" s="154" t="s">
        <v>268</v>
      </c>
      <c r="D405" s="154" t="s">
        <v>261</v>
      </c>
      <c r="E405">
        <v>8.48</v>
      </c>
      <c r="F405">
        <v>8.5500000000000007</v>
      </c>
      <c r="G405">
        <v>-7.0000000000000284E-2</v>
      </c>
      <c r="H405" t="str">
        <f t="shared" si="6"/>
        <v>SHORT</v>
      </c>
    </row>
    <row r="406" spans="1:8" x14ac:dyDescent="0.2">
      <c r="A406" t="s">
        <v>40</v>
      </c>
      <c r="B406">
        <v>4.47964E-3</v>
      </c>
      <c r="C406" s="154" t="s">
        <v>268</v>
      </c>
      <c r="D406" s="154" t="s">
        <v>314</v>
      </c>
      <c r="E406">
        <v>17.64</v>
      </c>
      <c r="F406">
        <v>18.23</v>
      </c>
      <c r="G406">
        <v>-0.58999999999999986</v>
      </c>
      <c r="H406" t="str">
        <f t="shared" si="6"/>
        <v>SHORT</v>
      </c>
    </row>
    <row r="407" spans="1:8" x14ac:dyDescent="0.2">
      <c r="A407" t="s">
        <v>40</v>
      </c>
      <c r="B407">
        <v>4.1052199999999997E-3</v>
      </c>
      <c r="C407" s="154" t="s">
        <v>268</v>
      </c>
      <c r="D407" s="154" t="s">
        <v>296</v>
      </c>
      <c r="E407">
        <v>14.68</v>
      </c>
      <c r="F407">
        <v>16.7</v>
      </c>
      <c r="G407">
        <v>-2.02</v>
      </c>
      <c r="H407" t="str">
        <f t="shared" si="6"/>
        <v>SHORT</v>
      </c>
    </row>
    <row r="408" spans="1:8" x14ac:dyDescent="0.2">
      <c r="A408" t="s">
        <v>66</v>
      </c>
      <c r="B408">
        <v>66.262746960000001</v>
      </c>
      <c r="C408" s="154" t="s">
        <v>314</v>
      </c>
      <c r="D408" s="154" t="s">
        <v>250</v>
      </c>
      <c r="E408">
        <v>7.62</v>
      </c>
      <c r="F408">
        <v>9.9</v>
      </c>
      <c r="G408">
        <v>-2.2799999999999998</v>
      </c>
      <c r="H408" t="str">
        <f t="shared" si="6"/>
        <v>SHORT</v>
      </c>
    </row>
    <row r="409" spans="1:8" x14ac:dyDescent="0.2">
      <c r="A409" t="s">
        <v>66</v>
      </c>
      <c r="B409">
        <v>66.007402159999998</v>
      </c>
      <c r="C409" s="154" t="s">
        <v>314</v>
      </c>
      <c r="D409" s="154" t="s">
        <v>250</v>
      </c>
      <c r="E409">
        <v>7.59</v>
      </c>
      <c r="F409">
        <v>9.77</v>
      </c>
      <c r="G409">
        <v>-2.1800000000000002</v>
      </c>
      <c r="H409" t="str">
        <f t="shared" si="6"/>
        <v>SHORT</v>
      </c>
    </row>
    <row r="410" spans="1:8" x14ac:dyDescent="0.2">
      <c r="A410" t="s">
        <v>67</v>
      </c>
      <c r="B410">
        <v>19.849543650000001</v>
      </c>
      <c r="C410" s="154" t="s">
        <v>268</v>
      </c>
      <c r="D410" s="154" t="s">
        <v>268</v>
      </c>
      <c r="E410">
        <v>3.64</v>
      </c>
      <c r="F410">
        <v>3.03</v>
      </c>
      <c r="G410">
        <v>0.61000000000000032</v>
      </c>
      <c r="H410" t="str">
        <f t="shared" si="6"/>
        <v>SHORT</v>
      </c>
    </row>
    <row r="411" spans="1:8" x14ac:dyDescent="0.2">
      <c r="A411" t="s">
        <v>67</v>
      </c>
      <c r="B411">
        <v>139.17749337999999</v>
      </c>
      <c r="C411" s="154" t="s">
        <v>268</v>
      </c>
      <c r="D411" s="154" t="s">
        <v>268</v>
      </c>
      <c r="E411">
        <v>25.54</v>
      </c>
      <c r="F411">
        <v>21.01</v>
      </c>
      <c r="G411">
        <v>4.5299999999999976</v>
      </c>
      <c r="H411" t="str">
        <f t="shared" si="6"/>
        <v>SHORT</v>
      </c>
    </row>
    <row r="412" spans="1:8" x14ac:dyDescent="0.2">
      <c r="A412" t="s">
        <v>67</v>
      </c>
      <c r="B412">
        <v>97.598800580000002</v>
      </c>
      <c r="C412" s="154" t="s">
        <v>268</v>
      </c>
      <c r="D412" s="154" t="s">
        <v>268</v>
      </c>
      <c r="E412">
        <v>17.91</v>
      </c>
      <c r="F412">
        <v>19.36</v>
      </c>
      <c r="G412">
        <v>-1.4499999999999991</v>
      </c>
      <c r="H412" t="str">
        <f t="shared" si="6"/>
        <v>SHORT</v>
      </c>
    </row>
    <row r="413" spans="1:8" x14ac:dyDescent="0.2">
      <c r="A413" t="s">
        <v>70</v>
      </c>
      <c r="B413">
        <v>5.6008289199999997</v>
      </c>
      <c r="C413" s="154" t="s">
        <v>249</v>
      </c>
      <c r="D413" s="154" t="s">
        <v>249</v>
      </c>
      <c r="E413">
        <v>1</v>
      </c>
      <c r="F413">
        <v>0.99</v>
      </c>
      <c r="G413">
        <v>1.0000000000000011E-2</v>
      </c>
      <c r="H413" t="str">
        <f t="shared" si="6"/>
        <v>SHORT</v>
      </c>
    </row>
    <row r="414" spans="1:8" x14ac:dyDescent="0.2">
      <c r="A414" t="s">
        <v>70</v>
      </c>
      <c r="B414">
        <v>5.6002016000000001</v>
      </c>
      <c r="C414" s="154" t="s">
        <v>249</v>
      </c>
      <c r="D414" s="154" t="s">
        <v>249</v>
      </c>
      <c r="E414">
        <v>1</v>
      </c>
      <c r="F414">
        <v>0.99</v>
      </c>
      <c r="G414">
        <v>1.0000000000000011E-2</v>
      </c>
      <c r="H414" t="str">
        <f t="shared" si="6"/>
        <v>SHORT</v>
      </c>
    </row>
    <row r="415" spans="1:8" x14ac:dyDescent="0.2">
      <c r="A415" t="s">
        <v>70</v>
      </c>
      <c r="B415">
        <v>5.60051524</v>
      </c>
      <c r="C415" s="154" t="s">
        <v>249</v>
      </c>
      <c r="D415" s="154" t="s">
        <v>249</v>
      </c>
      <c r="E415">
        <v>1</v>
      </c>
      <c r="F415">
        <v>1</v>
      </c>
      <c r="G415">
        <v>0</v>
      </c>
      <c r="H415" t="str">
        <f t="shared" si="6"/>
        <v>SHORT</v>
      </c>
    </row>
    <row r="416" spans="1:8" x14ac:dyDescent="0.2">
      <c r="A416" t="s">
        <v>49</v>
      </c>
      <c r="B416">
        <v>6.1327100000000004E-3</v>
      </c>
      <c r="C416" s="154" t="s">
        <v>268</v>
      </c>
      <c r="D416" s="154" t="s">
        <v>268</v>
      </c>
      <c r="E416">
        <v>1.01</v>
      </c>
      <c r="F416">
        <v>0.99</v>
      </c>
      <c r="G416">
        <v>2.0000000000000021E-2</v>
      </c>
      <c r="H416" t="str">
        <f t="shared" si="6"/>
        <v>SHORT</v>
      </c>
    </row>
    <row r="417" spans="1:8" x14ac:dyDescent="0.2">
      <c r="A417" t="s">
        <v>49</v>
      </c>
      <c r="B417">
        <v>6.1327100000000004E-3</v>
      </c>
      <c r="C417" s="154" t="s">
        <v>268</v>
      </c>
      <c r="D417" s="154" t="s">
        <v>268</v>
      </c>
      <c r="E417">
        <v>1.01</v>
      </c>
      <c r="F417">
        <v>1</v>
      </c>
      <c r="G417">
        <v>1.0000000000000011E-2</v>
      </c>
      <c r="H417" t="str">
        <f t="shared" si="6"/>
        <v>SHORT</v>
      </c>
    </row>
    <row r="418" spans="1:8" x14ac:dyDescent="0.2">
      <c r="A418" t="s">
        <v>49</v>
      </c>
      <c r="B418">
        <v>6.1327100000000004E-3</v>
      </c>
      <c r="C418" s="154" t="s">
        <v>268</v>
      </c>
      <c r="D418" s="154" t="s">
        <v>268</v>
      </c>
      <c r="E418">
        <v>1.01</v>
      </c>
      <c r="F418">
        <v>0.99</v>
      </c>
      <c r="G418">
        <v>2.0000000000000021E-2</v>
      </c>
      <c r="H418" t="str">
        <f t="shared" si="6"/>
        <v>SHORT</v>
      </c>
    </row>
    <row r="419" spans="1:8" x14ac:dyDescent="0.2">
      <c r="A419" t="s">
        <v>71</v>
      </c>
      <c r="B419">
        <v>1.4834594299999999</v>
      </c>
      <c r="C419" s="154" t="s">
        <v>247</v>
      </c>
      <c r="D419" s="154" t="s">
        <v>247</v>
      </c>
      <c r="E419">
        <v>1</v>
      </c>
      <c r="F419">
        <v>1</v>
      </c>
      <c r="G419">
        <v>0</v>
      </c>
      <c r="H419" t="str">
        <f t="shared" si="6"/>
        <v>SHORT</v>
      </c>
    </row>
    <row r="420" spans="1:8" x14ac:dyDescent="0.2">
      <c r="A420" t="s">
        <v>71</v>
      </c>
      <c r="B420">
        <v>1.4834594299999999</v>
      </c>
      <c r="C420" s="154" t="s">
        <v>247</v>
      </c>
      <c r="D420" s="154" t="s">
        <v>247</v>
      </c>
      <c r="E420">
        <v>1</v>
      </c>
      <c r="F420">
        <v>1</v>
      </c>
      <c r="G420">
        <v>0</v>
      </c>
      <c r="H420" t="str">
        <f t="shared" si="6"/>
        <v>SHORT</v>
      </c>
    </row>
    <row r="421" spans="1:8" x14ac:dyDescent="0.2">
      <c r="A421" t="s">
        <v>71</v>
      </c>
      <c r="B421">
        <v>1.4838996900000001</v>
      </c>
      <c r="C421" s="154" t="s">
        <v>247</v>
      </c>
      <c r="D421" s="154" t="s">
        <v>247</v>
      </c>
      <c r="E421">
        <v>1</v>
      </c>
      <c r="F421">
        <v>1</v>
      </c>
      <c r="G421">
        <v>0</v>
      </c>
      <c r="H421" t="str">
        <f t="shared" si="6"/>
        <v>SHORT</v>
      </c>
    </row>
    <row r="422" spans="1:8" x14ac:dyDescent="0.2">
      <c r="A422" t="s">
        <v>72</v>
      </c>
      <c r="B422">
        <v>6.4038935600000002</v>
      </c>
      <c r="C422" s="154" t="s">
        <v>316</v>
      </c>
      <c r="D422" s="154" t="s">
        <v>316</v>
      </c>
      <c r="E422">
        <v>0.96</v>
      </c>
      <c r="F422">
        <v>1</v>
      </c>
      <c r="G422">
        <v>-4.0000000000000042E-2</v>
      </c>
      <c r="H422" t="str">
        <f t="shared" si="6"/>
        <v>SHORT</v>
      </c>
    </row>
    <row r="423" spans="1:8" x14ac:dyDescent="0.2">
      <c r="A423" t="s">
        <v>72</v>
      </c>
      <c r="B423">
        <v>6.4040986200000001</v>
      </c>
      <c r="C423" s="154" t="s">
        <v>316</v>
      </c>
      <c r="D423" s="154" t="s">
        <v>316</v>
      </c>
      <c r="E423">
        <v>0.97</v>
      </c>
      <c r="F423">
        <v>1</v>
      </c>
      <c r="G423">
        <v>-3.000000000000003E-2</v>
      </c>
      <c r="H423" t="str">
        <f t="shared" si="6"/>
        <v>SHORT</v>
      </c>
    </row>
    <row r="424" spans="1:8" x14ac:dyDescent="0.2">
      <c r="A424" t="s">
        <v>72</v>
      </c>
      <c r="B424">
        <v>6.4040986200000001</v>
      </c>
      <c r="C424" s="154" t="s">
        <v>316</v>
      </c>
      <c r="D424" s="154" t="s">
        <v>316</v>
      </c>
      <c r="E424">
        <v>0.97</v>
      </c>
      <c r="F424">
        <v>1</v>
      </c>
      <c r="G424">
        <v>-3.000000000000003E-2</v>
      </c>
      <c r="H424" t="str">
        <f t="shared" si="6"/>
        <v>SHORT</v>
      </c>
    </row>
    <row r="425" spans="1:8" x14ac:dyDescent="0.2">
      <c r="A425" t="s">
        <v>72</v>
      </c>
      <c r="B425">
        <v>6.4036885200000002</v>
      </c>
      <c r="C425" s="154" t="s">
        <v>316</v>
      </c>
      <c r="D425" s="154" t="s">
        <v>316</v>
      </c>
      <c r="E425">
        <v>0.96</v>
      </c>
      <c r="F425">
        <v>1</v>
      </c>
      <c r="G425">
        <v>-4.0000000000000042E-2</v>
      </c>
      <c r="H425" t="str">
        <f t="shared" si="6"/>
        <v>SHORT</v>
      </c>
    </row>
    <row r="426" spans="1:8" x14ac:dyDescent="0.2">
      <c r="A426" t="s">
        <v>69</v>
      </c>
      <c r="B426">
        <v>27.310846389999998</v>
      </c>
      <c r="C426" s="154" t="s">
        <v>249</v>
      </c>
      <c r="D426" s="154" t="s">
        <v>249</v>
      </c>
      <c r="E426">
        <v>9.4700000000000006</v>
      </c>
      <c r="F426">
        <v>9.6999999999999993</v>
      </c>
      <c r="G426">
        <v>-0.22999999999999859</v>
      </c>
      <c r="H426" t="str">
        <f t="shared" si="6"/>
        <v>SHORT</v>
      </c>
    </row>
    <row r="427" spans="1:8" x14ac:dyDescent="0.2">
      <c r="A427" t="s">
        <v>34</v>
      </c>
      <c r="B427">
        <v>5.2260519999999998E-2</v>
      </c>
      <c r="C427" s="154" t="s">
        <v>317</v>
      </c>
      <c r="D427" s="154" t="s">
        <v>249</v>
      </c>
      <c r="E427">
        <v>9.9600000000000009</v>
      </c>
      <c r="F427">
        <v>9.7799999999999994</v>
      </c>
      <c r="G427">
        <v>0.18000000000000149</v>
      </c>
      <c r="H427" t="str">
        <f t="shared" si="6"/>
        <v>SHORT</v>
      </c>
    </row>
    <row r="428" spans="1:8" x14ac:dyDescent="0.2">
      <c r="A428" t="s">
        <v>34</v>
      </c>
      <c r="B428">
        <v>1.499268E-2</v>
      </c>
      <c r="C428" s="154" t="s">
        <v>249</v>
      </c>
      <c r="D428" s="154" t="s">
        <v>249</v>
      </c>
      <c r="E428">
        <v>2.86</v>
      </c>
      <c r="F428">
        <v>3</v>
      </c>
      <c r="G428">
        <v>-0.1400000000000001</v>
      </c>
      <c r="H428" t="str">
        <f t="shared" si="6"/>
        <v>SHORT</v>
      </c>
    </row>
    <row r="429" spans="1:8" x14ac:dyDescent="0.2">
      <c r="A429" t="s">
        <v>34</v>
      </c>
      <c r="B429">
        <v>5.2185259999999997E-2</v>
      </c>
      <c r="C429" s="154" t="s">
        <v>261</v>
      </c>
      <c r="D429" s="154" t="s">
        <v>314</v>
      </c>
      <c r="E429">
        <v>9.9</v>
      </c>
      <c r="F429">
        <v>9.91</v>
      </c>
      <c r="G429">
        <v>-9.9999999999997868E-3</v>
      </c>
      <c r="H429" t="str">
        <f t="shared" si="6"/>
        <v>SHORT</v>
      </c>
    </row>
    <row r="430" spans="1:8" x14ac:dyDescent="0.2">
      <c r="A430" t="s">
        <v>34</v>
      </c>
      <c r="B430">
        <v>5.116967E-2</v>
      </c>
      <c r="C430" s="154" t="s">
        <v>261</v>
      </c>
      <c r="D430" s="154" t="s">
        <v>250</v>
      </c>
      <c r="E430">
        <v>9.2899999999999991</v>
      </c>
      <c r="F430">
        <v>9.7200000000000006</v>
      </c>
      <c r="G430">
        <v>-0.43000000000000149</v>
      </c>
      <c r="H430" t="str">
        <f t="shared" si="6"/>
        <v>SHORT</v>
      </c>
    </row>
    <row r="431" spans="1:8" x14ac:dyDescent="0.2">
      <c r="A431" t="s">
        <v>45</v>
      </c>
      <c r="B431">
        <v>6.8333550000000001</v>
      </c>
      <c r="C431" s="154" t="s">
        <v>247</v>
      </c>
      <c r="D431" s="154" t="s">
        <v>247</v>
      </c>
      <c r="E431">
        <v>1.99</v>
      </c>
      <c r="F431">
        <v>2</v>
      </c>
      <c r="G431">
        <v>-1.0000000000000011E-2</v>
      </c>
      <c r="H431" t="str">
        <f t="shared" si="6"/>
        <v>SHORT</v>
      </c>
    </row>
    <row r="432" spans="1:8" x14ac:dyDescent="0.2">
      <c r="A432" t="s">
        <v>45</v>
      </c>
      <c r="B432">
        <v>6.8249601999999996</v>
      </c>
      <c r="C432" s="154" t="s">
        <v>247</v>
      </c>
      <c r="D432" s="154" t="s">
        <v>247</v>
      </c>
      <c r="E432">
        <v>1.99</v>
      </c>
      <c r="F432">
        <v>2</v>
      </c>
      <c r="G432">
        <v>-1.0000000000000011E-2</v>
      </c>
      <c r="H432" t="str">
        <f t="shared" si="6"/>
        <v>SHORT</v>
      </c>
    </row>
    <row r="433" spans="1:8" x14ac:dyDescent="0.2">
      <c r="A433" t="s">
        <v>45</v>
      </c>
      <c r="B433">
        <v>6.8175156000000001</v>
      </c>
      <c r="C433" s="154" t="s">
        <v>247</v>
      </c>
      <c r="D433" s="154" t="s">
        <v>247</v>
      </c>
      <c r="E433">
        <v>1.99</v>
      </c>
      <c r="F433">
        <v>2</v>
      </c>
      <c r="G433">
        <v>-1.0000000000000011E-2</v>
      </c>
      <c r="H433" t="str">
        <f t="shared" si="6"/>
        <v>SHORT</v>
      </c>
    </row>
    <row r="434" spans="1:8" x14ac:dyDescent="0.2">
      <c r="A434" t="s">
        <v>45</v>
      </c>
      <c r="B434">
        <v>6.8223992999999998</v>
      </c>
      <c r="C434" s="154" t="s">
        <v>247</v>
      </c>
      <c r="D434" s="154" t="s">
        <v>247</v>
      </c>
      <c r="E434">
        <v>1.99</v>
      </c>
      <c r="F434">
        <v>2</v>
      </c>
      <c r="G434">
        <v>-1.0000000000000011E-2</v>
      </c>
      <c r="H434" t="str">
        <f t="shared" si="6"/>
        <v>SHORT</v>
      </c>
    </row>
    <row r="435" spans="1:8" x14ac:dyDescent="0.2">
      <c r="A435" t="s">
        <v>45</v>
      </c>
      <c r="B435">
        <v>6.8210031999999998</v>
      </c>
      <c r="C435" s="154" t="s">
        <v>247</v>
      </c>
      <c r="D435" s="154" t="s">
        <v>247</v>
      </c>
      <c r="E435">
        <v>1.99</v>
      </c>
      <c r="F435">
        <v>2</v>
      </c>
      <c r="G435">
        <v>-1.0000000000000011E-2</v>
      </c>
      <c r="H435" t="str">
        <f t="shared" si="6"/>
        <v>SHORT</v>
      </c>
    </row>
    <row r="436" spans="1:8" x14ac:dyDescent="0.2">
      <c r="A436" t="s">
        <v>45</v>
      </c>
      <c r="B436">
        <v>34.710953199999999</v>
      </c>
      <c r="C436" s="154" t="s">
        <v>261</v>
      </c>
      <c r="D436" s="154" t="s">
        <v>314</v>
      </c>
      <c r="E436">
        <v>9.77</v>
      </c>
      <c r="F436">
        <v>10.19</v>
      </c>
      <c r="G436">
        <v>-0.41999999999999987</v>
      </c>
      <c r="H436" t="str">
        <f t="shared" si="6"/>
        <v>SHORT</v>
      </c>
    </row>
    <row r="437" spans="1:8" x14ac:dyDescent="0.2">
      <c r="A437" t="s">
        <v>45</v>
      </c>
      <c r="B437">
        <v>33.403924099999998</v>
      </c>
      <c r="C437" s="154" t="s">
        <v>261</v>
      </c>
      <c r="D437" s="154" t="s">
        <v>250</v>
      </c>
      <c r="E437">
        <v>9.57</v>
      </c>
      <c r="F437">
        <v>9.8000000000000007</v>
      </c>
      <c r="G437">
        <v>-0.2300000000000004</v>
      </c>
      <c r="H437" t="str">
        <f t="shared" si="6"/>
        <v>SHORT</v>
      </c>
    </row>
    <row r="438" spans="1:8" x14ac:dyDescent="0.2">
      <c r="A438" t="s">
        <v>64</v>
      </c>
      <c r="B438">
        <v>18.871485190000001</v>
      </c>
      <c r="C438" s="154" t="s">
        <v>247</v>
      </c>
      <c r="D438" s="154" t="s">
        <v>247</v>
      </c>
      <c r="E438">
        <v>1</v>
      </c>
      <c r="F438">
        <v>1</v>
      </c>
      <c r="G438">
        <v>0</v>
      </c>
      <c r="H438" t="str">
        <f t="shared" si="6"/>
        <v>SHORT</v>
      </c>
    </row>
    <row r="439" spans="1:8" x14ac:dyDescent="0.2">
      <c r="A439" t="s">
        <v>64</v>
      </c>
      <c r="B439">
        <v>18.871485190000001</v>
      </c>
      <c r="C439" s="154" t="s">
        <v>247</v>
      </c>
      <c r="D439" s="154" t="s">
        <v>247</v>
      </c>
      <c r="E439">
        <v>1</v>
      </c>
      <c r="F439">
        <v>1</v>
      </c>
      <c r="G439">
        <v>0</v>
      </c>
      <c r="H439" t="str">
        <f t="shared" si="6"/>
        <v>SHORT</v>
      </c>
    </row>
    <row r="440" spans="1:8" x14ac:dyDescent="0.2">
      <c r="A440" t="s">
        <v>64</v>
      </c>
      <c r="B440">
        <v>18.910741300000002</v>
      </c>
      <c r="C440" s="154" t="s">
        <v>247</v>
      </c>
      <c r="D440" s="154" t="s">
        <v>247</v>
      </c>
      <c r="E440">
        <v>1</v>
      </c>
      <c r="F440">
        <v>1</v>
      </c>
      <c r="G440">
        <v>0</v>
      </c>
      <c r="H440" t="str">
        <f t="shared" si="6"/>
        <v>SHORT</v>
      </c>
    </row>
    <row r="441" spans="1:8" x14ac:dyDescent="0.2">
      <c r="A441" t="s">
        <v>56</v>
      </c>
      <c r="B441">
        <v>1.35851107</v>
      </c>
      <c r="C441" s="154" t="s">
        <v>247</v>
      </c>
      <c r="D441" s="154" t="s">
        <v>247</v>
      </c>
      <c r="E441">
        <v>0.99</v>
      </c>
      <c r="F441">
        <v>1</v>
      </c>
      <c r="G441">
        <v>-1.0000000000000011E-2</v>
      </c>
      <c r="H441" t="str">
        <f t="shared" si="6"/>
        <v>SHORT</v>
      </c>
    </row>
    <row r="442" spans="1:8" x14ac:dyDescent="0.2">
      <c r="A442" t="s">
        <v>56</v>
      </c>
      <c r="B442">
        <v>1.35630001</v>
      </c>
      <c r="C442" s="154" t="s">
        <v>247</v>
      </c>
      <c r="D442" s="154" t="s">
        <v>247</v>
      </c>
      <c r="E442">
        <v>0.99</v>
      </c>
      <c r="F442">
        <v>1</v>
      </c>
      <c r="G442">
        <v>-1.0000000000000011E-2</v>
      </c>
      <c r="H442" t="str">
        <f t="shared" si="6"/>
        <v>SHORT</v>
      </c>
    </row>
    <row r="443" spans="1:8" x14ac:dyDescent="0.2">
      <c r="A443" t="s">
        <v>56</v>
      </c>
      <c r="B443">
        <v>1.35869565</v>
      </c>
      <c r="C443" s="154" t="s">
        <v>247</v>
      </c>
      <c r="D443" s="154" t="s">
        <v>247</v>
      </c>
      <c r="E443">
        <v>0.99</v>
      </c>
      <c r="F443">
        <v>1</v>
      </c>
      <c r="G443">
        <v>-1.0000000000000011E-2</v>
      </c>
      <c r="H443" t="str">
        <f t="shared" si="6"/>
        <v>SHORT</v>
      </c>
    </row>
    <row r="444" spans="1:8" x14ac:dyDescent="0.2">
      <c r="A444" t="s">
        <v>56</v>
      </c>
      <c r="B444">
        <v>1.35869565</v>
      </c>
      <c r="C444" s="154" t="s">
        <v>247</v>
      </c>
      <c r="D444" s="154" t="s">
        <v>247</v>
      </c>
      <c r="E444">
        <v>0.99</v>
      </c>
      <c r="F444">
        <v>1</v>
      </c>
      <c r="G444">
        <v>-1.0000000000000011E-2</v>
      </c>
      <c r="H444" t="str">
        <f t="shared" si="6"/>
        <v>SHORT</v>
      </c>
    </row>
    <row r="445" spans="1:8" x14ac:dyDescent="0.2">
      <c r="A445" t="s">
        <v>73</v>
      </c>
      <c r="B445">
        <v>0.87336243999999996</v>
      </c>
      <c r="C445" s="154" t="s">
        <v>316</v>
      </c>
      <c r="D445" s="154" t="s">
        <v>316</v>
      </c>
      <c r="E445">
        <v>0.97</v>
      </c>
      <c r="F445">
        <v>1</v>
      </c>
      <c r="G445">
        <v>-3.000000000000003E-2</v>
      </c>
      <c r="H445" t="str">
        <f t="shared" si="6"/>
        <v>SHORT</v>
      </c>
    </row>
    <row r="446" spans="1:8" x14ac:dyDescent="0.2">
      <c r="A446" t="s">
        <v>73</v>
      </c>
      <c r="B446">
        <v>0.87336243999999996</v>
      </c>
      <c r="C446" s="154" t="s">
        <v>316</v>
      </c>
      <c r="D446" s="154" t="s">
        <v>316</v>
      </c>
      <c r="E446">
        <v>0.97</v>
      </c>
      <c r="F446">
        <v>1</v>
      </c>
      <c r="G446">
        <v>-3.000000000000003E-2</v>
      </c>
      <c r="H446" t="str">
        <f t="shared" si="6"/>
        <v>SHORT</v>
      </c>
    </row>
    <row r="447" spans="1:8" x14ac:dyDescent="0.2">
      <c r="A447" t="s">
        <v>73</v>
      </c>
      <c r="B447">
        <v>0.87336243999999996</v>
      </c>
      <c r="C447" s="154" t="s">
        <v>316</v>
      </c>
      <c r="D447" s="154" t="s">
        <v>316</v>
      </c>
      <c r="E447">
        <v>0.97</v>
      </c>
      <c r="F447">
        <v>1</v>
      </c>
      <c r="G447">
        <v>-3.000000000000003E-2</v>
      </c>
      <c r="H447" t="str">
        <f t="shared" si="6"/>
        <v>SHORT</v>
      </c>
    </row>
    <row r="448" spans="1:8" x14ac:dyDescent="0.2">
      <c r="A448" t="s">
        <v>73</v>
      </c>
      <c r="B448">
        <v>0.87336243999999996</v>
      </c>
      <c r="C448" s="154" t="s">
        <v>316</v>
      </c>
      <c r="D448" s="154" t="s">
        <v>316</v>
      </c>
      <c r="E448">
        <v>0.97</v>
      </c>
      <c r="F448">
        <v>1</v>
      </c>
      <c r="G448">
        <v>-3.000000000000003E-2</v>
      </c>
      <c r="H448" t="str">
        <f t="shared" si="6"/>
        <v>SHORT</v>
      </c>
    </row>
    <row r="449" spans="1:8" x14ac:dyDescent="0.2">
      <c r="A449" t="s">
        <v>73</v>
      </c>
      <c r="B449">
        <v>0.87336243999999996</v>
      </c>
      <c r="C449" s="154" t="s">
        <v>316</v>
      </c>
      <c r="D449" s="154" t="s">
        <v>316</v>
      </c>
      <c r="E449">
        <v>0.97</v>
      </c>
      <c r="F449">
        <v>1</v>
      </c>
      <c r="G449">
        <v>-3.000000000000003E-2</v>
      </c>
      <c r="H449" t="str">
        <f t="shared" si="6"/>
        <v>SHORT</v>
      </c>
    </row>
  </sheetData>
  <autoFilter ref="A1:H449" xr:uid="{242A2292-3618-A846-A8C7-5C1DBC17F45F}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A22722-2F0D-CD40-9E32-B393C0F215B1}">
  <dimension ref="A1:D44"/>
  <sheetViews>
    <sheetView workbookViewId="0">
      <selection activeCell="T4" sqref="T4:U4"/>
    </sheetView>
  </sheetViews>
  <sheetFormatPr baseColWidth="10" defaultRowHeight="16" x14ac:dyDescent="0.2"/>
  <cols>
    <col min="1" max="1" width="13.28515625" bestFit="1" customWidth="1"/>
    <col min="2" max="2" width="10.85546875" bestFit="1" customWidth="1"/>
    <col min="3" max="3" width="12" bestFit="1" customWidth="1"/>
    <col min="4" max="4" width="11.28515625" bestFit="1" customWidth="1"/>
  </cols>
  <sheetData>
    <row r="1" spans="1:4" x14ac:dyDescent="0.2">
      <c r="A1" t="s">
        <v>17</v>
      </c>
      <c r="B1" t="s">
        <v>74</v>
      </c>
      <c r="C1" t="s">
        <v>84</v>
      </c>
      <c r="D1" t="s">
        <v>82</v>
      </c>
    </row>
    <row r="2" spans="1:4" x14ac:dyDescent="0.2">
      <c r="A2" s="338">
        <v>45345.19027777778</v>
      </c>
      <c r="B2" s="337" t="s">
        <v>15</v>
      </c>
      <c r="C2">
        <v>3616.6573899999999</v>
      </c>
      <c r="D2">
        <v>1970.64</v>
      </c>
    </row>
    <row r="3" spans="1:4" x14ac:dyDescent="0.2">
      <c r="A3" s="338">
        <v>45327.97152777778</v>
      </c>
      <c r="B3" s="337" t="s">
        <v>16</v>
      </c>
      <c r="C3">
        <v>10.87677555</v>
      </c>
      <c r="D3">
        <v>0.74</v>
      </c>
    </row>
    <row r="4" spans="1:4" x14ac:dyDescent="0.2">
      <c r="A4" s="338">
        <v>45320.479861111111</v>
      </c>
      <c r="B4" s="337" t="s">
        <v>16</v>
      </c>
      <c r="C4">
        <v>72.684001640000005</v>
      </c>
      <c r="D4">
        <v>5.33</v>
      </c>
    </row>
    <row r="5" spans="1:4" x14ac:dyDescent="0.2">
      <c r="A5" s="338">
        <v>45281.831250000003</v>
      </c>
      <c r="B5" s="337" t="s">
        <v>16</v>
      </c>
      <c r="C5">
        <v>34.129637819999999</v>
      </c>
      <c r="D5">
        <v>2.97</v>
      </c>
    </row>
    <row r="6" spans="1:4" x14ac:dyDescent="0.2">
      <c r="A6" s="338">
        <v>45266.918749999997</v>
      </c>
      <c r="B6" s="337" t="s">
        <v>16</v>
      </c>
      <c r="C6">
        <v>48.302981090000003</v>
      </c>
      <c r="D6">
        <v>3.18</v>
      </c>
    </row>
    <row r="7" spans="1:4" x14ac:dyDescent="0.2">
      <c r="A7" s="338">
        <v>45247.932638888888</v>
      </c>
      <c r="B7" s="337" t="s">
        <v>16</v>
      </c>
      <c r="C7">
        <v>10.96719865</v>
      </c>
      <c r="D7">
        <v>0.67</v>
      </c>
    </row>
    <row r="8" spans="1:4" x14ac:dyDescent="0.2">
      <c r="A8" s="338">
        <v>45243.921527777777</v>
      </c>
      <c r="B8" s="337" t="s">
        <v>16</v>
      </c>
      <c r="C8">
        <v>55.782606919999999</v>
      </c>
      <c r="D8">
        <v>3.47</v>
      </c>
    </row>
    <row r="9" spans="1:4" x14ac:dyDescent="0.2">
      <c r="A9" s="338">
        <v>45230.472222222219</v>
      </c>
      <c r="B9" s="337" t="s">
        <v>37</v>
      </c>
      <c r="C9">
        <v>0.15995400000000001</v>
      </c>
      <c r="D9">
        <v>0.16</v>
      </c>
    </row>
    <row r="10" spans="1:4" x14ac:dyDescent="0.2">
      <c r="A10" s="338">
        <v>45224.690972222219</v>
      </c>
      <c r="B10" s="337" t="s">
        <v>16</v>
      </c>
      <c r="C10">
        <v>15.683454920000001</v>
      </c>
      <c r="D10">
        <v>0.81</v>
      </c>
    </row>
    <row r="11" spans="1:4" x14ac:dyDescent="0.2">
      <c r="A11" s="338">
        <v>45219.758333333331</v>
      </c>
      <c r="B11" s="337" t="s">
        <v>16</v>
      </c>
      <c r="C11">
        <v>297.4689965</v>
      </c>
      <c r="D11">
        <v>13.63</v>
      </c>
    </row>
    <row r="12" spans="1:4" x14ac:dyDescent="0.2">
      <c r="A12" s="338">
        <v>45146.035416666666</v>
      </c>
      <c r="B12" s="337" t="s">
        <v>16</v>
      </c>
      <c r="C12">
        <v>470.261323</v>
      </c>
      <c r="D12">
        <v>26.55</v>
      </c>
    </row>
    <row r="13" spans="1:4" x14ac:dyDescent="0.2">
      <c r="A13" s="338">
        <v>45146.032638888886</v>
      </c>
      <c r="B13" s="337" t="s">
        <v>16</v>
      </c>
      <c r="C13">
        <v>43834.383661319996</v>
      </c>
      <c r="D13">
        <v>2563.87</v>
      </c>
    </row>
    <row r="14" spans="1:4" x14ac:dyDescent="0.2">
      <c r="A14" s="338">
        <v>45131.440972222219</v>
      </c>
      <c r="B14" s="337" t="s">
        <v>15</v>
      </c>
      <c r="C14">
        <v>1418.7446259999999</v>
      </c>
      <c r="D14">
        <v>1000</v>
      </c>
    </row>
    <row r="15" spans="1:4" x14ac:dyDescent="0.2">
      <c r="A15" s="338">
        <v>45124.806944444441</v>
      </c>
      <c r="B15" s="337" t="s">
        <v>15</v>
      </c>
      <c r="C15">
        <v>922.76831300000003</v>
      </c>
      <c r="D15">
        <v>674.82</v>
      </c>
    </row>
    <row r="16" spans="1:4" x14ac:dyDescent="0.2">
      <c r="A16" s="338">
        <v>45124.775000000001</v>
      </c>
      <c r="B16" s="337" t="s">
        <v>15</v>
      </c>
      <c r="C16">
        <v>941.04330900000002</v>
      </c>
      <c r="D16">
        <v>681.5</v>
      </c>
    </row>
    <row r="17" spans="1:4" x14ac:dyDescent="0.2">
      <c r="A17" s="338">
        <v>45124.756249999999</v>
      </c>
      <c r="B17" s="337" t="s">
        <v>15</v>
      </c>
      <c r="C17">
        <v>971.85601499999996</v>
      </c>
      <c r="D17">
        <v>725.94</v>
      </c>
    </row>
    <row r="18" spans="1:4" x14ac:dyDescent="0.2">
      <c r="A18" s="338">
        <v>45087.117361111108</v>
      </c>
      <c r="B18" s="337" t="s">
        <v>16</v>
      </c>
      <c r="C18">
        <v>130.24433859999999</v>
      </c>
      <c r="D18">
        <v>6.31</v>
      </c>
    </row>
    <row r="19" spans="1:4" x14ac:dyDescent="0.2">
      <c r="A19" s="338">
        <v>45067.31527777778</v>
      </c>
      <c r="B19" s="337" t="s">
        <v>16</v>
      </c>
      <c r="C19">
        <v>58.46972882</v>
      </c>
      <c r="D19">
        <v>3.1</v>
      </c>
    </row>
    <row r="20" spans="1:4" x14ac:dyDescent="0.2">
      <c r="A20" s="338">
        <v>45058.338888888888</v>
      </c>
      <c r="B20" s="337" t="s">
        <v>16</v>
      </c>
      <c r="C20">
        <v>283.87965309999998</v>
      </c>
      <c r="D20">
        <v>14.59</v>
      </c>
    </row>
    <row r="21" spans="1:4" x14ac:dyDescent="0.2">
      <c r="A21" s="338">
        <v>45058.196527777778</v>
      </c>
      <c r="B21" s="337" t="s">
        <v>15</v>
      </c>
      <c r="C21">
        <v>46.622587000000003</v>
      </c>
      <c r="D21">
        <v>20</v>
      </c>
    </row>
    <row r="22" spans="1:4" x14ac:dyDescent="0.2">
      <c r="A22" s="338">
        <v>45054.774305555555</v>
      </c>
      <c r="B22" s="337" t="s">
        <v>15</v>
      </c>
      <c r="C22">
        <v>113.28700000000001</v>
      </c>
      <c r="D22">
        <v>51.02</v>
      </c>
    </row>
    <row r="23" spans="1:4" x14ac:dyDescent="0.2">
      <c r="A23" s="338">
        <v>45014.8125</v>
      </c>
      <c r="B23" s="337" t="s">
        <v>16</v>
      </c>
      <c r="C23">
        <v>6.4506019400000003</v>
      </c>
      <c r="D23">
        <v>0.38</v>
      </c>
    </row>
    <row r="24" spans="1:4" x14ac:dyDescent="0.2">
      <c r="A24" s="338">
        <v>45013.152777777781</v>
      </c>
      <c r="B24" s="337" t="s">
        <v>15</v>
      </c>
      <c r="C24">
        <v>2066.6995160000001</v>
      </c>
      <c r="D24">
        <v>992.3</v>
      </c>
    </row>
    <row r="25" spans="1:4" x14ac:dyDescent="0.2">
      <c r="A25" s="338">
        <v>45012.126388888886</v>
      </c>
      <c r="B25" s="337" t="s">
        <v>15</v>
      </c>
      <c r="C25">
        <v>805.48410699999999</v>
      </c>
      <c r="D25">
        <v>361.53</v>
      </c>
    </row>
    <row r="26" spans="1:4" x14ac:dyDescent="0.2">
      <c r="A26" s="338">
        <v>45010.509027777778</v>
      </c>
      <c r="B26" s="337" t="s">
        <v>15</v>
      </c>
      <c r="C26">
        <v>219.93842599999999</v>
      </c>
      <c r="D26">
        <v>100</v>
      </c>
    </row>
    <row r="27" spans="1:4" x14ac:dyDescent="0.2">
      <c r="A27" s="338">
        <v>45006.65625</v>
      </c>
      <c r="B27" s="337" t="s">
        <v>15</v>
      </c>
      <c r="C27">
        <v>1372.386448</v>
      </c>
      <c r="D27">
        <v>600</v>
      </c>
    </row>
    <row r="28" spans="1:4" x14ac:dyDescent="0.2">
      <c r="A28" s="338">
        <v>45005.71875</v>
      </c>
      <c r="B28" s="337" t="s">
        <v>16</v>
      </c>
      <c r="C28">
        <v>317.43499760999998</v>
      </c>
      <c r="D28">
        <v>20</v>
      </c>
    </row>
    <row r="29" spans="1:4" x14ac:dyDescent="0.2">
      <c r="A29" s="338">
        <v>44998.836111111108</v>
      </c>
      <c r="B29" s="337" t="s">
        <v>16</v>
      </c>
      <c r="C29">
        <v>309.67942733000001</v>
      </c>
      <c r="D29">
        <v>20</v>
      </c>
    </row>
    <row r="30" spans="1:4" x14ac:dyDescent="0.2">
      <c r="A30" s="338">
        <v>44995.768055555556</v>
      </c>
      <c r="B30" s="337" t="s">
        <v>16</v>
      </c>
      <c r="C30">
        <v>10127.87723785</v>
      </c>
      <c r="D30">
        <v>600</v>
      </c>
    </row>
    <row r="31" spans="1:4" x14ac:dyDescent="0.2">
      <c r="A31" s="338">
        <v>44991.706944444442</v>
      </c>
      <c r="B31" s="337" t="s">
        <v>16</v>
      </c>
      <c r="C31">
        <v>311.96112242999999</v>
      </c>
      <c r="D31">
        <v>20</v>
      </c>
    </row>
    <row r="32" spans="1:4" x14ac:dyDescent="0.2">
      <c r="A32" s="338">
        <v>44987.095138888886</v>
      </c>
      <c r="B32" s="337" t="s">
        <v>16</v>
      </c>
      <c r="C32">
        <v>12639.46303323</v>
      </c>
      <c r="D32">
        <v>872.43</v>
      </c>
    </row>
    <row r="33" spans="1:4" x14ac:dyDescent="0.2">
      <c r="A33" s="338">
        <v>44984.694444444445</v>
      </c>
      <c r="B33" s="337" t="s">
        <v>16</v>
      </c>
      <c r="C33">
        <v>274.33140336000002</v>
      </c>
      <c r="D33">
        <v>20</v>
      </c>
    </row>
    <row r="34" spans="1:4" x14ac:dyDescent="0.2">
      <c r="A34" s="338">
        <v>44963.714583333334</v>
      </c>
      <c r="B34" s="337" t="s">
        <v>16</v>
      </c>
      <c r="C34">
        <v>264.01674599</v>
      </c>
      <c r="D34">
        <v>18.510000000000002</v>
      </c>
    </row>
    <row r="35" spans="1:4" x14ac:dyDescent="0.2">
      <c r="A35" s="338">
        <v>44956.843055555553</v>
      </c>
      <c r="B35" s="337" t="s">
        <v>16</v>
      </c>
      <c r="C35">
        <v>288.44870791</v>
      </c>
      <c r="D35">
        <v>18.510000000000002</v>
      </c>
    </row>
    <row r="36" spans="1:4" x14ac:dyDescent="0.2">
      <c r="A36" s="338">
        <v>44949.780555555553</v>
      </c>
      <c r="B36" s="337" t="s">
        <v>16</v>
      </c>
      <c r="C36">
        <v>265.38112391999999</v>
      </c>
      <c r="D36">
        <v>18.510000000000002</v>
      </c>
    </row>
    <row r="37" spans="1:4" x14ac:dyDescent="0.2">
      <c r="A37" s="338">
        <v>44946.913194444445</v>
      </c>
      <c r="B37" s="337" t="s">
        <v>16</v>
      </c>
      <c r="C37">
        <v>13143.4273417</v>
      </c>
      <c r="D37">
        <v>1000</v>
      </c>
    </row>
    <row r="38" spans="1:4" x14ac:dyDescent="0.2">
      <c r="A38" s="338">
        <v>44942.80972222222</v>
      </c>
      <c r="B38" s="337" t="s">
        <v>16</v>
      </c>
      <c r="C38">
        <v>372.58940273000002</v>
      </c>
      <c r="D38">
        <v>20</v>
      </c>
    </row>
    <row r="39" spans="1:4" x14ac:dyDescent="0.2">
      <c r="A39" s="338">
        <v>44937.76458333333</v>
      </c>
      <c r="B39" s="337" t="s">
        <v>16</v>
      </c>
      <c r="C39">
        <v>655.50684043000001</v>
      </c>
      <c r="D39">
        <v>29.23</v>
      </c>
    </row>
    <row r="40" spans="1:4" x14ac:dyDescent="0.2">
      <c r="A40" s="338">
        <v>44937.763888888891</v>
      </c>
      <c r="B40" s="337" t="s">
        <v>16</v>
      </c>
      <c r="C40">
        <v>656.21331996000004</v>
      </c>
      <c r="D40">
        <v>29.24</v>
      </c>
    </row>
    <row r="41" spans="1:4" x14ac:dyDescent="0.2">
      <c r="A41" s="338">
        <v>44935.668055555558</v>
      </c>
      <c r="B41" s="337" t="s">
        <v>16</v>
      </c>
      <c r="C41">
        <v>443.1084391</v>
      </c>
      <c r="D41">
        <v>20</v>
      </c>
    </row>
    <row r="42" spans="1:4" x14ac:dyDescent="0.2">
      <c r="A42" s="338">
        <v>44893.297222222223</v>
      </c>
      <c r="B42" s="337" t="s">
        <v>40</v>
      </c>
      <c r="C42">
        <v>1.697156E-2</v>
      </c>
      <c r="D42">
        <v>20</v>
      </c>
    </row>
    <row r="43" spans="1:4" x14ac:dyDescent="0.2">
      <c r="A43" s="338">
        <v>44867.116666666669</v>
      </c>
      <c r="B43" s="337" t="s">
        <v>16</v>
      </c>
      <c r="C43">
        <v>839.14913694999996</v>
      </c>
      <c r="D43">
        <v>48.73</v>
      </c>
    </row>
    <row r="44" spans="1:4" x14ac:dyDescent="0.2">
      <c r="A44" s="338">
        <v>44867.115972222222</v>
      </c>
      <c r="B44" s="337" t="s">
        <v>16</v>
      </c>
      <c r="C44">
        <v>839.61242671000002</v>
      </c>
      <c r="D44">
        <v>48.74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F3C4-8B91-C04A-AE2A-4BABFAAA299F}">
  <sheetPr codeName="Sheet5"/>
  <dimension ref="A1:B43"/>
  <sheetViews>
    <sheetView workbookViewId="0">
      <selection activeCell="T4" sqref="T4:U4"/>
    </sheetView>
  </sheetViews>
  <sheetFormatPr baseColWidth="10" defaultRowHeight="16" x14ac:dyDescent="0.2"/>
  <cols>
    <col min="1" max="1" width="10.5703125" bestFit="1" customWidth="1"/>
    <col min="2" max="2" width="12" bestFit="1" customWidth="1"/>
    <col min="3" max="3" width="10.5703125" bestFit="1" customWidth="1"/>
  </cols>
  <sheetData>
    <row r="1" spans="1:2" x14ac:dyDescent="0.2">
      <c r="A1" t="s">
        <v>87</v>
      </c>
      <c r="B1" t="s">
        <v>88</v>
      </c>
    </row>
    <row r="2" spans="1:2" x14ac:dyDescent="0.2">
      <c r="A2" t="s">
        <v>86</v>
      </c>
      <c r="B2" t="s">
        <v>89</v>
      </c>
    </row>
    <row r="3" spans="1:2" x14ac:dyDescent="0.2">
      <c r="A3" t="s">
        <v>41</v>
      </c>
      <c r="B3">
        <v>63764.6843295</v>
      </c>
    </row>
    <row r="4" spans="1:2" x14ac:dyDescent="0.2">
      <c r="A4" t="s">
        <v>40</v>
      </c>
      <c r="B4">
        <v>3054.6930798899998</v>
      </c>
    </row>
    <row r="5" spans="1:2" x14ac:dyDescent="0.2">
      <c r="A5" t="s">
        <v>34</v>
      </c>
      <c r="B5">
        <v>144.34957062000001</v>
      </c>
    </row>
    <row r="6" spans="1:2" x14ac:dyDescent="0.2">
      <c r="A6" t="s">
        <v>37</v>
      </c>
      <c r="B6">
        <v>0.99841460000000004</v>
      </c>
    </row>
    <row r="7" spans="1:2" x14ac:dyDescent="0.2">
      <c r="A7" t="s">
        <v>15</v>
      </c>
      <c r="B7">
        <v>0.49872854</v>
      </c>
    </row>
    <row r="8" spans="1:2" x14ac:dyDescent="0.2">
      <c r="A8" t="s">
        <v>38</v>
      </c>
      <c r="B8">
        <v>0.15048064</v>
      </c>
    </row>
    <row r="9" spans="1:2" x14ac:dyDescent="0.2">
      <c r="A9" t="s">
        <v>35</v>
      </c>
      <c r="B9">
        <v>0.46604178000000002</v>
      </c>
    </row>
    <row r="10" spans="1:2" x14ac:dyDescent="0.2">
      <c r="A10" t="s">
        <v>50</v>
      </c>
      <c r="B10">
        <v>34.869263920000002</v>
      </c>
    </row>
    <row r="11" spans="1:2" x14ac:dyDescent="0.2">
      <c r="A11" t="s">
        <v>42</v>
      </c>
      <c r="B11">
        <v>13.84527278</v>
      </c>
    </row>
    <row r="12" spans="1:2" x14ac:dyDescent="0.2">
      <c r="A12" t="s">
        <v>51</v>
      </c>
      <c r="B12">
        <v>0.67146490000000003</v>
      </c>
    </row>
    <row r="13" spans="1:2" x14ac:dyDescent="0.2">
      <c r="A13" t="s">
        <v>48</v>
      </c>
      <c r="B13">
        <v>6.10804685</v>
      </c>
    </row>
    <row r="14" spans="1:2" x14ac:dyDescent="0.2">
      <c r="A14" t="s">
        <v>45</v>
      </c>
      <c r="B14">
        <v>0.11121908</v>
      </c>
    </row>
    <row r="15" spans="1:2" x14ac:dyDescent="0.2">
      <c r="A15" t="s">
        <v>33</v>
      </c>
      <c r="B15">
        <v>8.2041340599999995</v>
      </c>
    </row>
    <row r="16" spans="1:2" x14ac:dyDescent="0.2">
      <c r="A16" t="s">
        <v>52</v>
      </c>
      <c r="B16">
        <v>8.0536487900000004</v>
      </c>
    </row>
    <row r="17" spans="1:2" x14ac:dyDescent="0.2">
      <c r="A17" t="s">
        <v>46</v>
      </c>
      <c r="B17">
        <v>1.12448043</v>
      </c>
    </row>
    <row r="18" spans="1:2" x14ac:dyDescent="0.2">
      <c r="A18" t="s">
        <v>16</v>
      </c>
      <c r="B18">
        <v>8.2537029999999997E-2</v>
      </c>
    </row>
    <row r="19" spans="1:2" x14ac:dyDescent="0.2">
      <c r="A19" t="s">
        <v>56</v>
      </c>
      <c r="B19">
        <v>0.25717762</v>
      </c>
    </row>
    <row r="20" spans="1:2" x14ac:dyDescent="0.2">
      <c r="A20" t="s">
        <v>47</v>
      </c>
      <c r="B20">
        <v>2.2356004899999999</v>
      </c>
    </row>
    <row r="21" spans="1:2" x14ac:dyDescent="0.2">
      <c r="A21" t="s">
        <v>71</v>
      </c>
      <c r="B21">
        <v>2.1257302899999999</v>
      </c>
    </row>
    <row r="22" spans="1:2" x14ac:dyDescent="0.2">
      <c r="A22" t="s">
        <v>53</v>
      </c>
      <c r="B22">
        <v>4.4174949999999998E-2</v>
      </c>
    </row>
    <row r="23" spans="1:2" x14ac:dyDescent="0.2">
      <c r="A23" t="s">
        <v>49</v>
      </c>
      <c r="B23">
        <v>105.76055398</v>
      </c>
    </row>
    <row r="24" spans="1:2" x14ac:dyDescent="0.2">
      <c r="A24" t="s">
        <v>44</v>
      </c>
      <c r="B24">
        <v>0.17530989</v>
      </c>
    </row>
    <row r="25" spans="1:2" x14ac:dyDescent="0.2">
      <c r="A25" t="s">
        <v>70</v>
      </c>
      <c r="B25">
        <v>5.4525749999999998E-2</v>
      </c>
    </row>
    <row r="26" spans="1:2" x14ac:dyDescent="0.2">
      <c r="A26" t="s">
        <v>72</v>
      </c>
      <c r="B26">
        <v>4.6373900000000003E-2</v>
      </c>
    </row>
    <row r="27" spans="1:2" x14ac:dyDescent="0.2">
      <c r="A27" t="s">
        <v>64</v>
      </c>
      <c r="B27">
        <v>7.2599099999999996E-3</v>
      </c>
    </row>
    <row r="28" spans="1:2" x14ac:dyDescent="0.2">
      <c r="A28" t="s">
        <v>43</v>
      </c>
      <c r="B28">
        <v>3.0676370000000001E-2</v>
      </c>
    </row>
    <row r="29" spans="1:2" x14ac:dyDescent="0.2">
      <c r="A29" t="s">
        <v>65</v>
      </c>
      <c r="B29">
        <v>3.3244030000000001E-2</v>
      </c>
    </row>
    <row r="30" spans="1:2" x14ac:dyDescent="0.2">
      <c r="A30" t="s">
        <v>62</v>
      </c>
      <c r="B30">
        <v>0.29499175</v>
      </c>
    </row>
    <row r="31" spans="1:2" x14ac:dyDescent="0.2">
      <c r="A31" t="s">
        <v>68</v>
      </c>
      <c r="B31">
        <v>8.8254999999999996E-4</v>
      </c>
    </row>
    <row r="32" spans="1:2" x14ac:dyDescent="0.2">
      <c r="A32" t="s">
        <v>54</v>
      </c>
      <c r="B32">
        <v>0.12285822</v>
      </c>
    </row>
    <row r="33" spans="1:2" x14ac:dyDescent="0.2">
      <c r="A33" t="s">
        <v>73</v>
      </c>
      <c r="B33">
        <v>7.9390719999999998E-2</v>
      </c>
    </row>
    <row r="34" spans="1:2" x14ac:dyDescent="0.2">
      <c r="A34" t="s">
        <v>61</v>
      </c>
      <c r="B34">
        <v>0.22377256000000001</v>
      </c>
    </row>
    <row r="35" spans="1:2" x14ac:dyDescent="0.2">
      <c r="A35" t="s">
        <v>57</v>
      </c>
      <c r="B35">
        <v>2.4762749199999998</v>
      </c>
    </row>
    <row r="36" spans="1:2" x14ac:dyDescent="0.2">
      <c r="A36" t="s">
        <v>69</v>
      </c>
      <c r="B36">
        <v>6.0346289999999997E-2</v>
      </c>
    </row>
    <row r="37" spans="1:2" x14ac:dyDescent="0.2">
      <c r="A37" t="s">
        <v>67</v>
      </c>
      <c r="B37">
        <v>2.613735E-2</v>
      </c>
    </row>
    <row r="38" spans="1:2" x14ac:dyDescent="0.2">
      <c r="A38" t="s">
        <v>60</v>
      </c>
      <c r="B38">
        <v>69.736399500000005</v>
      </c>
    </row>
    <row r="39" spans="1:2" x14ac:dyDescent="0.2">
      <c r="A39" t="s">
        <v>66</v>
      </c>
      <c r="B39">
        <v>7.6091229999999996E-2</v>
      </c>
    </row>
    <row r="40" spans="1:2" x14ac:dyDescent="0.2">
      <c r="A40" t="s">
        <v>55</v>
      </c>
      <c r="B40">
        <v>0.32222928000000001</v>
      </c>
    </row>
    <row r="41" spans="1:2" x14ac:dyDescent="0.2">
      <c r="A41" t="s">
        <v>59</v>
      </c>
      <c r="B41">
        <v>0.19004230999999999</v>
      </c>
    </row>
    <row r="42" spans="1:2" x14ac:dyDescent="0.2">
      <c r="A42" t="s">
        <v>63</v>
      </c>
      <c r="B42">
        <v>3.4386060000000003E-2</v>
      </c>
    </row>
    <row r="43" spans="1:2" x14ac:dyDescent="0.2">
      <c r="A43" t="s">
        <v>58</v>
      </c>
      <c r="B43">
        <v>8.8794900000000003E-3</v>
      </c>
    </row>
  </sheetData>
  <phoneticPr fontId="11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4BF157-3583-9C4E-9733-94DA936A4932}">
  <sheetPr codeName="Sheet6"/>
  <dimension ref="A1:D1102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9.28515625" bestFit="1" customWidth="1"/>
    <col min="3" max="4" width="12" bestFit="1" customWidth="1"/>
  </cols>
  <sheetData>
    <row r="1" spans="1:4" x14ac:dyDescent="0.2">
      <c r="A1" t="s">
        <v>17</v>
      </c>
      <c r="B1" t="s">
        <v>86</v>
      </c>
      <c r="C1" t="s">
        <v>84</v>
      </c>
      <c r="D1" t="s">
        <v>81</v>
      </c>
    </row>
    <row r="2" spans="1:4" x14ac:dyDescent="0.2">
      <c r="A2" s="73">
        <v>45401</v>
      </c>
      <c r="B2" s="337" t="s">
        <v>15</v>
      </c>
      <c r="C2">
        <v>12273.445639</v>
      </c>
      <c r="D2">
        <v>6121.117624307838</v>
      </c>
    </row>
    <row r="3" spans="1:4" x14ac:dyDescent="0.2">
      <c r="A3" s="73"/>
      <c r="B3" s="337" t="s">
        <v>16</v>
      </c>
      <c r="C3">
        <v>81520.145294550006</v>
      </c>
      <c r="D3">
        <v>6728.4306777806323</v>
      </c>
    </row>
    <row r="4" spans="1:4" x14ac:dyDescent="0.2">
      <c r="A4" s="73">
        <v>45400</v>
      </c>
      <c r="B4" s="337" t="s">
        <v>15</v>
      </c>
      <c r="C4">
        <v>12273.445639</v>
      </c>
      <c r="D4">
        <v>5826.5865944615862</v>
      </c>
    </row>
    <row r="5" spans="1:4" x14ac:dyDescent="0.2">
      <c r="A5" s="73"/>
      <c r="B5" s="337" t="s">
        <v>16</v>
      </c>
      <c r="C5">
        <v>81520.145294550006</v>
      </c>
      <c r="D5">
        <v>6347.9737140866082</v>
      </c>
    </row>
    <row r="6" spans="1:4" x14ac:dyDescent="0.2">
      <c r="A6" s="73">
        <v>45399</v>
      </c>
      <c r="B6" s="337" t="s">
        <v>15</v>
      </c>
      <c r="C6">
        <v>12273.445639</v>
      </c>
      <c r="D6">
        <v>6072.8746370035333</v>
      </c>
    </row>
    <row r="7" spans="1:4" x14ac:dyDescent="0.2">
      <c r="A7" s="73"/>
      <c r="B7" s="337" t="s">
        <v>16</v>
      </c>
      <c r="C7">
        <v>81520.145294550006</v>
      </c>
      <c r="D7">
        <v>6368.6618965594598</v>
      </c>
    </row>
    <row r="8" spans="1:4" x14ac:dyDescent="0.2">
      <c r="A8" s="73">
        <v>45398</v>
      </c>
      <c r="B8" s="337" t="s">
        <v>15</v>
      </c>
      <c r="C8">
        <v>12273.445639</v>
      </c>
      <c r="D8">
        <v>6092.9547304756752</v>
      </c>
    </row>
    <row r="9" spans="1:4" x14ac:dyDescent="0.2">
      <c r="A9" s="73"/>
      <c r="B9" s="337" t="s">
        <v>16</v>
      </c>
      <c r="C9">
        <v>81520.145294550006</v>
      </c>
      <c r="D9">
        <v>6510.1148374731101</v>
      </c>
    </row>
    <row r="10" spans="1:4" x14ac:dyDescent="0.2">
      <c r="A10" s="73">
        <v>45397</v>
      </c>
      <c r="B10" s="337" t="s">
        <v>15</v>
      </c>
      <c r="C10">
        <v>12273.445639</v>
      </c>
      <c r="D10">
        <v>6105.4965963708009</v>
      </c>
    </row>
    <row r="11" spans="1:4" x14ac:dyDescent="0.2">
      <c r="A11" s="73"/>
      <c r="B11" s="337" t="s">
        <v>16</v>
      </c>
      <c r="C11">
        <v>81520.145294550006</v>
      </c>
      <c r="D11">
        <v>6485.9367775801993</v>
      </c>
    </row>
    <row r="12" spans="1:4" x14ac:dyDescent="0.2">
      <c r="A12" s="73">
        <v>45396</v>
      </c>
      <c r="B12" s="337" t="s">
        <v>15</v>
      </c>
      <c r="C12">
        <v>12273.445639</v>
      </c>
      <c r="D12">
        <v>6199.8015796893596</v>
      </c>
    </row>
    <row r="13" spans="1:4" x14ac:dyDescent="0.2">
      <c r="A13" s="73"/>
      <c r="B13" s="337" t="s">
        <v>16</v>
      </c>
      <c r="C13">
        <v>81520.145294550006</v>
      </c>
      <c r="D13">
        <v>6816.7055823142891</v>
      </c>
    </row>
    <row r="14" spans="1:4" x14ac:dyDescent="0.2">
      <c r="A14" s="73">
        <v>45395</v>
      </c>
      <c r="B14" s="337" t="s">
        <v>15</v>
      </c>
      <c r="C14">
        <v>12273.445639</v>
      </c>
      <c r="D14">
        <v>5901.8949840890136</v>
      </c>
    </row>
    <row r="15" spans="1:4" x14ac:dyDescent="0.2">
      <c r="A15" s="73"/>
      <c r="B15" s="337" t="s">
        <v>16</v>
      </c>
      <c r="C15">
        <v>81520.145294550006</v>
      </c>
      <c r="D15">
        <v>6458.3699252473943</v>
      </c>
    </row>
    <row r="16" spans="1:4" x14ac:dyDescent="0.2">
      <c r="A16" s="73">
        <v>45394</v>
      </c>
      <c r="B16" s="337" t="s">
        <v>15</v>
      </c>
      <c r="C16">
        <v>12273.445639</v>
      </c>
      <c r="D16">
        <v>6731.5216104186293</v>
      </c>
    </row>
    <row r="17" spans="1:4" x14ac:dyDescent="0.2">
      <c r="A17" s="73"/>
      <c r="B17" s="337" t="s">
        <v>16</v>
      </c>
      <c r="C17">
        <v>81520.145294550006</v>
      </c>
      <c r="D17">
        <v>7155.1625519511081</v>
      </c>
    </row>
    <row r="18" spans="1:4" x14ac:dyDescent="0.2">
      <c r="A18" s="73">
        <v>45393</v>
      </c>
      <c r="B18" s="337" t="s">
        <v>15</v>
      </c>
      <c r="C18">
        <v>12273.445639</v>
      </c>
      <c r="D18">
        <v>7472.7304570993438</v>
      </c>
    </row>
    <row r="19" spans="1:4" x14ac:dyDescent="0.2">
      <c r="A19" s="73"/>
      <c r="B19" s="337" t="s">
        <v>16</v>
      </c>
      <c r="C19">
        <v>81520.145294550006</v>
      </c>
      <c r="D19">
        <v>8142.4130867422082</v>
      </c>
    </row>
    <row r="20" spans="1:4" x14ac:dyDescent="0.2">
      <c r="A20" s="73">
        <v>45392</v>
      </c>
      <c r="B20" s="337" t="s">
        <v>15</v>
      </c>
      <c r="C20">
        <v>12273.445639</v>
      </c>
      <c r="D20">
        <v>7577.2908861249389</v>
      </c>
    </row>
    <row r="21" spans="1:4" x14ac:dyDescent="0.2">
      <c r="A21" s="73"/>
      <c r="B21" s="337" t="s">
        <v>16</v>
      </c>
      <c r="C21">
        <v>81520.145294550006</v>
      </c>
      <c r="D21">
        <v>8326.240199179967</v>
      </c>
    </row>
    <row r="22" spans="1:4" x14ac:dyDescent="0.2">
      <c r="A22" s="73">
        <v>45391</v>
      </c>
      <c r="B22" s="337" t="s">
        <v>15</v>
      </c>
      <c r="C22">
        <v>12273.445639</v>
      </c>
      <c r="D22">
        <v>7532.1392115737281</v>
      </c>
    </row>
    <row r="23" spans="1:4" x14ac:dyDescent="0.2">
      <c r="A23" s="73"/>
      <c r="B23" s="337" t="s">
        <v>16</v>
      </c>
      <c r="C23">
        <v>81520.145294550006</v>
      </c>
      <c r="D23">
        <v>8435.5049107240629</v>
      </c>
    </row>
    <row r="24" spans="1:4" x14ac:dyDescent="0.2">
      <c r="A24" s="73">
        <v>45390</v>
      </c>
      <c r="B24" s="337" t="s">
        <v>15</v>
      </c>
      <c r="C24">
        <v>12273.445639</v>
      </c>
      <c r="D24">
        <v>7554.8391947519722</v>
      </c>
    </row>
    <row r="25" spans="1:4" x14ac:dyDescent="0.2">
      <c r="A25" s="73"/>
      <c r="B25" s="337" t="s">
        <v>16</v>
      </c>
      <c r="C25">
        <v>81520.145294550006</v>
      </c>
      <c r="D25">
        <v>8922.5519099950707</v>
      </c>
    </row>
    <row r="26" spans="1:4" x14ac:dyDescent="0.2">
      <c r="A26" s="73">
        <v>45389</v>
      </c>
      <c r="B26" s="337" t="s">
        <v>15</v>
      </c>
      <c r="C26">
        <v>12273.445639</v>
      </c>
      <c r="D26">
        <v>7298.6572822115149</v>
      </c>
    </row>
    <row r="27" spans="1:4" x14ac:dyDescent="0.2">
      <c r="A27" s="73"/>
      <c r="B27" s="337" t="s">
        <v>16</v>
      </c>
      <c r="C27">
        <v>81520.145294550006</v>
      </c>
      <c r="D27">
        <v>8623.4708009384249</v>
      </c>
    </row>
    <row r="28" spans="1:4" x14ac:dyDescent="0.2">
      <c r="A28" s="73">
        <v>45388</v>
      </c>
      <c r="B28" s="337" t="s">
        <v>15</v>
      </c>
      <c r="C28">
        <v>12273.445639</v>
      </c>
      <c r="D28">
        <v>7283.0525779571772</v>
      </c>
    </row>
    <row r="29" spans="1:4" x14ac:dyDescent="0.2">
      <c r="A29" s="73"/>
      <c r="B29" s="337" t="s">
        <v>16</v>
      </c>
      <c r="C29">
        <v>81520.145294550006</v>
      </c>
      <c r="D29">
        <v>8640.3617750434551</v>
      </c>
    </row>
    <row r="30" spans="1:4" x14ac:dyDescent="0.2">
      <c r="A30" s="73">
        <v>45387</v>
      </c>
      <c r="B30" s="337" t="s">
        <v>15</v>
      </c>
      <c r="C30">
        <v>12273.445639</v>
      </c>
      <c r="D30">
        <v>7217.5009639404734</v>
      </c>
    </row>
    <row r="31" spans="1:4" x14ac:dyDescent="0.2">
      <c r="A31" s="73"/>
      <c r="B31" s="337" t="s">
        <v>16</v>
      </c>
      <c r="C31">
        <v>81520.145294550006</v>
      </c>
      <c r="D31">
        <v>8548.8521511445124</v>
      </c>
    </row>
    <row r="32" spans="1:4" x14ac:dyDescent="0.2">
      <c r="A32" s="73">
        <v>45386</v>
      </c>
      <c r="B32" s="337" t="s">
        <v>15</v>
      </c>
      <c r="C32">
        <v>12273.445639</v>
      </c>
      <c r="D32">
        <v>7283.8289961283008</v>
      </c>
    </row>
    <row r="33" spans="1:4" x14ac:dyDescent="0.2">
      <c r="A33" s="73"/>
      <c r="B33" s="337" t="s">
        <v>16</v>
      </c>
      <c r="C33">
        <v>81520.145294550006</v>
      </c>
      <c r="D33">
        <v>8581.4642852695961</v>
      </c>
    </row>
    <row r="34" spans="1:4" x14ac:dyDescent="0.2">
      <c r="A34" s="73">
        <v>45385</v>
      </c>
      <c r="B34" s="337" t="s">
        <v>15</v>
      </c>
      <c r="C34">
        <v>12273.445639</v>
      </c>
      <c r="D34">
        <v>7062.0241456814874</v>
      </c>
    </row>
    <row r="35" spans="1:4" x14ac:dyDescent="0.2">
      <c r="A35" s="73"/>
      <c r="B35" s="337" t="s">
        <v>16</v>
      </c>
      <c r="C35">
        <v>81520.145294550006</v>
      </c>
      <c r="D35">
        <v>8392.6677047746834</v>
      </c>
    </row>
    <row r="36" spans="1:4" x14ac:dyDescent="0.2">
      <c r="A36" s="73">
        <v>45384</v>
      </c>
      <c r="B36" s="337" t="s">
        <v>15</v>
      </c>
      <c r="C36">
        <v>12273.445639</v>
      </c>
      <c r="D36">
        <v>7182.8770828550278</v>
      </c>
    </row>
    <row r="37" spans="1:4" x14ac:dyDescent="0.2">
      <c r="A37" s="73"/>
      <c r="B37" s="337" t="s">
        <v>16</v>
      </c>
      <c r="C37">
        <v>81520.145294550006</v>
      </c>
      <c r="D37">
        <v>8445.5188453720457</v>
      </c>
    </row>
    <row r="38" spans="1:4" x14ac:dyDescent="0.2">
      <c r="A38" s="73">
        <v>45383</v>
      </c>
      <c r="B38" s="337" t="s">
        <v>15</v>
      </c>
      <c r="C38">
        <v>12273.445639</v>
      </c>
      <c r="D38">
        <v>7513.2228862170759</v>
      </c>
    </row>
    <row r="39" spans="1:4" x14ac:dyDescent="0.2">
      <c r="A39" s="73"/>
      <c r="B39" s="337" t="s">
        <v>16</v>
      </c>
      <c r="C39">
        <v>81520.145294550006</v>
      </c>
      <c r="D39">
        <v>8967.3985875259605</v>
      </c>
    </row>
    <row r="40" spans="1:4" x14ac:dyDescent="0.2">
      <c r="A40" s="73">
        <v>45382</v>
      </c>
      <c r="B40" s="337" t="s">
        <v>15</v>
      </c>
      <c r="C40">
        <v>12273.445639</v>
      </c>
      <c r="D40">
        <v>7719.5386482674712</v>
      </c>
    </row>
    <row r="41" spans="1:4" x14ac:dyDescent="0.2">
      <c r="A41" s="73"/>
      <c r="B41" s="337" t="s">
        <v>16</v>
      </c>
      <c r="C41">
        <v>81520.145294550006</v>
      </c>
      <c r="D41">
        <v>9433.2210017680791</v>
      </c>
    </row>
    <row r="42" spans="1:4" x14ac:dyDescent="0.2">
      <c r="A42" s="73">
        <v>45381</v>
      </c>
      <c r="B42" s="337" t="s">
        <v>15</v>
      </c>
      <c r="C42">
        <v>12273.445639</v>
      </c>
      <c r="D42">
        <v>7621.9375083881032</v>
      </c>
    </row>
    <row r="43" spans="1:4" x14ac:dyDescent="0.2">
      <c r="A43" s="73"/>
      <c r="B43" s="337" t="s">
        <v>16</v>
      </c>
      <c r="C43">
        <v>81520.145294550006</v>
      </c>
      <c r="D43">
        <v>9263.3566598163707</v>
      </c>
    </row>
    <row r="44" spans="1:4" x14ac:dyDescent="0.2">
      <c r="A44" s="73">
        <v>45380</v>
      </c>
      <c r="B44" s="337" t="s">
        <v>15</v>
      </c>
      <c r="C44">
        <v>12273.445639</v>
      </c>
      <c r="D44">
        <v>7739.4491227208828</v>
      </c>
    </row>
    <row r="45" spans="1:4" x14ac:dyDescent="0.2">
      <c r="A45" s="73"/>
      <c r="B45" s="337" t="s">
        <v>16</v>
      </c>
      <c r="C45">
        <v>81520.145294550006</v>
      </c>
      <c r="D45">
        <v>9479.0222802003682</v>
      </c>
    </row>
    <row r="46" spans="1:4" x14ac:dyDescent="0.2">
      <c r="A46" s="73">
        <v>45379</v>
      </c>
      <c r="B46" s="337" t="s">
        <v>15</v>
      </c>
      <c r="C46">
        <v>12273.445639</v>
      </c>
      <c r="D46">
        <v>7659.6209140024366</v>
      </c>
    </row>
    <row r="47" spans="1:4" x14ac:dyDescent="0.2">
      <c r="A47" s="73"/>
      <c r="B47" s="337" t="s">
        <v>16</v>
      </c>
      <c r="C47">
        <v>81520.145294550006</v>
      </c>
      <c r="D47">
        <v>9470.7936367343373</v>
      </c>
    </row>
    <row r="48" spans="1:4" x14ac:dyDescent="0.2">
      <c r="A48" s="73">
        <v>45378</v>
      </c>
      <c r="B48" s="337" t="s">
        <v>15</v>
      </c>
      <c r="C48">
        <v>12273.445639</v>
      </c>
      <c r="D48">
        <v>7515.0512614139179</v>
      </c>
    </row>
    <row r="49" spans="1:4" x14ac:dyDescent="0.2">
      <c r="A49" s="73"/>
      <c r="B49" s="337" t="s">
        <v>16</v>
      </c>
      <c r="C49">
        <v>81520.145294550006</v>
      </c>
      <c r="D49">
        <v>9267.4269606709295</v>
      </c>
    </row>
    <row r="50" spans="1:4" x14ac:dyDescent="0.2">
      <c r="A50" s="73">
        <v>45377</v>
      </c>
      <c r="B50" s="337" t="s">
        <v>15</v>
      </c>
      <c r="C50">
        <v>12273.445639</v>
      </c>
      <c r="D50">
        <v>7767.4454658957238</v>
      </c>
    </row>
    <row r="51" spans="1:4" x14ac:dyDescent="0.2">
      <c r="A51" s="73"/>
      <c r="B51" s="337" t="s">
        <v>16</v>
      </c>
      <c r="C51">
        <v>81520.145294550006</v>
      </c>
      <c r="D51">
        <v>9794.9421904690553</v>
      </c>
    </row>
    <row r="52" spans="1:4" x14ac:dyDescent="0.2">
      <c r="A52" s="73">
        <v>45376</v>
      </c>
      <c r="B52" s="337" t="s">
        <v>15</v>
      </c>
      <c r="C52">
        <v>12273.445639</v>
      </c>
      <c r="D52">
        <v>7855.4668132504839</v>
      </c>
    </row>
    <row r="53" spans="1:4" x14ac:dyDescent="0.2">
      <c r="A53" s="73"/>
      <c r="B53" s="337" t="s">
        <v>16</v>
      </c>
      <c r="C53">
        <v>81520.145294550006</v>
      </c>
      <c r="D53">
        <v>9525.310233900067</v>
      </c>
    </row>
    <row r="54" spans="1:4" x14ac:dyDescent="0.2">
      <c r="A54" s="73">
        <v>45375</v>
      </c>
      <c r="B54" s="337" t="s">
        <v>15</v>
      </c>
      <c r="C54">
        <v>12273.445639</v>
      </c>
      <c r="D54">
        <v>7777.8275735617544</v>
      </c>
    </row>
    <row r="55" spans="1:4" x14ac:dyDescent="0.2">
      <c r="A55" s="73"/>
      <c r="B55" s="337" t="s">
        <v>16</v>
      </c>
      <c r="C55">
        <v>81520.145294550006</v>
      </c>
      <c r="D55">
        <v>8954.3521034730202</v>
      </c>
    </row>
    <row r="56" spans="1:4" x14ac:dyDescent="0.2">
      <c r="A56" s="73">
        <v>45374</v>
      </c>
      <c r="B56" s="337" t="s">
        <v>15</v>
      </c>
      <c r="C56">
        <v>12273.445639</v>
      </c>
      <c r="D56">
        <v>7586.4720371351923</v>
      </c>
    </row>
    <row r="57" spans="1:4" x14ac:dyDescent="0.2">
      <c r="A57" s="73"/>
      <c r="B57" s="337" t="s">
        <v>16</v>
      </c>
      <c r="C57">
        <v>81520.145294550006</v>
      </c>
      <c r="D57">
        <v>8715.5665546820364</v>
      </c>
    </row>
    <row r="58" spans="1:4" x14ac:dyDescent="0.2">
      <c r="A58" s="73">
        <v>45373</v>
      </c>
      <c r="B58" s="337" t="s">
        <v>15</v>
      </c>
      <c r="C58">
        <v>12273.445639</v>
      </c>
      <c r="D58">
        <v>7493.8401699261422</v>
      </c>
    </row>
    <row r="59" spans="1:4" x14ac:dyDescent="0.2">
      <c r="A59" s="73"/>
      <c r="B59" s="337" t="s">
        <v>16</v>
      </c>
      <c r="C59">
        <v>81520.145294550006</v>
      </c>
      <c r="D59">
        <v>8653.4661383995535</v>
      </c>
    </row>
    <row r="60" spans="1:4" x14ac:dyDescent="0.2">
      <c r="A60" s="73">
        <v>45372</v>
      </c>
      <c r="B60" s="337" t="s">
        <v>15</v>
      </c>
      <c r="C60">
        <v>12273.445639</v>
      </c>
      <c r="D60">
        <v>7871.31735462097</v>
      </c>
    </row>
    <row r="61" spans="1:4" x14ac:dyDescent="0.2">
      <c r="A61" s="73"/>
      <c r="B61" s="337" t="s">
        <v>16</v>
      </c>
      <c r="C61">
        <v>81520.145294550006</v>
      </c>
      <c r="D61">
        <v>8965.3035197918907</v>
      </c>
    </row>
    <row r="62" spans="1:4" x14ac:dyDescent="0.2">
      <c r="A62" s="73">
        <v>45371</v>
      </c>
      <c r="B62" s="337" t="s">
        <v>15</v>
      </c>
      <c r="C62">
        <v>12273.445639</v>
      </c>
      <c r="D62">
        <v>7507.6860894204101</v>
      </c>
    </row>
    <row r="63" spans="1:4" x14ac:dyDescent="0.2">
      <c r="A63" s="73"/>
      <c r="B63" s="337" t="s">
        <v>16</v>
      </c>
      <c r="C63">
        <v>81520.145294550006</v>
      </c>
      <c r="D63">
        <v>9081.1037013842524</v>
      </c>
    </row>
    <row r="64" spans="1:4" x14ac:dyDescent="0.2">
      <c r="A64" s="73">
        <v>45370</v>
      </c>
      <c r="B64" s="337" t="s">
        <v>15</v>
      </c>
      <c r="C64">
        <v>12273.445639</v>
      </c>
      <c r="D64">
        <v>7182.9113257683603</v>
      </c>
    </row>
    <row r="65" spans="1:4" x14ac:dyDescent="0.2">
      <c r="A65" s="73"/>
      <c r="B65" s="337" t="s">
        <v>16</v>
      </c>
      <c r="C65">
        <v>81520.145294550006</v>
      </c>
      <c r="D65">
        <v>8261.7055913589884</v>
      </c>
    </row>
    <row r="66" spans="1:4" x14ac:dyDescent="0.2">
      <c r="A66" s="73">
        <v>45369</v>
      </c>
      <c r="B66" s="337" t="s">
        <v>15</v>
      </c>
      <c r="C66">
        <v>12273.445639</v>
      </c>
      <c r="D66">
        <v>8025.6873535522309</v>
      </c>
    </row>
    <row r="67" spans="1:4" x14ac:dyDescent="0.2">
      <c r="A67" s="73"/>
      <c r="B67" s="337" t="s">
        <v>16</v>
      </c>
      <c r="C67">
        <v>81520.145294550006</v>
      </c>
      <c r="D67">
        <v>9119.7931623410459</v>
      </c>
    </row>
    <row r="68" spans="1:4" x14ac:dyDescent="0.2">
      <c r="A68" s="73">
        <v>45368</v>
      </c>
      <c r="B68" s="337" t="s">
        <v>15</v>
      </c>
      <c r="C68">
        <v>12273.445639</v>
      </c>
      <c r="D68">
        <v>7599.0674152533038</v>
      </c>
    </row>
    <row r="69" spans="1:4" x14ac:dyDescent="0.2">
      <c r="A69" s="73"/>
      <c r="B69" s="337" t="s">
        <v>16</v>
      </c>
      <c r="C69">
        <v>81520.145294550006</v>
      </c>
      <c r="D69">
        <v>9490.5247727014284</v>
      </c>
    </row>
    <row r="70" spans="1:4" x14ac:dyDescent="0.2">
      <c r="A70" s="73">
        <v>45367</v>
      </c>
      <c r="B70" s="337" t="s">
        <v>15</v>
      </c>
      <c r="C70">
        <v>12273.445639</v>
      </c>
      <c r="D70">
        <v>7392.3863954606904</v>
      </c>
    </row>
    <row r="71" spans="1:4" x14ac:dyDescent="0.2">
      <c r="A71" s="73"/>
      <c r="B71" s="337" t="s">
        <v>16</v>
      </c>
      <c r="C71">
        <v>81520.145294550006</v>
      </c>
      <c r="D71">
        <v>9003.563369582982</v>
      </c>
    </row>
    <row r="72" spans="1:4" x14ac:dyDescent="0.2">
      <c r="A72" s="73">
        <v>45366</v>
      </c>
      <c r="B72" s="337" t="s">
        <v>15</v>
      </c>
      <c r="C72">
        <v>12273.445639</v>
      </c>
      <c r="D72">
        <v>7784.6015336788296</v>
      </c>
    </row>
    <row r="73" spans="1:4" x14ac:dyDescent="0.2">
      <c r="A73" s="73"/>
      <c r="B73" s="337" t="s">
        <v>16</v>
      </c>
      <c r="C73">
        <v>81520.145294550006</v>
      </c>
      <c r="D73">
        <v>9812.8635792106088</v>
      </c>
    </row>
    <row r="74" spans="1:4" x14ac:dyDescent="0.2">
      <c r="A74" s="73">
        <v>45365</v>
      </c>
      <c r="B74" s="337" t="s">
        <v>15</v>
      </c>
      <c r="C74">
        <v>12273.445639</v>
      </c>
      <c r="D74">
        <v>8213.0880175905386</v>
      </c>
    </row>
    <row r="75" spans="1:4" x14ac:dyDescent="0.2">
      <c r="A75" s="73"/>
      <c r="B75" s="337" t="s">
        <v>16</v>
      </c>
      <c r="C75">
        <v>81520.145294550006</v>
      </c>
      <c r="D75">
        <v>10354.295113011971</v>
      </c>
    </row>
    <row r="76" spans="1:4" x14ac:dyDescent="0.2">
      <c r="A76" s="73">
        <v>45364</v>
      </c>
      <c r="B76" s="337" t="s">
        <v>15</v>
      </c>
      <c r="C76">
        <v>12273.445639</v>
      </c>
      <c r="D76">
        <v>8464.4377518484653</v>
      </c>
    </row>
    <row r="77" spans="1:4" x14ac:dyDescent="0.2">
      <c r="A77" s="73"/>
      <c r="B77" s="337" t="s">
        <v>16</v>
      </c>
      <c r="C77">
        <v>81520.145294550006</v>
      </c>
      <c r="D77">
        <v>10792.87920110682</v>
      </c>
    </row>
    <row r="78" spans="1:4" x14ac:dyDescent="0.2">
      <c r="A78" s="73">
        <v>45363</v>
      </c>
      <c r="B78" s="337" t="s">
        <v>15</v>
      </c>
      <c r="C78">
        <v>12273.445639</v>
      </c>
      <c r="D78">
        <v>8452.638674883412</v>
      </c>
    </row>
    <row r="79" spans="1:4" x14ac:dyDescent="0.2">
      <c r="A79" s="73"/>
      <c r="B79" s="337" t="s">
        <v>16</v>
      </c>
      <c r="C79">
        <v>81520.145294550006</v>
      </c>
      <c r="D79">
        <v>10838.618524228679</v>
      </c>
    </row>
    <row r="80" spans="1:4" x14ac:dyDescent="0.2">
      <c r="A80" s="73">
        <v>45362</v>
      </c>
      <c r="B80" s="337" t="s">
        <v>15</v>
      </c>
      <c r="C80">
        <v>12273.445639</v>
      </c>
      <c r="D80">
        <v>8800.6649903607213</v>
      </c>
    </row>
    <row r="81" spans="1:4" x14ac:dyDescent="0.2">
      <c r="A81" s="73"/>
      <c r="B81" s="337" t="s">
        <v>16</v>
      </c>
      <c r="C81">
        <v>81520.145294550006</v>
      </c>
      <c r="D81">
        <v>10812.17828030385</v>
      </c>
    </row>
    <row r="82" spans="1:4" x14ac:dyDescent="0.2">
      <c r="A82" s="73">
        <v>45361</v>
      </c>
      <c r="B82" s="337" t="s">
        <v>15</v>
      </c>
      <c r="C82">
        <v>12273.445639</v>
      </c>
      <c r="D82">
        <v>7469.0795979595669</v>
      </c>
    </row>
    <row r="83" spans="1:4" x14ac:dyDescent="0.2">
      <c r="A83" s="73"/>
      <c r="B83" s="337" t="s">
        <v>16</v>
      </c>
      <c r="C83">
        <v>81520.145294550006</v>
      </c>
      <c r="D83">
        <v>10261.50806843626</v>
      </c>
    </row>
    <row r="84" spans="1:4" x14ac:dyDescent="0.2">
      <c r="A84" s="73">
        <v>45360</v>
      </c>
      <c r="B84" s="337" t="s">
        <v>15</v>
      </c>
      <c r="C84">
        <v>12273.445639</v>
      </c>
      <c r="D84">
        <v>7640.3945614089434</v>
      </c>
    </row>
    <row r="85" spans="1:4" x14ac:dyDescent="0.2">
      <c r="A85" s="73"/>
      <c r="B85" s="337" t="s">
        <v>16</v>
      </c>
      <c r="C85">
        <v>81520.145294550006</v>
      </c>
      <c r="D85">
        <v>10645.387247829751</v>
      </c>
    </row>
    <row r="86" spans="1:4" x14ac:dyDescent="0.2">
      <c r="A86" s="73">
        <v>45359</v>
      </c>
      <c r="B86" s="337" t="s">
        <v>15</v>
      </c>
      <c r="C86">
        <v>12273.445639</v>
      </c>
      <c r="D86">
        <v>7627.7309429330799</v>
      </c>
    </row>
    <row r="87" spans="1:4" x14ac:dyDescent="0.2">
      <c r="A87" s="73"/>
      <c r="B87" s="337" t="s">
        <v>16</v>
      </c>
      <c r="C87">
        <v>81520.145294550006</v>
      </c>
      <c r="D87">
        <v>10647.45215311006</v>
      </c>
    </row>
    <row r="88" spans="1:4" x14ac:dyDescent="0.2">
      <c r="A88" s="73">
        <v>45358</v>
      </c>
      <c r="B88" s="337" t="s">
        <v>15</v>
      </c>
      <c r="C88">
        <v>12273.445639</v>
      </c>
      <c r="D88">
        <v>7712.3899798550356</v>
      </c>
    </row>
    <row r="89" spans="1:4" x14ac:dyDescent="0.2">
      <c r="A89" s="73"/>
      <c r="B89" s="337" t="s">
        <v>16</v>
      </c>
      <c r="C89">
        <v>81520.145294550006</v>
      </c>
      <c r="D89">
        <v>10917.71099959636</v>
      </c>
    </row>
    <row r="90" spans="1:4" x14ac:dyDescent="0.2">
      <c r="A90" s="73">
        <v>45357</v>
      </c>
      <c r="B90" s="337" t="s">
        <v>15</v>
      </c>
      <c r="C90">
        <v>12273.445639</v>
      </c>
      <c r="D90">
        <v>7522.5905936010431</v>
      </c>
    </row>
    <row r="91" spans="1:4" x14ac:dyDescent="0.2">
      <c r="A91" s="73"/>
      <c r="B91" s="337" t="s">
        <v>16</v>
      </c>
      <c r="C91">
        <v>81520.145294550006</v>
      </c>
      <c r="D91">
        <v>10266.750628980149</v>
      </c>
    </row>
    <row r="92" spans="1:4" x14ac:dyDescent="0.2">
      <c r="A92" s="73">
        <v>45356</v>
      </c>
      <c r="B92" s="337" t="s">
        <v>15</v>
      </c>
      <c r="C92">
        <v>12273.445639</v>
      </c>
      <c r="D92">
        <v>7306.176854151161</v>
      </c>
    </row>
    <row r="93" spans="1:4" x14ac:dyDescent="0.2">
      <c r="A93" s="73"/>
      <c r="B93" s="337" t="s">
        <v>16</v>
      </c>
      <c r="C93">
        <v>81520.145294550006</v>
      </c>
      <c r="D93">
        <v>9138.1180758018072</v>
      </c>
    </row>
    <row r="94" spans="1:4" x14ac:dyDescent="0.2">
      <c r="A94" s="73">
        <v>45355</v>
      </c>
      <c r="B94" s="337" t="s">
        <v>15</v>
      </c>
      <c r="C94">
        <v>12273.445639</v>
      </c>
      <c r="D94">
        <v>7992.1956978269836</v>
      </c>
    </row>
    <row r="95" spans="1:4" x14ac:dyDescent="0.2">
      <c r="A95" s="73"/>
      <c r="B95" s="337" t="s">
        <v>16</v>
      </c>
      <c r="C95">
        <v>81520.145294550006</v>
      </c>
      <c r="D95">
        <v>9599.1365078817162</v>
      </c>
    </row>
    <row r="96" spans="1:4" x14ac:dyDescent="0.2">
      <c r="A96" s="73">
        <v>45354</v>
      </c>
      <c r="B96" s="337" t="s">
        <v>15</v>
      </c>
      <c r="C96">
        <v>12273.445639</v>
      </c>
      <c r="D96">
        <v>7691.7621225040257</v>
      </c>
    </row>
    <row r="97" spans="1:4" x14ac:dyDescent="0.2">
      <c r="A97" s="73"/>
      <c r="B97" s="337" t="s">
        <v>16</v>
      </c>
      <c r="C97">
        <v>81520.145294550006</v>
      </c>
      <c r="D97">
        <v>9202.1896491975112</v>
      </c>
    </row>
    <row r="98" spans="1:4" x14ac:dyDescent="0.2">
      <c r="A98" s="73">
        <v>45353</v>
      </c>
      <c r="B98" s="337" t="s">
        <v>15</v>
      </c>
      <c r="C98">
        <v>12273.445639</v>
      </c>
      <c r="D98">
        <v>7898.8846181362705</v>
      </c>
    </row>
    <row r="99" spans="1:4" x14ac:dyDescent="0.2">
      <c r="A99" s="73"/>
      <c r="B99" s="337" t="s">
        <v>16</v>
      </c>
      <c r="C99">
        <v>81520.145294550006</v>
      </c>
      <c r="D99">
        <v>9407.146783295615</v>
      </c>
    </row>
    <row r="100" spans="1:4" x14ac:dyDescent="0.2">
      <c r="A100" s="73">
        <v>45352</v>
      </c>
      <c r="B100" s="337" t="s">
        <v>15</v>
      </c>
      <c r="C100">
        <v>12273.445639</v>
      </c>
      <c r="D100">
        <v>7383.9232410203194</v>
      </c>
    </row>
    <row r="101" spans="1:4" x14ac:dyDescent="0.2">
      <c r="A101" s="73"/>
      <c r="B101" s="337" t="s">
        <v>16</v>
      </c>
      <c r="C101">
        <v>81520.145294550006</v>
      </c>
      <c r="D101">
        <v>9495.7942348932684</v>
      </c>
    </row>
    <row r="102" spans="1:4" x14ac:dyDescent="0.2">
      <c r="A102" s="73">
        <v>45351</v>
      </c>
      <c r="B102" s="337" t="s">
        <v>15</v>
      </c>
      <c r="C102">
        <v>12273.445639</v>
      </c>
      <c r="D102">
        <v>7208.031632426615</v>
      </c>
    </row>
    <row r="103" spans="1:4" x14ac:dyDescent="0.2">
      <c r="A103" s="73"/>
      <c r="B103" s="337" t="s">
        <v>16</v>
      </c>
      <c r="C103">
        <v>81520.145294550006</v>
      </c>
      <c r="D103">
        <v>9307.6424787476353</v>
      </c>
    </row>
    <row r="104" spans="1:4" x14ac:dyDescent="0.2">
      <c r="A104" s="73">
        <v>45350</v>
      </c>
      <c r="B104" s="337" t="s">
        <v>15</v>
      </c>
      <c r="C104">
        <v>12273.445639</v>
      </c>
      <c r="D104">
        <v>7076.000040965072</v>
      </c>
    </row>
    <row r="105" spans="1:4" x14ac:dyDescent="0.2">
      <c r="A105" s="73"/>
      <c r="B105" s="337" t="s">
        <v>16</v>
      </c>
      <c r="C105">
        <v>81520.145294550006</v>
      </c>
      <c r="D105">
        <v>9219.6088738440503</v>
      </c>
    </row>
    <row r="106" spans="1:4" x14ac:dyDescent="0.2">
      <c r="A106" s="73">
        <v>45349</v>
      </c>
      <c r="B106" s="337" t="s">
        <v>15</v>
      </c>
      <c r="C106">
        <v>12273.445639</v>
      </c>
      <c r="D106">
        <v>7209.1196733825118</v>
      </c>
    </row>
    <row r="107" spans="1:4" x14ac:dyDescent="0.2">
      <c r="A107" s="73"/>
      <c r="B107" s="337" t="s">
        <v>16</v>
      </c>
      <c r="C107">
        <v>81520.145294550006</v>
      </c>
      <c r="D107">
        <v>8818.2868289618873</v>
      </c>
    </row>
    <row r="108" spans="1:4" x14ac:dyDescent="0.2">
      <c r="A108" s="73">
        <v>45348</v>
      </c>
      <c r="B108" s="337" t="s">
        <v>15</v>
      </c>
      <c r="C108">
        <v>12273.445639</v>
      </c>
      <c r="D108">
        <v>6766.3542628143923</v>
      </c>
    </row>
    <row r="109" spans="1:4" x14ac:dyDescent="0.2">
      <c r="A109" s="73"/>
      <c r="B109" s="337" t="s">
        <v>16</v>
      </c>
      <c r="C109">
        <v>81520.145294550006</v>
      </c>
      <c r="D109">
        <v>9110.3457927028594</v>
      </c>
    </row>
    <row r="110" spans="1:4" x14ac:dyDescent="0.2">
      <c r="A110" s="73">
        <v>45347</v>
      </c>
      <c r="B110" s="337" t="s">
        <v>15</v>
      </c>
      <c r="C110">
        <v>12273.445639</v>
      </c>
      <c r="D110">
        <v>6659.6685639419493</v>
      </c>
    </row>
    <row r="111" spans="1:4" x14ac:dyDescent="0.2">
      <c r="A111" s="73"/>
      <c r="B111" s="337" t="s">
        <v>16</v>
      </c>
      <c r="C111">
        <v>81520.145294550006</v>
      </c>
      <c r="D111">
        <v>8923.4037955133972</v>
      </c>
    </row>
    <row r="112" spans="1:4" x14ac:dyDescent="0.2">
      <c r="A112" s="73">
        <v>45346</v>
      </c>
      <c r="B112" s="337" t="s">
        <v>15</v>
      </c>
      <c r="C112">
        <v>12273.445639</v>
      </c>
      <c r="D112">
        <v>6686.3143371586739</v>
      </c>
    </row>
    <row r="113" spans="1:4" x14ac:dyDescent="0.2">
      <c r="A113" s="73"/>
      <c r="B113" s="337" t="s">
        <v>16</v>
      </c>
      <c r="C113">
        <v>81520.145294550006</v>
      </c>
      <c r="D113">
        <v>8963.1774744026079</v>
      </c>
    </row>
    <row r="114" spans="1:4" x14ac:dyDescent="0.2">
      <c r="A114" s="73">
        <v>45345</v>
      </c>
      <c r="B114" s="337" t="s">
        <v>16</v>
      </c>
      <c r="C114">
        <v>81520.145294550006</v>
      </c>
      <c r="D114">
        <v>8931.6462974041297</v>
      </c>
    </row>
    <row r="115" spans="1:4" x14ac:dyDescent="0.2">
      <c r="A115" s="73"/>
      <c r="B115" s="337" t="s">
        <v>15</v>
      </c>
      <c r="C115">
        <v>8656.7882490000011</v>
      </c>
      <c r="D115">
        <v>4630.1361745217346</v>
      </c>
    </row>
    <row r="116" spans="1:4" x14ac:dyDescent="0.2">
      <c r="A116" s="73">
        <v>45344</v>
      </c>
      <c r="B116" s="337" t="s">
        <v>16</v>
      </c>
      <c r="C116">
        <v>81520.145294550006</v>
      </c>
      <c r="D116">
        <v>9578.2746874993882</v>
      </c>
    </row>
    <row r="117" spans="1:4" x14ac:dyDescent="0.2">
      <c r="A117" s="73"/>
      <c r="B117" s="337" t="s">
        <v>15</v>
      </c>
      <c r="C117">
        <v>8656.7882490000011</v>
      </c>
      <c r="D117">
        <v>4684.9707817594926</v>
      </c>
    </row>
    <row r="118" spans="1:4" x14ac:dyDescent="0.2">
      <c r="A118" s="73">
        <v>45343</v>
      </c>
      <c r="B118" s="337" t="s">
        <v>16</v>
      </c>
      <c r="C118">
        <v>81520.145294550006</v>
      </c>
      <c r="D118">
        <v>8527.4196897451202</v>
      </c>
    </row>
    <row r="119" spans="1:4" x14ac:dyDescent="0.2">
      <c r="A119" s="73"/>
      <c r="B119" s="337" t="s">
        <v>15</v>
      </c>
      <c r="C119">
        <v>8656.7882490000011</v>
      </c>
      <c r="D119">
        <v>4756.7406638487691</v>
      </c>
    </row>
    <row r="120" spans="1:4" x14ac:dyDescent="0.2">
      <c r="A120" s="73">
        <v>45342</v>
      </c>
      <c r="B120" s="337" t="s">
        <v>16</v>
      </c>
      <c r="C120">
        <v>81520.145294550006</v>
      </c>
      <c r="D120">
        <v>8767.5193432782526</v>
      </c>
    </row>
    <row r="121" spans="1:4" x14ac:dyDescent="0.2">
      <c r="A121" s="73"/>
      <c r="B121" s="337" t="s">
        <v>15</v>
      </c>
      <c r="C121">
        <v>8656.7882490000011</v>
      </c>
      <c r="D121">
        <v>4876.2923812214613</v>
      </c>
    </row>
    <row r="122" spans="1:4" x14ac:dyDescent="0.2">
      <c r="A122" s="73">
        <v>45341</v>
      </c>
      <c r="B122" s="337" t="s">
        <v>16</v>
      </c>
      <c r="C122">
        <v>81520.145294550006</v>
      </c>
      <c r="D122">
        <v>9027.6330076826507</v>
      </c>
    </row>
    <row r="123" spans="1:4" x14ac:dyDescent="0.2">
      <c r="A123" s="73"/>
      <c r="B123" s="337" t="s">
        <v>15</v>
      </c>
      <c r="C123">
        <v>8656.7882490000011</v>
      </c>
      <c r="D123">
        <v>4868.2402696316549</v>
      </c>
    </row>
    <row r="124" spans="1:4" x14ac:dyDescent="0.2">
      <c r="A124" s="73">
        <v>45340</v>
      </c>
      <c r="B124" s="337" t="s">
        <v>16</v>
      </c>
      <c r="C124">
        <v>81520.145294550006</v>
      </c>
      <c r="D124">
        <v>7315.6113171212937</v>
      </c>
    </row>
    <row r="125" spans="1:4" x14ac:dyDescent="0.2">
      <c r="A125" s="73"/>
      <c r="B125" s="337" t="s">
        <v>15</v>
      </c>
      <c r="C125">
        <v>8656.7882490000011</v>
      </c>
      <c r="D125">
        <v>4821.8219650653391</v>
      </c>
    </row>
    <row r="126" spans="1:4" x14ac:dyDescent="0.2">
      <c r="A126" s="73">
        <v>45339</v>
      </c>
      <c r="B126" s="337" t="s">
        <v>16</v>
      </c>
      <c r="C126">
        <v>81520.145294550006</v>
      </c>
      <c r="D126">
        <v>6802.3816775845844</v>
      </c>
    </row>
    <row r="127" spans="1:4" x14ac:dyDescent="0.2">
      <c r="A127" s="73"/>
      <c r="B127" s="337" t="s">
        <v>15</v>
      </c>
      <c r="C127">
        <v>8656.7882490000011</v>
      </c>
      <c r="D127">
        <v>4760.8267544701794</v>
      </c>
    </row>
    <row r="128" spans="1:4" x14ac:dyDescent="0.2">
      <c r="A128" s="73">
        <v>45338</v>
      </c>
      <c r="B128" s="337" t="s">
        <v>16</v>
      </c>
      <c r="C128">
        <v>81520.145294550006</v>
      </c>
      <c r="D128">
        <v>6971.5033710126572</v>
      </c>
    </row>
    <row r="129" spans="1:4" x14ac:dyDescent="0.2">
      <c r="A129" s="73"/>
      <c r="B129" s="337" t="s">
        <v>15</v>
      </c>
      <c r="C129">
        <v>8656.7882490000011</v>
      </c>
      <c r="D129">
        <v>4892.1478948746826</v>
      </c>
    </row>
    <row r="130" spans="1:4" x14ac:dyDescent="0.2">
      <c r="A130" s="73">
        <v>45337</v>
      </c>
      <c r="B130" s="337" t="s">
        <v>16</v>
      </c>
      <c r="C130">
        <v>81520.145294550006</v>
      </c>
      <c r="D130">
        <v>6742.8964275631524</v>
      </c>
    </row>
    <row r="131" spans="1:4" x14ac:dyDescent="0.2">
      <c r="A131" s="73"/>
      <c r="B131" s="337" t="s">
        <v>15</v>
      </c>
      <c r="C131">
        <v>8656.7882490000011</v>
      </c>
      <c r="D131">
        <v>4870.9222291990773</v>
      </c>
    </row>
    <row r="132" spans="1:4" x14ac:dyDescent="0.2">
      <c r="A132" s="73">
        <v>45336</v>
      </c>
      <c r="B132" s="337" t="s">
        <v>16</v>
      </c>
      <c r="C132">
        <v>81520.145294550006</v>
      </c>
      <c r="D132">
        <v>6712.8562540221092</v>
      </c>
    </row>
    <row r="133" spans="1:4" x14ac:dyDescent="0.2">
      <c r="A133" s="73"/>
      <c r="B133" s="337" t="s">
        <v>15</v>
      </c>
      <c r="C133">
        <v>8656.7882490000011</v>
      </c>
      <c r="D133">
        <v>4658.781140566145</v>
      </c>
    </row>
    <row r="134" spans="1:4" x14ac:dyDescent="0.2">
      <c r="A134" s="73">
        <v>45335</v>
      </c>
      <c r="B134" s="337" t="s">
        <v>16</v>
      </c>
      <c r="C134">
        <v>81520.145294550006</v>
      </c>
      <c r="D134">
        <v>6648.3852319144607</v>
      </c>
    </row>
    <row r="135" spans="1:4" x14ac:dyDescent="0.2">
      <c r="A135" s="73"/>
      <c r="B135" s="337" t="s">
        <v>15</v>
      </c>
      <c r="C135">
        <v>8656.7882490000011</v>
      </c>
      <c r="D135">
        <v>4545.3161841470892</v>
      </c>
    </row>
    <row r="136" spans="1:4" x14ac:dyDescent="0.2">
      <c r="A136" s="73">
        <v>45334</v>
      </c>
      <c r="B136" s="337" t="s">
        <v>16</v>
      </c>
      <c r="C136">
        <v>81520.145294550006</v>
      </c>
      <c r="D136">
        <v>6513.3960233212156</v>
      </c>
    </row>
    <row r="137" spans="1:4" x14ac:dyDescent="0.2">
      <c r="A137" s="73"/>
      <c r="B137" s="337" t="s">
        <v>15</v>
      </c>
      <c r="C137">
        <v>8656.7882490000011</v>
      </c>
      <c r="D137">
        <v>4606.8336587773119</v>
      </c>
    </row>
    <row r="138" spans="1:4" x14ac:dyDescent="0.2">
      <c r="A138" s="73">
        <v>45333</v>
      </c>
      <c r="B138" s="337" t="s">
        <v>16</v>
      </c>
      <c r="C138">
        <v>81520.145294550006</v>
      </c>
      <c r="D138">
        <v>6374.1563543523134</v>
      </c>
    </row>
    <row r="139" spans="1:4" x14ac:dyDescent="0.2">
      <c r="A139" s="73"/>
      <c r="B139" s="337" t="s">
        <v>15</v>
      </c>
      <c r="C139">
        <v>8656.7882490000011</v>
      </c>
      <c r="D139">
        <v>4552.4307655695302</v>
      </c>
    </row>
    <row r="140" spans="1:4" x14ac:dyDescent="0.2">
      <c r="A140" s="73">
        <v>45332</v>
      </c>
      <c r="B140" s="337" t="s">
        <v>16</v>
      </c>
      <c r="C140">
        <v>81520.145294550006</v>
      </c>
      <c r="D140">
        <v>6426.4759836023541</v>
      </c>
    </row>
    <row r="141" spans="1:4" x14ac:dyDescent="0.2">
      <c r="A141" s="73"/>
      <c r="B141" s="337" t="s">
        <v>15</v>
      </c>
      <c r="C141">
        <v>8656.7882490000011</v>
      </c>
      <c r="D141">
        <v>4534.5588262294696</v>
      </c>
    </row>
    <row r="142" spans="1:4" x14ac:dyDescent="0.2">
      <c r="A142" s="73">
        <v>45331</v>
      </c>
      <c r="B142" s="337" t="s">
        <v>16</v>
      </c>
      <c r="C142">
        <v>81520.145294550006</v>
      </c>
      <c r="D142">
        <v>6474.5899885566514</v>
      </c>
    </row>
    <row r="143" spans="1:4" x14ac:dyDescent="0.2">
      <c r="A143" s="73"/>
      <c r="B143" s="337" t="s">
        <v>15</v>
      </c>
      <c r="C143">
        <v>8656.7882490000011</v>
      </c>
      <c r="D143">
        <v>4550.7808682971536</v>
      </c>
    </row>
    <row r="144" spans="1:4" x14ac:dyDescent="0.2">
      <c r="A144" s="73">
        <v>45330</v>
      </c>
      <c r="B144" s="337" t="s">
        <v>16</v>
      </c>
      <c r="C144">
        <v>81520.145294550006</v>
      </c>
      <c r="D144">
        <v>6201.2129965128306</v>
      </c>
    </row>
    <row r="145" spans="1:4" x14ac:dyDescent="0.2">
      <c r="A145" s="73"/>
      <c r="B145" s="337" t="s">
        <v>15</v>
      </c>
      <c r="C145">
        <v>8656.7882490000011</v>
      </c>
      <c r="D145">
        <v>4450.1994635575547</v>
      </c>
    </row>
    <row r="146" spans="1:4" x14ac:dyDescent="0.2">
      <c r="A146" s="73">
        <v>45329</v>
      </c>
      <c r="B146" s="337" t="s">
        <v>16</v>
      </c>
      <c r="C146">
        <v>81520.145294550006</v>
      </c>
      <c r="D146">
        <v>6191.671878707557</v>
      </c>
    </row>
    <row r="147" spans="1:4" x14ac:dyDescent="0.2">
      <c r="A147" s="73"/>
      <c r="B147" s="337" t="s">
        <v>15</v>
      </c>
      <c r="C147">
        <v>8656.7882490000011</v>
      </c>
      <c r="D147">
        <v>4444.3750898557464</v>
      </c>
    </row>
    <row r="148" spans="1:4" x14ac:dyDescent="0.2">
      <c r="A148" s="73">
        <v>45328</v>
      </c>
      <c r="B148" s="337" t="s">
        <v>16</v>
      </c>
      <c r="C148">
        <v>81520.145294550006</v>
      </c>
      <c r="D148">
        <v>6105.5254651675396</v>
      </c>
    </row>
    <row r="149" spans="1:4" x14ac:dyDescent="0.2">
      <c r="A149" s="73"/>
      <c r="B149" s="337" t="s">
        <v>15</v>
      </c>
      <c r="C149">
        <v>8656.7882490000011</v>
      </c>
      <c r="D149">
        <v>4372.6260706261492</v>
      </c>
    </row>
    <row r="150" spans="1:4" x14ac:dyDescent="0.2">
      <c r="A150" s="73">
        <v>45327</v>
      </c>
      <c r="B150" s="337" t="s">
        <v>16</v>
      </c>
      <c r="C150">
        <v>81509.269995989991</v>
      </c>
      <c r="D150">
        <v>5653.1642656761805</v>
      </c>
    </row>
    <row r="151" spans="1:4" x14ac:dyDescent="0.2">
      <c r="A151" s="73"/>
      <c r="B151" s="337" t="s">
        <v>15</v>
      </c>
      <c r="C151">
        <v>8656.7882490000011</v>
      </c>
      <c r="D151">
        <v>4380.9811698046706</v>
      </c>
    </row>
    <row r="152" spans="1:4" x14ac:dyDescent="0.2">
      <c r="A152" s="73">
        <v>45326</v>
      </c>
      <c r="B152" s="337" t="s">
        <v>16</v>
      </c>
      <c r="C152">
        <v>81509.269995989991</v>
      </c>
      <c r="D152">
        <v>5580.9454222743343</v>
      </c>
    </row>
    <row r="153" spans="1:4" x14ac:dyDescent="0.2">
      <c r="A153" s="73"/>
      <c r="B153" s="337" t="s">
        <v>15</v>
      </c>
      <c r="C153">
        <v>8656.7882490000011</v>
      </c>
      <c r="D153">
        <v>4357.1339689436209</v>
      </c>
    </row>
    <row r="154" spans="1:4" x14ac:dyDescent="0.2">
      <c r="A154" s="73">
        <v>45325</v>
      </c>
      <c r="B154" s="337" t="s">
        <v>16</v>
      </c>
      <c r="C154">
        <v>81509.269995989991</v>
      </c>
      <c r="D154">
        <v>5649.9495400675387</v>
      </c>
    </row>
    <row r="155" spans="1:4" x14ac:dyDescent="0.2">
      <c r="A155" s="73"/>
      <c r="B155" s="337" t="s">
        <v>15</v>
      </c>
      <c r="C155">
        <v>8656.7882490000011</v>
      </c>
      <c r="D155">
        <v>4493.0843268642766</v>
      </c>
    </row>
    <row r="156" spans="1:4" x14ac:dyDescent="0.2">
      <c r="A156" s="73">
        <v>45324</v>
      </c>
      <c r="B156" s="337" t="s">
        <v>16</v>
      </c>
      <c r="C156">
        <v>81509.269995989991</v>
      </c>
      <c r="D156">
        <v>5639.7877793771386</v>
      </c>
    </row>
    <row r="157" spans="1:4" x14ac:dyDescent="0.2">
      <c r="A157" s="73"/>
      <c r="B157" s="337" t="s">
        <v>15</v>
      </c>
      <c r="C157">
        <v>8656.7882490000011</v>
      </c>
      <c r="D157">
        <v>4415.5384625195011</v>
      </c>
    </row>
    <row r="158" spans="1:4" x14ac:dyDescent="0.2">
      <c r="A158" s="73">
        <v>45323</v>
      </c>
      <c r="B158" s="337" t="s">
        <v>16</v>
      </c>
      <c r="C158">
        <v>81509.269995989991</v>
      </c>
      <c r="D158">
        <v>5725.2388376701356</v>
      </c>
    </row>
    <row r="159" spans="1:4" x14ac:dyDescent="0.2">
      <c r="A159" s="73"/>
      <c r="B159" s="337" t="s">
        <v>15</v>
      </c>
      <c r="C159">
        <v>8656.7882490000011</v>
      </c>
      <c r="D159">
        <v>4379.9299760075965</v>
      </c>
    </row>
    <row r="160" spans="1:4" x14ac:dyDescent="0.2">
      <c r="A160" s="73">
        <v>45322</v>
      </c>
      <c r="B160" s="337" t="s">
        <v>16</v>
      </c>
      <c r="C160">
        <v>81509.269995989991</v>
      </c>
      <c r="D160">
        <v>5663.699338823164</v>
      </c>
    </row>
    <row r="161" spans="1:4" x14ac:dyDescent="0.2">
      <c r="A161" s="73"/>
      <c r="B161" s="337" t="s">
        <v>15</v>
      </c>
      <c r="C161">
        <v>8656.7882490000011</v>
      </c>
      <c r="D161">
        <v>4352.6079403433951</v>
      </c>
    </row>
    <row r="162" spans="1:4" x14ac:dyDescent="0.2">
      <c r="A162" s="73">
        <v>45321</v>
      </c>
      <c r="B162" s="337" t="s">
        <v>16</v>
      </c>
      <c r="C162">
        <v>81509.269995989991</v>
      </c>
      <c r="D162">
        <v>5941.462553651998</v>
      </c>
    </row>
    <row r="163" spans="1:4" x14ac:dyDescent="0.2">
      <c r="A163" s="73"/>
      <c r="B163" s="337" t="s">
        <v>15</v>
      </c>
      <c r="C163">
        <v>8656.7882490000011</v>
      </c>
      <c r="D163">
        <v>4422.8776010291213</v>
      </c>
    </row>
    <row r="164" spans="1:4" x14ac:dyDescent="0.2">
      <c r="A164" s="73">
        <v>45320</v>
      </c>
      <c r="B164" s="337" t="s">
        <v>16</v>
      </c>
      <c r="C164">
        <v>81436.587381429985</v>
      </c>
      <c r="D164">
        <v>6057.2916446268318</v>
      </c>
    </row>
    <row r="165" spans="1:4" x14ac:dyDescent="0.2">
      <c r="A165" s="73"/>
      <c r="B165" s="337" t="s">
        <v>15</v>
      </c>
      <c r="C165">
        <v>8656.7882490000011</v>
      </c>
      <c r="D165">
        <v>4633.8844772656694</v>
      </c>
    </row>
    <row r="166" spans="1:4" x14ac:dyDescent="0.2">
      <c r="A166" s="73">
        <v>45319</v>
      </c>
      <c r="B166" s="337" t="s">
        <v>16</v>
      </c>
      <c r="C166">
        <v>81436.587381429985</v>
      </c>
      <c r="D166">
        <v>5973.5666891399833</v>
      </c>
    </row>
    <row r="167" spans="1:4" x14ac:dyDescent="0.2">
      <c r="A167" s="73"/>
      <c r="B167" s="337" t="s">
        <v>15</v>
      </c>
      <c r="C167">
        <v>8656.7882490000011</v>
      </c>
      <c r="D167">
        <v>4536.6025207992943</v>
      </c>
    </row>
    <row r="168" spans="1:4" x14ac:dyDescent="0.2">
      <c r="A168" s="73">
        <v>45318</v>
      </c>
      <c r="B168" s="337" t="s">
        <v>16</v>
      </c>
      <c r="C168">
        <v>81436.587381429985</v>
      </c>
      <c r="D168">
        <v>6061.1843135036643</v>
      </c>
    </row>
    <row r="169" spans="1:4" x14ac:dyDescent="0.2">
      <c r="A169" s="73"/>
      <c r="B169" s="337" t="s">
        <v>15</v>
      </c>
      <c r="C169">
        <v>8656.7882490000011</v>
      </c>
      <c r="D169">
        <v>4588.2072803413503</v>
      </c>
    </row>
    <row r="170" spans="1:4" x14ac:dyDescent="0.2">
      <c r="A170" s="73">
        <v>45317</v>
      </c>
      <c r="B170" s="337" t="s">
        <v>16</v>
      </c>
      <c r="C170">
        <v>81436.587381429985</v>
      </c>
      <c r="D170">
        <v>6061.2600495299284</v>
      </c>
    </row>
    <row r="171" spans="1:4" x14ac:dyDescent="0.2">
      <c r="A171" s="73"/>
      <c r="B171" s="337" t="s">
        <v>15</v>
      </c>
      <c r="C171">
        <v>8656.7882490000011</v>
      </c>
      <c r="D171">
        <v>4606.38653566425</v>
      </c>
    </row>
    <row r="172" spans="1:4" x14ac:dyDescent="0.2">
      <c r="A172" s="73">
        <v>45316</v>
      </c>
      <c r="B172" s="337" t="s">
        <v>16</v>
      </c>
      <c r="C172">
        <v>81436.587381429985</v>
      </c>
      <c r="D172">
        <v>5811.2049361458776</v>
      </c>
    </row>
    <row r="173" spans="1:4" x14ac:dyDescent="0.2">
      <c r="A173" s="73"/>
      <c r="B173" s="337" t="s">
        <v>15</v>
      </c>
      <c r="C173">
        <v>8656.7882490000011</v>
      </c>
      <c r="D173">
        <v>4447.7356550540071</v>
      </c>
    </row>
    <row r="174" spans="1:4" x14ac:dyDescent="0.2">
      <c r="A174" s="73">
        <v>45315</v>
      </c>
      <c r="B174" s="337" t="s">
        <v>16</v>
      </c>
      <c r="C174">
        <v>81436.587381429985</v>
      </c>
      <c r="D174">
        <v>5883.5678589612698</v>
      </c>
    </row>
    <row r="175" spans="1:4" x14ac:dyDescent="0.2">
      <c r="A175" s="73"/>
      <c r="B175" s="337" t="s">
        <v>15</v>
      </c>
      <c r="C175">
        <v>8656.7882490000011</v>
      </c>
      <c r="D175">
        <v>4487.3656525469869</v>
      </c>
    </row>
    <row r="176" spans="1:4" x14ac:dyDescent="0.2">
      <c r="A176" s="73">
        <v>45314</v>
      </c>
      <c r="B176" s="337" t="s">
        <v>16</v>
      </c>
      <c r="C176">
        <v>81436.587381429985</v>
      </c>
      <c r="D176">
        <v>5754.3809285687385</v>
      </c>
    </row>
    <row r="177" spans="1:4" x14ac:dyDescent="0.2">
      <c r="A177" s="73"/>
      <c r="B177" s="337" t="s">
        <v>15</v>
      </c>
      <c r="C177">
        <v>8656.7882490000011</v>
      </c>
      <c r="D177">
        <v>4480.4920761093981</v>
      </c>
    </row>
    <row r="178" spans="1:4" x14ac:dyDescent="0.2">
      <c r="A178" s="73">
        <v>45313</v>
      </c>
      <c r="B178" s="337" t="s">
        <v>16</v>
      </c>
      <c r="C178">
        <v>81436.587381429985</v>
      </c>
      <c r="D178">
        <v>5774.4688915781153</v>
      </c>
    </row>
    <row r="179" spans="1:4" x14ac:dyDescent="0.2">
      <c r="A179" s="73"/>
      <c r="B179" s="337" t="s">
        <v>15</v>
      </c>
      <c r="C179">
        <v>8656.7882490000011</v>
      </c>
      <c r="D179">
        <v>4548.6351101938744</v>
      </c>
    </row>
    <row r="180" spans="1:4" x14ac:dyDescent="0.2">
      <c r="A180" s="73">
        <v>45312</v>
      </c>
      <c r="B180" s="337" t="s">
        <v>16</v>
      </c>
      <c r="C180">
        <v>81436.587381429985</v>
      </c>
      <c r="D180">
        <v>6151.8362651131774</v>
      </c>
    </row>
    <row r="181" spans="1:4" x14ac:dyDescent="0.2">
      <c r="A181" s="73"/>
      <c r="B181" s="337" t="s">
        <v>15</v>
      </c>
      <c r="C181">
        <v>8656.7882490000011</v>
      </c>
      <c r="D181">
        <v>4733.4875783652487</v>
      </c>
    </row>
    <row r="182" spans="1:4" x14ac:dyDescent="0.2">
      <c r="A182" s="73">
        <v>45311</v>
      </c>
      <c r="B182" s="337" t="s">
        <v>16</v>
      </c>
      <c r="C182">
        <v>81436.587381429985</v>
      </c>
      <c r="D182">
        <v>6214.0342730916173</v>
      </c>
    </row>
    <row r="183" spans="1:4" x14ac:dyDescent="0.2">
      <c r="A183" s="73"/>
      <c r="B183" s="337" t="s">
        <v>15</v>
      </c>
      <c r="C183">
        <v>8656.7882490000011</v>
      </c>
      <c r="D183">
        <v>4784.7451141306356</v>
      </c>
    </row>
    <row r="184" spans="1:4" x14ac:dyDescent="0.2">
      <c r="A184" s="73">
        <v>45310</v>
      </c>
      <c r="B184" s="337" t="s">
        <v>16</v>
      </c>
      <c r="C184">
        <v>81436.587381429985</v>
      </c>
      <c r="D184">
        <v>6159.1044805369693</v>
      </c>
    </row>
    <row r="185" spans="1:4" x14ac:dyDescent="0.2">
      <c r="A185" s="73"/>
      <c r="B185" s="337" t="s">
        <v>15</v>
      </c>
      <c r="C185">
        <v>8656.7882490000011</v>
      </c>
      <c r="D185">
        <v>4709.1731706423989</v>
      </c>
    </row>
    <row r="186" spans="1:4" x14ac:dyDescent="0.2">
      <c r="A186" s="73">
        <v>45309</v>
      </c>
      <c r="B186" s="337" t="s">
        <v>16</v>
      </c>
      <c r="C186">
        <v>81436.587381429985</v>
      </c>
      <c r="D186">
        <v>6123.0378447174817</v>
      </c>
    </row>
    <row r="187" spans="1:4" x14ac:dyDescent="0.2">
      <c r="A187" s="73"/>
      <c r="B187" s="337" t="s">
        <v>15</v>
      </c>
      <c r="C187">
        <v>8656.7882490000011</v>
      </c>
      <c r="D187">
        <v>4775.5568856510308</v>
      </c>
    </row>
    <row r="188" spans="1:4" x14ac:dyDescent="0.2">
      <c r="A188" s="73">
        <v>45308</v>
      </c>
      <c r="B188" s="337" t="s">
        <v>16</v>
      </c>
      <c r="C188">
        <v>81436.587381429985</v>
      </c>
      <c r="D188">
        <v>6418.0997024837516</v>
      </c>
    </row>
    <row r="189" spans="1:4" x14ac:dyDescent="0.2">
      <c r="A189" s="73"/>
      <c r="B189" s="337" t="s">
        <v>15</v>
      </c>
      <c r="C189">
        <v>8656.7882490000011</v>
      </c>
      <c r="D189">
        <v>4916.1935958902832</v>
      </c>
    </row>
    <row r="190" spans="1:4" x14ac:dyDescent="0.2">
      <c r="A190" s="73">
        <v>45307</v>
      </c>
      <c r="B190" s="337" t="s">
        <v>16</v>
      </c>
      <c r="C190">
        <v>81436.587381429985</v>
      </c>
      <c r="D190">
        <v>6564.7026614536762</v>
      </c>
    </row>
    <row r="191" spans="1:4" x14ac:dyDescent="0.2">
      <c r="A191" s="73"/>
      <c r="B191" s="337" t="s">
        <v>15</v>
      </c>
      <c r="C191">
        <v>8656.7882490000011</v>
      </c>
      <c r="D191">
        <v>4984.8889330650454</v>
      </c>
    </row>
    <row r="192" spans="1:4" x14ac:dyDescent="0.2">
      <c r="A192" s="73">
        <v>45306</v>
      </c>
      <c r="B192" s="337" t="s">
        <v>16</v>
      </c>
      <c r="C192">
        <v>81436.587381429985</v>
      </c>
      <c r="D192">
        <v>6328.2409432353352</v>
      </c>
    </row>
    <row r="193" spans="1:4" x14ac:dyDescent="0.2">
      <c r="A193" s="73"/>
      <c r="B193" s="337" t="s">
        <v>15</v>
      </c>
      <c r="C193">
        <v>8656.7882490000011</v>
      </c>
      <c r="D193">
        <v>4988.0647624020721</v>
      </c>
    </row>
    <row r="194" spans="1:4" x14ac:dyDescent="0.2">
      <c r="A194" s="73">
        <v>45305</v>
      </c>
      <c r="B194" s="337" t="s">
        <v>16</v>
      </c>
      <c r="C194">
        <v>81436.587381429985</v>
      </c>
      <c r="D194">
        <v>6275.0913544808454</v>
      </c>
    </row>
    <row r="195" spans="1:4" x14ac:dyDescent="0.2">
      <c r="A195" s="73"/>
      <c r="B195" s="337" t="s">
        <v>15</v>
      </c>
      <c r="C195">
        <v>8656.7882490000011</v>
      </c>
      <c r="D195">
        <v>4983.8177420871134</v>
      </c>
    </row>
    <row r="196" spans="1:4" x14ac:dyDescent="0.2">
      <c r="A196" s="73">
        <v>45304</v>
      </c>
      <c r="B196" s="337" t="s">
        <v>16</v>
      </c>
      <c r="C196">
        <v>81436.587381429985</v>
      </c>
      <c r="D196">
        <v>6619.0298232617006</v>
      </c>
    </row>
    <row r="197" spans="1:4" x14ac:dyDescent="0.2">
      <c r="A197" s="73"/>
      <c r="B197" s="337" t="s">
        <v>15</v>
      </c>
      <c r="C197">
        <v>8656.7882490000011</v>
      </c>
      <c r="D197">
        <v>4975.7789619512096</v>
      </c>
    </row>
    <row r="198" spans="1:4" x14ac:dyDescent="0.2">
      <c r="A198" s="73">
        <v>45303</v>
      </c>
      <c r="B198" s="337" t="s">
        <v>16</v>
      </c>
      <c r="C198">
        <v>81436.587381429985</v>
      </c>
      <c r="D198">
        <v>6523.1545289375454</v>
      </c>
    </row>
    <row r="199" spans="1:4" x14ac:dyDescent="0.2">
      <c r="A199" s="73"/>
      <c r="B199" s="337" t="s">
        <v>15</v>
      </c>
      <c r="C199">
        <v>8656.7882490000011</v>
      </c>
      <c r="D199">
        <v>4949.029226558152</v>
      </c>
    </row>
    <row r="200" spans="1:4" x14ac:dyDescent="0.2">
      <c r="A200" s="73">
        <v>45302</v>
      </c>
      <c r="B200" s="337" t="s">
        <v>16</v>
      </c>
      <c r="C200">
        <v>81436.587381429985</v>
      </c>
      <c r="D200">
        <v>6843.478016109535</v>
      </c>
    </row>
    <row r="201" spans="1:4" x14ac:dyDescent="0.2">
      <c r="A201" s="73"/>
      <c r="B201" s="337" t="s">
        <v>15</v>
      </c>
      <c r="C201">
        <v>8656.7882490000011</v>
      </c>
      <c r="D201">
        <v>5206.9078499294974</v>
      </c>
    </row>
    <row r="202" spans="1:4" x14ac:dyDescent="0.2">
      <c r="A202" s="73">
        <v>45301</v>
      </c>
      <c r="B202" s="337" t="s">
        <v>16</v>
      </c>
      <c r="C202">
        <v>81436.587381429985</v>
      </c>
      <c r="D202">
        <v>6820.4412342710766</v>
      </c>
    </row>
    <row r="203" spans="1:4" x14ac:dyDescent="0.2">
      <c r="A203" s="73"/>
      <c r="B203" s="337" t="s">
        <v>15</v>
      </c>
      <c r="C203">
        <v>8656.7882490000011</v>
      </c>
      <c r="D203">
        <v>5197.102738719268</v>
      </c>
    </row>
    <row r="204" spans="1:4" x14ac:dyDescent="0.2">
      <c r="A204" s="73">
        <v>45300</v>
      </c>
      <c r="B204" s="337" t="s">
        <v>16</v>
      </c>
      <c r="C204">
        <v>81436.587381429985</v>
      </c>
      <c r="D204">
        <v>6296.8357376775602</v>
      </c>
    </row>
    <row r="205" spans="1:4" x14ac:dyDescent="0.2">
      <c r="A205" s="73"/>
      <c r="B205" s="337" t="s">
        <v>15</v>
      </c>
      <c r="C205">
        <v>8656.7882490000011</v>
      </c>
      <c r="D205">
        <v>4903.35817595349</v>
      </c>
    </row>
    <row r="206" spans="1:4" x14ac:dyDescent="0.2">
      <c r="A206" s="73">
        <v>45299</v>
      </c>
      <c r="B206" s="337" t="s">
        <v>16</v>
      </c>
      <c r="C206">
        <v>81436.587381429985</v>
      </c>
      <c r="D206">
        <v>6649.9537385880531</v>
      </c>
    </row>
    <row r="207" spans="1:4" x14ac:dyDescent="0.2">
      <c r="A207" s="73"/>
      <c r="B207" s="337" t="s">
        <v>15</v>
      </c>
      <c r="C207">
        <v>8656.7882490000011</v>
      </c>
      <c r="D207">
        <v>4998.3949078196047</v>
      </c>
    </row>
    <row r="208" spans="1:4" x14ac:dyDescent="0.2">
      <c r="A208" s="73">
        <v>45298</v>
      </c>
      <c r="B208" s="337" t="s">
        <v>16</v>
      </c>
      <c r="C208">
        <v>81436.587381429985</v>
      </c>
      <c r="D208">
        <v>6127.4460071924377</v>
      </c>
    </row>
    <row r="209" spans="1:4" x14ac:dyDescent="0.2">
      <c r="A209" s="73"/>
      <c r="B209" s="337" t="s">
        <v>15</v>
      </c>
      <c r="C209">
        <v>8656.7882490000011</v>
      </c>
      <c r="D209">
        <v>4776.8501232475492</v>
      </c>
    </row>
    <row r="210" spans="1:4" x14ac:dyDescent="0.2">
      <c r="A210" s="73">
        <v>45297</v>
      </c>
      <c r="B210" s="337" t="s">
        <v>16</v>
      </c>
      <c r="C210">
        <v>81436.587381429985</v>
      </c>
      <c r="D210">
        <v>6476.8154819857637</v>
      </c>
    </row>
    <row r="211" spans="1:4" x14ac:dyDescent="0.2">
      <c r="A211" s="73"/>
      <c r="B211" s="337" t="s">
        <v>15</v>
      </c>
      <c r="C211">
        <v>8656.7882490000011</v>
      </c>
      <c r="D211">
        <v>4916.3775526405743</v>
      </c>
    </row>
    <row r="212" spans="1:4" x14ac:dyDescent="0.2">
      <c r="A212" s="73">
        <v>45296</v>
      </c>
      <c r="B212" s="337" t="s">
        <v>16</v>
      </c>
      <c r="C212">
        <v>81436.587381429985</v>
      </c>
      <c r="D212">
        <v>6893.8693476494163</v>
      </c>
    </row>
    <row r="213" spans="1:4" x14ac:dyDescent="0.2">
      <c r="A213" s="73"/>
      <c r="B213" s="337" t="s">
        <v>15</v>
      </c>
      <c r="C213">
        <v>8656.7882490000011</v>
      </c>
      <c r="D213">
        <v>4985.4304151700198</v>
      </c>
    </row>
    <row r="214" spans="1:4" x14ac:dyDescent="0.2">
      <c r="A214" s="73">
        <v>45295</v>
      </c>
      <c r="B214" s="337" t="s">
        <v>16</v>
      </c>
      <c r="C214">
        <v>81436.587381429985</v>
      </c>
      <c r="D214">
        <v>7177.1505886850891</v>
      </c>
    </row>
    <row r="215" spans="1:4" x14ac:dyDescent="0.2">
      <c r="A215" s="73"/>
      <c r="B215" s="337" t="s">
        <v>15</v>
      </c>
      <c r="C215">
        <v>8656.7882490000011</v>
      </c>
      <c r="D215">
        <v>5083.4932139364546</v>
      </c>
    </row>
    <row r="216" spans="1:4" x14ac:dyDescent="0.2">
      <c r="A216" s="73">
        <v>45294</v>
      </c>
      <c r="B216" s="337" t="s">
        <v>16</v>
      </c>
      <c r="C216">
        <v>81436.587381429985</v>
      </c>
      <c r="D216">
        <v>7203.2094822812742</v>
      </c>
    </row>
    <row r="217" spans="1:4" x14ac:dyDescent="0.2">
      <c r="A217" s="73"/>
      <c r="B217" s="337" t="s">
        <v>15</v>
      </c>
      <c r="C217">
        <v>8656.7882490000011</v>
      </c>
      <c r="D217">
        <v>5041.9243555793464</v>
      </c>
    </row>
    <row r="218" spans="1:4" x14ac:dyDescent="0.2">
      <c r="A218" s="73">
        <v>45293</v>
      </c>
      <c r="B218" s="337" t="s">
        <v>16</v>
      </c>
      <c r="C218">
        <v>81436.587381429985</v>
      </c>
      <c r="D218">
        <v>7911.6906908163646</v>
      </c>
    </row>
    <row r="219" spans="1:4" x14ac:dyDescent="0.2">
      <c r="A219" s="73"/>
      <c r="B219" s="337" t="s">
        <v>15</v>
      </c>
      <c r="C219">
        <v>8656.7882490000011</v>
      </c>
      <c r="D219">
        <v>5435.4743285860823</v>
      </c>
    </row>
    <row r="220" spans="1:4" x14ac:dyDescent="0.2">
      <c r="A220" s="73">
        <v>45292</v>
      </c>
      <c r="B220" s="337" t="s">
        <v>16</v>
      </c>
      <c r="C220">
        <v>81436.587381429985</v>
      </c>
      <c r="D220">
        <v>7496.7973378159404</v>
      </c>
    </row>
    <row r="221" spans="1:4" x14ac:dyDescent="0.2">
      <c r="A221" s="73"/>
      <c r="B221" s="337" t="s">
        <v>15</v>
      </c>
      <c r="C221">
        <v>8656.7882490000011</v>
      </c>
      <c r="D221">
        <v>5451.0327412665974</v>
      </c>
    </row>
    <row r="222" spans="1:4" x14ac:dyDescent="0.2">
      <c r="A222" s="73">
        <v>45291</v>
      </c>
      <c r="B222" s="337" t="s">
        <v>16</v>
      </c>
      <c r="C222">
        <v>81436.587381429985</v>
      </c>
      <c r="D222">
        <v>6978.9371924621846</v>
      </c>
    </row>
    <row r="223" spans="1:4" x14ac:dyDescent="0.2">
      <c r="A223" s="73"/>
      <c r="B223" s="337" t="s">
        <v>15</v>
      </c>
      <c r="C223">
        <v>8656.7882490000011</v>
      </c>
      <c r="D223">
        <v>5311.4248903107391</v>
      </c>
    </row>
    <row r="224" spans="1:4" x14ac:dyDescent="0.2">
      <c r="A224" s="73">
        <v>45290</v>
      </c>
      <c r="B224" s="337" t="s">
        <v>16</v>
      </c>
      <c r="C224">
        <v>81436.587381429985</v>
      </c>
      <c r="D224">
        <v>7099.2198463904306</v>
      </c>
    </row>
    <row r="225" spans="1:4" x14ac:dyDescent="0.2">
      <c r="A225" s="73"/>
      <c r="B225" s="337" t="s">
        <v>15</v>
      </c>
      <c r="C225">
        <v>8656.7882490000011</v>
      </c>
      <c r="D225">
        <v>5382.5500148112314</v>
      </c>
    </row>
    <row r="226" spans="1:4" x14ac:dyDescent="0.2">
      <c r="A226" s="73">
        <v>45289</v>
      </c>
      <c r="B226" s="337" t="s">
        <v>16</v>
      </c>
      <c r="C226">
        <v>81436.587381429985</v>
      </c>
      <c r="D226">
        <v>7256.0300672227422</v>
      </c>
    </row>
    <row r="227" spans="1:4" x14ac:dyDescent="0.2">
      <c r="A227" s="73"/>
      <c r="B227" s="337" t="s">
        <v>15</v>
      </c>
      <c r="C227">
        <v>8656.7882490000011</v>
      </c>
      <c r="D227">
        <v>5393.8092067436464</v>
      </c>
    </row>
    <row r="228" spans="1:4" x14ac:dyDescent="0.2">
      <c r="A228" s="73">
        <v>45288</v>
      </c>
      <c r="B228" s="337" t="s">
        <v>16</v>
      </c>
      <c r="C228">
        <v>81436.587381429985</v>
      </c>
      <c r="D228">
        <v>7280.439869924453</v>
      </c>
    </row>
    <row r="229" spans="1:4" x14ac:dyDescent="0.2">
      <c r="A229" s="73"/>
      <c r="B229" s="337" t="s">
        <v>15</v>
      </c>
      <c r="C229">
        <v>8656.7882490000011</v>
      </c>
      <c r="D229">
        <v>5494.4419462375599</v>
      </c>
    </row>
    <row r="230" spans="1:4" x14ac:dyDescent="0.2">
      <c r="A230" s="73">
        <v>45287</v>
      </c>
      <c r="B230" s="337" t="s">
        <v>16</v>
      </c>
      <c r="C230">
        <v>81436.587381429985</v>
      </c>
      <c r="D230">
        <v>7509.0201552160197</v>
      </c>
    </row>
    <row r="231" spans="1:4" x14ac:dyDescent="0.2">
      <c r="A231" s="73"/>
      <c r="B231" s="337" t="s">
        <v>15</v>
      </c>
      <c r="C231">
        <v>8656.7882490000011</v>
      </c>
      <c r="D231">
        <v>5497.5879096551298</v>
      </c>
    </row>
    <row r="232" spans="1:4" x14ac:dyDescent="0.2">
      <c r="A232" s="73">
        <v>45286</v>
      </c>
      <c r="B232" s="337" t="s">
        <v>16</v>
      </c>
      <c r="C232">
        <v>81436.587381429985</v>
      </c>
      <c r="D232">
        <v>7291.1609966532178</v>
      </c>
    </row>
    <row r="233" spans="1:4" x14ac:dyDescent="0.2">
      <c r="A233" s="73"/>
      <c r="B233" s="337" t="s">
        <v>15</v>
      </c>
      <c r="C233">
        <v>8656.7882490000011</v>
      </c>
      <c r="D233">
        <v>5381.3611780809961</v>
      </c>
    </row>
    <row r="234" spans="1:4" x14ac:dyDescent="0.2">
      <c r="A234" s="73">
        <v>45285</v>
      </c>
      <c r="B234" s="337" t="s">
        <v>16</v>
      </c>
      <c r="C234">
        <v>81436.587381429985</v>
      </c>
      <c r="D234">
        <v>7541.0459075696399</v>
      </c>
    </row>
    <row r="235" spans="1:4" x14ac:dyDescent="0.2">
      <c r="A235" s="73"/>
      <c r="B235" s="337" t="s">
        <v>15</v>
      </c>
      <c r="C235">
        <v>8656.7882490000011</v>
      </c>
      <c r="D235">
        <v>5601.7003317536128</v>
      </c>
    </row>
    <row r="236" spans="1:4" x14ac:dyDescent="0.2">
      <c r="A236" s="73">
        <v>45284</v>
      </c>
      <c r="B236" s="337" t="s">
        <v>16</v>
      </c>
      <c r="C236">
        <v>81436.587381429985</v>
      </c>
      <c r="D236">
        <v>7347.8343465437028</v>
      </c>
    </row>
    <row r="237" spans="1:4" x14ac:dyDescent="0.2">
      <c r="A237" s="73"/>
      <c r="B237" s="337" t="s">
        <v>15</v>
      </c>
      <c r="C237">
        <v>8656.7882490000011</v>
      </c>
      <c r="D237">
        <v>5309.6196902571764</v>
      </c>
    </row>
    <row r="238" spans="1:4" x14ac:dyDescent="0.2">
      <c r="A238" s="73">
        <v>45283</v>
      </c>
      <c r="B238" s="337" t="s">
        <v>16</v>
      </c>
      <c r="C238">
        <v>81436.587381429985</v>
      </c>
      <c r="D238">
        <v>7450.4558477665378</v>
      </c>
    </row>
    <row r="239" spans="1:4" x14ac:dyDescent="0.2">
      <c r="A239" s="73"/>
      <c r="B239" s="337" t="s">
        <v>15</v>
      </c>
      <c r="C239">
        <v>8656.7882490000011</v>
      </c>
      <c r="D239">
        <v>5364.6942636651966</v>
      </c>
    </row>
    <row r="240" spans="1:4" x14ac:dyDescent="0.2">
      <c r="A240" s="73">
        <v>45282</v>
      </c>
      <c r="B240" s="337" t="s">
        <v>16</v>
      </c>
      <c r="C240">
        <v>81436.587381429985</v>
      </c>
      <c r="D240">
        <v>7413.6896716614438</v>
      </c>
    </row>
    <row r="241" spans="1:4" x14ac:dyDescent="0.2">
      <c r="A241" s="73"/>
      <c r="B241" s="337" t="s">
        <v>15</v>
      </c>
      <c r="C241">
        <v>8656.7882490000011</v>
      </c>
      <c r="D241">
        <v>5411.5980409165159</v>
      </c>
    </row>
    <row r="242" spans="1:4" x14ac:dyDescent="0.2">
      <c r="A242" s="73">
        <v>45281</v>
      </c>
      <c r="B242" s="337" t="s">
        <v>16</v>
      </c>
      <c r="C242">
        <v>81402.458867199995</v>
      </c>
      <c r="D242">
        <v>7425.6869625378313</v>
      </c>
    </row>
    <row r="243" spans="1:4" x14ac:dyDescent="0.2">
      <c r="A243" s="73"/>
      <c r="B243" s="337" t="s">
        <v>15</v>
      </c>
      <c r="C243">
        <v>8656.7882490000011</v>
      </c>
      <c r="D243">
        <v>5396.9491104094404</v>
      </c>
    </row>
    <row r="244" spans="1:4" x14ac:dyDescent="0.2">
      <c r="A244" s="73">
        <v>45280</v>
      </c>
      <c r="B244" s="337" t="s">
        <v>16</v>
      </c>
      <c r="C244">
        <v>81402.458867199995</v>
      </c>
      <c r="D244">
        <v>7095.3126411515341</v>
      </c>
    </row>
    <row r="245" spans="1:4" x14ac:dyDescent="0.2">
      <c r="A245" s="73"/>
      <c r="B245" s="337" t="s">
        <v>15</v>
      </c>
      <c r="C245">
        <v>8656.7882490000011</v>
      </c>
      <c r="D245">
        <v>5338.0579321982004</v>
      </c>
    </row>
    <row r="246" spans="1:4" x14ac:dyDescent="0.2">
      <c r="A246" s="73">
        <v>45279</v>
      </c>
      <c r="B246" s="337" t="s">
        <v>16</v>
      </c>
      <c r="C246">
        <v>81402.458867199995</v>
      </c>
      <c r="D246">
        <v>6624.2138189985644</v>
      </c>
    </row>
    <row r="247" spans="1:4" x14ac:dyDescent="0.2">
      <c r="A247" s="73"/>
      <c r="B247" s="337" t="s">
        <v>15</v>
      </c>
      <c r="C247">
        <v>8656.7882490000011</v>
      </c>
      <c r="D247">
        <v>5234.7627974783036</v>
      </c>
    </row>
    <row r="248" spans="1:4" x14ac:dyDescent="0.2">
      <c r="A248" s="73">
        <v>45278</v>
      </c>
      <c r="B248" s="337" t="s">
        <v>16</v>
      </c>
      <c r="C248">
        <v>81402.458867199995</v>
      </c>
      <c r="D248">
        <v>6457.8402174674266</v>
      </c>
    </row>
    <row r="249" spans="1:4" x14ac:dyDescent="0.2">
      <c r="A249" s="73"/>
      <c r="B249" s="337" t="s">
        <v>15</v>
      </c>
      <c r="C249">
        <v>8656.7882490000011</v>
      </c>
      <c r="D249">
        <v>5302.5714198327223</v>
      </c>
    </row>
    <row r="250" spans="1:4" x14ac:dyDescent="0.2">
      <c r="A250" s="73">
        <v>45277</v>
      </c>
      <c r="B250" s="337" t="s">
        <v>16</v>
      </c>
      <c r="C250">
        <v>81402.458867199995</v>
      </c>
      <c r="D250">
        <v>6382.5348027693799</v>
      </c>
    </row>
    <row r="251" spans="1:4" x14ac:dyDescent="0.2">
      <c r="A251" s="73"/>
      <c r="B251" s="337" t="s">
        <v>15</v>
      </c>
      <c r="C251">
        <v>8656.7882490000011</v>
      </c>
      <c r="D251">
        <v>5280.8883294660391</v>
      </c>
    </row>
    <row r="252" spans="1:4" x14ac:dyDescent="0.2">
      <c r="A252" s="73">
        <v>45276</v>
      </c>
      <c r="B252" s="337" t="s">
        <v>16</v>
      </c>
      <c r="C252">
        <v>81402.458867199995</v>
      </c>
      <c r="D252">
        <v>6496.6024403308102</v>
      </c>
    </row>
    <row r="253" spans="1:4" x14ac:dyDescent="0.2">
      <c r="A253" s="73"/>
      <c r="B253" s="337" t="s">
        <v>15</v>
      </c>
      <c r="C253">
        <v>8656.7882490000011</v>
      </c>
      <c r="D253">
        <v>5364.5104800506697</v>
      </c>
    </row>
    <row r="254" spans="1:4" x14ac:dyDescent="0.2">
      <c r="A254" s="73">
        <v>45275</v>
      </c>
      <c r="B254" s="337" t="s">
        <v>16</v>
      </c>
      <c r="C254">
        <v>81402.458867199995</v>
      </c>
      <c r="D254">
        <v>6510.152693633845</v>
      </c>
    </row>
    <row r="255" spans="1:4" x14ac:dyDescent="0.2">
      <c r="A255" s="73"/>
      <c r="B255" s="337" t="s">
        <v>15</v>
      </c>
      <c r="C255">
        <v>8656.7882490000011</v>
      </c>
      <c r="D255">
        <v>5325.557270262997</v>
      </c>
    </row>
    <row r="256" spans="1:4" x14ac:dyDescent="0.2">
      <c r="A256" s="73">
        <v>45274</v>
      </c>
      <c r="B256" s="337" t="s">
        <v>16</v>
      </c>
      <c r="C256">
        <v>81402.458867199995</v>
      </c>
      <c r="D256">
        <v>6810.1166844365334</v>
      </c>
    </row>
    <row r="257" spans="1:4" x14ac:dyDescent="0.2">
      <c r="A257" s="73"/>
      <c r="B257" s="337" t="s">
        <v>15</v>
      </c>
      <c r="C257">
        <v>8656.7882490000011</v>
      </c>
      <c r="D257">
        <v>5472.8081129960146</v>
      </c>
    </row>
    <row r="258" spans="1:4" x14ac:dyDescent="0.2">
      <c r="A258" s="73">
        <v>45273</v>
      </c>
      <c r="B258" s="337" t="s">
        <v>16</v>
      </c>
      <c r="C258">
        <v>81402.458867199995</v>
      </c>
      <c r="D258">
        <v>6246.4217512975347</v>
      </c>
    </row>
    <row r="259" spans="1:4" x14ac:dyDescent="0.2">
      <c r="A259" s="73"/>
      <c r="B259" s="337" t="s">
        <v>15</v>
      </c>
      <c r="C259">
        <v>8656.7882490000011</v>
      </c>
      <c r="D259">
        <v>5437.5044319983554</v>
      </c>
    </row>
    <row r="260" spans="1:4" x14ac:dyDescent="0.2">
      <c r="A260" s="73">
        <v>45272</v>
      </c>
      <c r="B260" s="337" t="s">
        <v>16</v>
      </c>
      <c r="C260">
        <v>81402.458867199995</v>
      </c>
      <c r="D260">
        <v>6149.5495691472124</v>
      </c>
    </row>
    <row r="261" spans="1:4" x14ac:dyDescent="0.2">
      <c r="A261" s="73"/>
      <c r="B261" s="337" t="s">
        <v>15</v>
      </c>
      <c r="C261">
        <v>8656.7882490000011</v>
      </c>
      <c r="D261">
        <v>5358.9252934081796</v>
      </c>
    </row>
    <row r="262" spans="1:4" x14ac:dyDescent="0.2">
      <c r="A262" s="73">
        <v>45271</v>
      </c>
      <c r="B262" s="337" t="s">
        <v>16</v>
      </c>
      <c r="C262">
        <v>81402.458867199995</v>
      </c>
      <c r="D262">
        <v>5779.4166588009984</v>
      </c>
    </row>
    <row r="263" spans="1:4" x14ac:dyDescent="0.2">
      <c r="A263" s="73"/>
      <c r="B263" s="337" t="s">
        <v>15</v>
      </c>
      <c r="C263">
        <v>8656.7882490000011</v>
      </c>
      <c r="D263">
        <v>5363.3902050833667</v>
      </c>
    </row>
    <row r="264" spans="1:4" x14ac:dyDescent="0.2">
      <c r="A264" s="73">
        <v>45270</v>
      </c>
      <c r="B264" s="337" t="s">
        <v>16</v>
      </c>
      <c r="C264">
        <v>81402.458867199995</v>
      </c>
      <c r="D264">
        <v>6109.854474105211</v>
      </c>
    </row>
    <row r="265" spans="1:4" x14ac:dyDescent="0.2">
      <c r="A265" s="73"/>
      <c r="B265" s="337" t="s">
        <v>15</v>
      </c>
      <c r="C265">
        <v>8656.7882490000011</v>
      </c>
      <c r="D265">
        <v>5726.9828429471436</v>
      </c>
    </row>
    <row r="266" spans="1:4" x14ac:dyDescent="0.2">
      <c r="A266" s="73">
        <v>45269</v>
      </c>
      <c r="B266" s="337" t="s">
        <v>16</v>
      </c>
      <c r="C266">
        <v>81402.458867199995</v>
      </c>
      <c r="D266">
        <v>6060.7044834657854</v>
      </c>
    </row>
    <row r="267" spans="1:4" x14ac:dyDescent="0.2">
      <c r="A267" s="73"/>
      <c r="B267" s="337" t="s">
        <v>15</v>
      </c>
      <c r="C267">
        <v>8656.7882490000011</v>
      </c>
      <c r="D267">
        <v>5704.1503908046416</v>
      </c>
    </row>
    <row r="268" spans="1:4" x14ac:dyDescent="0.2">
      <c r="A268" s="73">
        <v>45268</v>
      </c>
      <c r="B268" s="337" t="s">
        <v>16</v>
      </c>
      <c r="C268">
        <v>81402.458867199995</v>
      </c>
      <c r="D268">
        <v>6043.7011378576026</v>
      </c>
    </row>
    <row r="269" spans="1:4" x14ac:dyDescent="0.2">
      <c r="A269" s="73"/>
      <c r="B269" s="337" t="s">
        <v>15</v>
      </c>
      <c r="C269">
        <v>8656.7882490000011</v>
      </c>
      <c r="D269">
        <v>5832.4379329030471</v>
      </c>
    </row>
    <row r="270" spans="1:4" x14ac:dyDescent="0.2">
      <c r="A270" s="73">
        <v>45267</v>
      </c>
      <c r="B270" s="337" t="s">
        <v>16</v>
      </c>
      <c r="C270">
        <v>81402.458867199995</v>
      </c>
      <c r="D270">
        <v>5631.347214170738</v>
      </c>
    </row>
    <row r="271" spans="1:4" x14ac:dyDescent="0.2">
      <c r="A271" s="73"/>
      <c r="B271" s="337" t="s">
        <v>15</v>
      </c>
      <c r="C271">
        <v>8656.7882490000011</v>
      </c>
      <c r="D271">
        <v>5567.1529943452688</v>
      </c>
    </row>
    <row r="272" spans="1:4" x14ac:dyDescent="0.2">
      <c r="A272" s="73">
        <v>45266</v>
      </c>
      <c r="B272" s="337" t="s">
        <v>16</v>
      </c>
      <c r="C272">
        <v>81354.157356489988</v>
      </c>
      <c r="D272">
        <v>5584.5431150710783</v>
      </c>
    </row>
    <row r="273" spans="1:4" x14ac:dyDescent="0.2">
      <c r="A273" s="73"/>
      <c r="B273" s="337" t="s">
        <v>15</v>
      </c>
      <c r="C273">
        <v>8656.7882490000011</v>
      </c>
      <c r="D273">
        <v>5555.8749306144709</v>
      </c>
    </row>
    <row r="274" spans="1:4" x14ac:dyDescent="0.2">
      <c r="A274" s="73">
        <v>45265</v>
      </c>
      <c r="B274" s="337" t="s">
        <v>16</v>
      </c>
      <c r="C274">
        <v>81354.157356489988</v>
      </c>
      <c r="D274">
        <v>5355.6881756362563</v>
      </c>
    </row>
    <row r="275" spans="1:4" x14ac:dyDescent="0.2">
      <c r="A275" s="73"/>
      <c r="B275" s="337" t="s">
        <v>15</v>
      </c>
      <c r="C275">
        <v>8656.7882490000011</v>
      </c>
      <c r="D275">
        <v>5382.3400011283102</v>
      </c>
    </row>
    <row r="276" spans="1:4" x14ac:dyDescent="0.2">
      <c r="A276" s="73">
        <v>45264</v>
      </c>
      <c r="B276" s="337" t="s">
        <v>16</v>
      </c>
      <c r="C276">
        <v>81354.157356489988</v>
      </c>
      <c r="D276">
        <v>5199.5069049679878</v>
      </c>
    </row>
    <row r="277" spans="1:4" x14ac:dyDescent="0.2">
      <c r="A277" s="73"/>
      <c r="B277" s="337" t="s">
        <v>15</v>
      </c>
      <c r="C277">
        <v>8656.7882490000011</v>
      </c>
      <c r="D277">
        <v>5405.3737235976023</v>
      </c>
    </row>
    <row r="278" spans="1:4" x14ac:dyDescent="0.2">
      <c r="A278" s="73">
        <v>45263</v>
      </c>
      <c r="B278" s="337" t="s">
        <v>16</v>
      </c>
      <c r="C278">
        <v>81354.157356489988</v>
      </c>
      <c r="D278">
        <v>5059.5313824451323</v>
      </c>
    </row>
    <row r="279" spans="1:4" x14ac:dyDescent="0.2">
      <c r="A279" s="73"/>
      <c r="B279" s="337" t="s">
        <v>15</v>
      </c>
      <c r="C279">
        <v>8656.7882490000011</v>
      </c>
      <c r="D279">
        <v>5394.2010995476776</v>
      </c>
    </row>
    <row r="280" spans="1:4" x14ac:dyDescent="0.2">
      <c r="A280" s="73">
        <v>45262</v>
      </c>
      <c r="B280" s="337" t="s">
        <v>16</v>
      </c>
      <c r="C280">
        <v>81354.157356489988</v>
      </c>
      <c r="D280">
        <v>5073.9725589174823</v>
      </c>
    </row>
    <row r="281" spans="1:4" x14ac:dyDescent="0.2">
      <c r="A281" s="73"/>
      <c r="B281" s="337" t="s">
        <v>15</v>
      </c>
      <c r="C281">
        <v>8656.7882490000011</v>
      </c>
      <c r="D281">
        <v>5372.2104334945079</v>
      </c>
    </row>
    <row r="282" spans="1:4" x14ac:dyDescent="0.2">
      <c r="A282" s="73">
        <v>45261</v>
      </c>
      <c r="B282" s="337" t="s">
        <v>16</v>
      </c>
      <c r="C282">
        <v>81354.157356489988</v>
      </c>
      <c r="D282">
        <v>4943.0395509848004</v>
      </c>
    </row>
    <row r="283" spans="1:4" x14ac:dyDescent="0.2">
      <c r="A283" s="73"/>
      <c r="B283" s="337" t="s">
        <v>15</v>
      </c>
      <c r="C283">
        <v>8656.7882490000011</v>
      </c>
      <c r="D283">
        <v>5306.6201996967793</v>
      </c>
    </row>
    <row r="284" spans="1:4" x14ac:dyDescent="0.2">
      <c r="A284" s="73">
        <v>45260</v>
      </c>
      <c r="B284" s="337" t="s">
        <v>16</v>
      </c>
      <c r="C284">
        <v>81354.157356489988</v>
      </c>
      <c r="D284">
        <v>4891.7449412299602</v>
      </c>
    </row>
    <row r="285" spans="1:4" x14ac:dyDescent="0.2">
      <c r="A285" s="73"/>
      <c r="B285" s="337" t="s">
        <v>15</v>
      </c>
      <c r="C285">
        <v>8656.7882490000011</v>
      </c>
      <c r="D285">
        <v>5244.4460211099886</v>
      </c>
    </row>
    <row r="286" spans="1:4" x14ac:dyDescent="0.2">
      <c r="A286" s="73">
        <v>45259</v>
      </c>
      <c r="B286" s="337" t="s">
        <v>16</v>
      </c>
      <c r="C286">
        <v>81354.157356489988</v>
      </c>
      <c r="D286">
        <v>4881.736752791965</v>
      </c>
    </row>
    <row r="287" spans="1:4" x14ac:dyDescent="0.2">
      <c r="A287" s="73"/>
      <c r="B287" s="337" t="s">
        <v>15</v>
      </c>
      <c r="C287">
        <v>8656.7882490000011</v>
      </c>
      <c r="D287">
        <v>5273.2402301838138</v>
      </c>
    </row>
    <row r="288" spans="1:4" x14ac:dyDescent="0.2">
      <c r="A288" s="73">
        <v>45258</v>
      </c>
      <c r="B288" s="337" t="s">
        <v>16</v>
      </c>
      <c r="C288">
        <v>81354.157356489988</v>
      </c>
      <c r="D288">
        <v>4961.332033266408</v>
      </c>
    </row>
    <row r="289" spans="1:4" x14ac:dyDescent="0.2">
      <c r="A289" s="73"/>
      <c r="B289" s="337" t="s">
        <v>15</v>
      </c>
      <c r="C289">
        <v>8656.7882490000011</v>
      </c>
      <c r="D289">
        <v>5291.6014511957064</v>
      </c>
    </row>
    <row r="290" spans="1:4" x14ac:dyDescent="0.2">
      <c r="A290" s="73">
        <v>45257</v>
      </c>
      <c r="B290" s="337" t="s">
        <v>16</v>
      </c>
      <c r="C290">
        <v>81354.157356489988</v>
      </c>
      <c r="D290">
        <v>5010.9507473797039</v>
      </c>
    </row>
    <row r="291" spans="1:4" x14ac:dyDescent="0.2">
      <c r="A291" s="73"/>
      <c r="B291" s="337" t="s">
        <v>15</v>
      </c>
      <c r="C291">
        <v>8656.7882490000011</v>
      </c>
      <c r="D291">
        <v>5229.3912603698009</v>
      </c>
    </row>
    <row r="292" spans="1:4" x14ac:dyDescent="0.2">
      <c r="A292" s="73">
        <v>45256</v>
      </c>
      <c r="B292" s="337" t="s">
        <v>16</v>
      </c>
      <c r="C292">
        <v>81354.157356489988</v>
      </c>
      <c r="D292">
        <v>5116.6704748644624</v>
      </c>
    </row>
    <row r="293" spans="1:4" x14ac:dyDescent="0.2">
      <c r="A293" s="73"/>
      <c r="B293" s="337" t="s">
        <v>15</v>
      </c>
      <c r="C293">
        <v>8656.7882490000011</v>
      </c>
      <c r="D293">
        <v>5339.9459777153079</v>
      </c>
    </row>
    <row r="294" spans="1:4" x14ac:dyDescent="0.2">
      <c r="A294" s="73">
        <v>45255</v>
      </c>
      <c r="B294" s="337" t="s">
        <v>16</v>
      </c>
      <c r="C294">
        <v>81354.157356489988</v>
      </c>
      <c r="D294">
        <v>5168.7054074512471</v>
      </c>
    </row>
    <row r="295" spans="1:4" x14ac:dyDescent="0.2">
      <c r="A295" s="73"/>
      <c r="B295" s="337" t="s">
        <v>15</v>
      </c>
      <c r="C295">
        <v>8656.7882490000011</v>
      </c>
      <c r="D295">
        <v>5395.2345469288439</v>
      </c>
    </row>
    <row r="296" spans="1:4" x14ac:dyDescent="0.2">
      <c r="A296" s="73">
        <v>45254</v>
      </c>
      <c r="B296" s="337" t="s">
        <v>16</v>
      </c>
      <c r="C296">
        <v>81354.157356489988</v>
      </c>
      <c r="D296">
        <v>5069.5908240022627</v>
      </c>
    </row>
    <row r="297" spans="1:4" x14ac:dyDescent="0.2">
      <c r="A297" s="73"/>
      <c r="B297" s="337" t="s">
        <v>15</v>
      </c>
      <c r="C297">
        <v>8656.7882490000011</v>
      </c>
      <c r="D297">
        <v>5384.344740151013</v>
      </c>
    </row>
    <row r="298" spans="1:4" x14ac:dyDescent="0.2">
      <c r="A298" s="73">
        <v>45253</v>
      </c>
      <c r="B298" s="337" t="s">
        <v>16</v>
      </c>
      <c r="C298">
        <v>81354.157356489988</v>
      </c>
      <c r="D298">
        <v>5000.5504319032507</v>
      </c>
    </row>
    <row r="299" spans="1:4" x14ac:dyDescent="0.2">
      <c r="A299" s="73"/>
      <c r="B299" s="337" t="s">
        <v>15</v>
      </c>
      <c r="C299">
        <v>8656.7882490000011</v>
      </c>
      <c r="D299">
        <v>5370.0079734281971</v>
      </c>
    </row>
    <row r="300" spans="1:4" x14ac:dyDescent="0.2">
      <c r="A300" s="73">
        <v>45252</v>
      </c>
      <c r="B300" s="337" t="s">
        <v>16</v>
      </c>
      <c r="C300">
        <v>81354.157356489988</v>
      </c>
      <c r="D300">
        <v>5081.645069497773</v>
      </c>
    </row>
    <row r="301" spans="1:4" x14ac:dyDescent="0.2">
      <c r="A301" s="73"/>
      <c r="B301" s="337" t="s">
        <v>15</v>
      </c>
      <c r="C301">
        <v>8656.7882490000011</v>
      </c>
      <c r="D301">
        <v>5295.5646154239812</v>
      </c>
    </row>
    <row r="302" spans="1:4" x14ac:dyDescent="0.2">
      <c r="A302" s="73">
        <v>45251</v>
      </c>
      <c r="B302" s="337" t="s">
        <v>16</v>
      </c>
      <c r="C302">
        <v>81354.157356489988</v>
      </c>
      <c r="D302">
        <v>4778.0167104950287</v>
      </c>
    </row>
    <row r="303" spans="1:4" x14ac:dyDescent="0.2">
      <c r="A303" s="73"/>
      <c r="B303" s="337" t="s">
        <v>15</v>
      </c>
      <c r="C303">
        <v>8656.7882490000011</v>
      </c>
      <c r="D303">
        <v>5022.3266855018474</v>
      </c>
    </row>
    <row r="304" spans="1:4" x14ac:dyDescent="0.2">
      <c r="A304" s="73">
        <v>45250</v>
      </c>
      <c r="B304" s="337" t="s">
        <v>16</v>
      </c>
      <c r="C304">
        <v>81354.157356489988</v>
      </c>
      <c r="D304">
        <v>5366.9492180975421</v>
      </c>
    </row>
    <row r="305" spans="1:4" x14ac:dyDescent="0.2">
      <c r="A305" s="73"/>
      <c r="B305" s="337" t="s">
        <v>15</v>
      </c>
      <c r="C305">
        <v>8656.7882490000011</v>
      </c>
      <c r="D305">
        <v>5299.742727704479</v>
      </c>
    </row>
    <row r="306" spans="1:4" x14ac:dyDescent="0.2">
      <c r="A306" s="73">
        <v>45249</v>
      </c>
      <c r="B306" s="337" t="s">
        <v>16</v>
      </c>
      <c r="C306">
        <v>81354.157356489988</v>
      </c>
      <c r="D306">
        <v>5091.9168454056035</v>
      </c>
    </row>
    <row r="307" spans="1:4" x14ac:dyDescent="0.2">
      <c r="A307" s="73"/>
      <c r="B307" s="337" t="s">
        <v>15</v>
      </c>
      <c r="C307">
        <v>8656.7882490000011</v>
      </c>
      <c r="D307">
        <v>5427.7258105601668</v>
      </c>
    </row>
    <row r="308" spans="1:4" x14ac:dyDescent="0.2">
      <c r="A308" s="73">
        <v>45248</v>
      </c>
      <c r="B308" s="337" t="s">
        <v>16</v>
      </c>
      <c r="C308">
        <v>81354.157356489988</v>
      </c>
      <c r="D308">
        <v>5012.6640659336317</v>
      </c>
    </row>
    <row r="309" spans="1:4" x14ac:dyDescent="0.2">
      <c r="A309" s="73"/>
      <c r="B309" s="337" t="s">
        <v>15</v>
      </c>
      <c r="C309">
        <v>8656.7882490000011</v>
      </c>
      <c r="D309">
        <v>5286.3558703562258</v>
      </c>
    </row>
    <row r="310" spans="1:4" x14ac:dyDescent="0.2">
      <c r="A310" s="73">
        <v>45247</v>
      </c>
      <c r="B310" s="337" t="s">
        <v>16</v>
      </c>
      <c r="C310">
        <v>81343.191817639992</v>
      </c>
      <c r="D310">
        <v>5176.417988765038</v>
      </c>
    </row>
    <row r="311" spans="1:4" x14ac:dyDescent="0.2">
      <c r="A311" s="73"/>
      <c r="B311" s="337" t="s">
        <v>15</v>
      </c>
      <c r="C311">
        <v>8656.7882490000011</v>
      </c>
      <c r="D311">
        <v>5304.2361202130051</v>
      </c>
    </row>
    <row r="312" spans="1:4" x14ac:dyDescent="0.2">
      <c r="A312" s="73">
        <v>45246</v>
      </c>
      <c r="B312" s="337" t="s">
        <v>16</v>
      </c>
      <c r="C312">
        <v>81343.191817639992</v>
      </c>
      <c r="D312">
        <v>4943.2160055749637</v>
      </c>
    </row>
    <row r="313" spans="1:4" x14ac:dyDescent="0.2">
      <c r="A313" s="73"/>
      <c r="B313" s="337" t="s">
        <v>15</v>
      </c>
      <c r="C313">
        <v>8656.7882490000011</v>
      </c>
      <c r="D313">
        <v>5300.8781520512184</v>
      </c>
    </row>
    <row r="314" spans="1:4" x14ac:dyDescent="0.2">
      <c r="A314" s="73">
        <v>45245</v>
      </c>
      <c r="B314" s="337" t="s">
        <v>16</v>
      </c>
      <c r="C314">
        <v>81343.191817639992</v>
      </c>
      <c r="D314">
        <v>5031.0015781845614</v>
      </c>
    </row>
    <row r="315" spans="1:4" x14ac:dyDescent="0.2">
      <c r="A315" s="73"/>
      <c r="B315" s="337" t="s">
        <v>15</v>
      </c>
      <c r="C315">
        <v>8656.7882490000011</v>
      </c>
      <c r="D315">
        <v>5626.0620055403006</v>
      </c>
    </row>
    <row r="316" spans="1:4" x14ac:dyDescent="0.2">
      <c r="A316" s="73">
        <v>45244</v>
      </c>
      <c r="B316" s="337" t="s">
        <v>16</v>
      </c>
      <c r="C316">
        <v>81343.191817639992</v>
      </c>
      <c r="D316">
        <v>4763.9307302173765</v>
      </c>
    </row>
    <row r="317" spans="1:4" x14ac:dyDescent="0.2">
      <c r="A317" s="73"/>
      <c r="B317" s="337" t="s">
        <v>15</v>
      </c>
      <c r="C317">
        <v>8656.7882490000011</v>
      </c>
      <c r="D317">
        <v>5450.1386681762406</v>
      </c>
    </row>
    <row r="318" spans="1:4" x14ac:dyDescent="0.2">
      <c r="A318" s="73">
        <v>45243</v>
      </c>
      <c r="B318" s="337" t="s">
        <v>16</v>
      </c>
      <c r="C318">
        <v>81287.410900080009</v>
      </c>
      <c r="D318">
        <v>4812.6260395838908</v>
      </c>
    </row>
    <row r="319" spans="1:4" x14ac:dyDescent="0.2">
      <c r="A319" s="73"/>
      <c r="B319" s="337" t="s">
        <v>15</v>
      </c>
      <c r="C319">
        <v>8656.7882490000011</v>
      </c>
      <c r="D319">
        <v>5808.9905890912178</v>
      </c>
    </row>
    <row r="320" spans="1:4" x14ac:dyDescent="0.2">
      <c r="A320" s="73">
        <v>45242</v>
      </c>
      <c r="B320" s="337" t="s">
        <v>16</v>
      </c>
      <c r="C320">
        <v>81287.410900080009</v>
      </c>
      <c r="D320">
        <v>5066.0045894782033</v>
      </c>
    </row>
    <row r="321" spans="1:4" x14ac:dyDescent="0.2">
      <c r="A321" s="73"/>
      <c r="B321" s="337" t="s">
        <v>15</v>
      </c>
      <c r="C321">
        <v>8656.7882490000011</v>
      </c>
      <c r="D321">
        <v>5725.679044068962</v>
      </c>
    </row>
    <row r="322" spans="1:4" x14ac:dyDescent="0.2">
      <c r="A322" s="73">
        <v>45241</v>
      </c>
      <c r="B322" s="337" t="s">
        <v>16</v>
      </c>
      <c r="C322">
        <v>81287.410900080009</v>
      </c>
      <c r="D322">
        <v>5036.9085736206289</v>
      </c>
    </row>
    <row r="323" spans="1:4" x14ac:dyDescent="0.2">
      <c r="A323" s="73"/>
      <c r="B323" s="337" t="s">
        <v>15</v>
      </c>
      <c r="C323">
        <v>8656.7882490000011</v>
      </c>
      <c r="D323">
        <v>5739.260852288583</v>
      </c>
    </row>
    <row r="324" spans="1:4" x14ac:dyDescent="0.2">
      <c r="A324" s="73">
        <v>45240</v>
      </c>
      <c r="B324" s="337" t="s">
        <v>16</v>
      </c>
      <c r="C324">
        <v>81287.410900080009</v>
      </c>
      <c r="D324">
        <v>5116.6238859939012</v>
      </c>
    </row>
    <row r="325" spans="1:4" x14ac:dyDescent="0.2">
      <c r="A325" s="73"/>
      <c r="B325" s="337" t="s">
        <v>15</v>
      </c>
      <c r="C325">
        <v>8656.7882490000011</v>
      </c>
      <c r="D325">
        <v>5709.9422149826341</v>
      </c>
    </row>
    <row r="326" spans="1:4" x14ac:dyDescent="0.2">
      <c r="A326" s="73">
        <v>45239</v>
      </c>
      <c r="B326" s="337" t="s">
        <v>16</v>
      </c>
      <c r="C326">
        <v>81287.410900080009</v>
      </c>
      <c r="D326">
        <v>4860.5026988558202</v>
      </c>
    </row>
    <row r="327" spans="1:4" x14ac:dyDescent="0.2">
      <c r="A327" s="73"/>
      <c r="B327" s="337" t="s">
        <v>15</v>
      </c>
      <c r="C327">
        <v>8656.7882490000011</v>
      </c>
      <c r="D327">
        <v>5780.7390740727233</v>
      </c>
    </row>
    <row r="328" spans="1:4" x14ac:dyDescent="0.2">
      <c r="A328" s="73">
        <v>45238</v>
      </c>
      <c r="B328" s="337" t="s">
        <v>16</v>
      </c>
      <c r="C328">
        <v>81287.410900080009</v>
      </c>
      <c r="D328">
        <v>4928.6621928955374</v>
      </c>
    </row>
    <row r="329" spans="1:4" x14ac:dyDescent="0.2">
      <c r="A329" s="73"/>
      <c r="B329" s="337" t="s">
        <v>15</v>
      </c>
      <c r="C329">
        <v>8656.7882490000011</v>
      </c>
      <c r="D329">
        <v>5957.8609437698578</v>
      </c>
    </row>
    <row r="330" spans="1:4" x14ac:dyDescent="0.2">
      <c r="A330" s="73">
        <v>45237</v>
      </c>
      <c r="B330" s="337" t="s">
        <v>16</v>
      </c>
      <c r="C330">
        <v>81287.410900080009</v>
      </c>
      <c r="D330">
        <v>4677.894594639336</v>
      </c>
    </row>
    <row r="331" spans="1:4" x14ac:dyDescent="0.2">
      <c r="A331" s="73"/>
      <c r="B331" s="337" t="s">
        <v>15</v>
      </c>
      <c r="C331">
        <v>8656.7882490000011</v>
      </c>
      <c r="D331">
        <v>5935.2717473771527</v>
      </c>
    </row>
    <row r="332" spans="1:4" x14ac:dyDescent="0.2">
      <c r="A332" s="73">
        <v>45236</v>
      </c>
      <c r="B332" s="337" t="s">
        <v>16</v>
      </c>
      <c r="C332">
        <v>81287.410900080009</v>
      </c>
      <c r="D332">
        <v>4767.0441239216707</v>
      </c>
    </row>
    <row r="333" spans="1:4" x14ac:dyDescent="0.2">
      <c r="A333" s="73"/>
      <c r="B333" s="337" t="s">
        <v>15</v>
      </c>
      <c r="C333">
        <v>8656.7882490000011</v>
      </c>
      <c r="D333">
        <v>6193.9523356118852</v>
      </c>
    </row>
    <row r="334" spans="1:4" x14ac:dyDescent="0.2">
      <c r="A334" s="73">
        <v>45235</v>
      </c>
      <c r="B334" s="337" t="s">
        <v>16</v>
      </c>
      <c r="C334">
        <v>81287.410900080009</v>
      </c>
      <c r="D334">
        <v>4546.4089560120201</v>
      </c>
    </row>
    <row r="335" spans="1:4" x14ac:dyDescent="0.2">
      <c r="A335" s="73"/>
      <c r="B335" s="337" t="s">
        <v>15</v>
      </c>
      <c r="C335">
        <v>8656.7882490000011</v>
      </c>
      <c r="D335">
        <v>5706.3856600984154</v>
      </c>
    </row>
    <row r="336" spans="1:4" x14ac:dyDescent="0.2">
      <c r="A336" s="73">
        <v>45234</v>
      </c>
      <c r="B336" s="337" t="s">
        <v>16</v>
      </c>
      <c r="C336">
        <v>81287.410900080009</v>
      </c>
      <c r="D336">
        <v>4525.3238144986481</v>
      </c>
    </row>
    <row r="337" spans="1:4" x14ac:dyDescent="0.2">
      <c r="A337" s="73"/>
      <c r="B337" s="337" t="s">
        <v>15</v>
      </c>
      <c r="C337">
        <v>8656.7882490000011</v>
      </c>
      <c r="D337">
        <v>5333.2757492336887</v>
      </c>
    </row>
    <row r="338" spans="1:4" x14ac:dyDescent="0.2">
      <c r="A338" s="73">
        <v>45233</v>
      </c>
      <c r="B338" s="337" t="s">
        <v>16</v>
      </c>
      <c r="C338">
        <v>81287.410900080009</v>
      </c>
      <c r="D338">
        <v>4453.3592567546984</v>
      </c>
    </row>
    <row r="339" spans="1:4" x14ac:dyDescent="0.2">
      <c r="A339" s="73"/>
      <c r="B339" s="337" t="s">
        <v>15</v>
      </c>
      <c r="C339">
        <v>8656.7882490000011</v>
      </c>
      <c r="D339">
        <v>5305.3830580881149</v>
      </c>
    </row>
    <row r="340" spans="1:4" x14ac:dyDescent="0.2">
      <c r="A340" s="73">
        <v>45232</v>
      </c>
      <c r="B340" s="337" t="s">
        <v>16</v>
      </c>
      <c r="C340">
        <v>81287.410900080009</v>
      </c>
      <c r="D340">
        <v>4507.4105077585973</v>
      </c>
    </row>
    <row r="341" spans="1:4" x14ac:dyDescent="0.2">
      <c r="A341" s="73"/>
      <c r="B341" s="337" t="s">
        <v>15</v>
      </c>
      <c r="C341">
        <v>8656.7882490000011</v>
      </c>
      <c r="D341">
        <v>5250.8914328007822</v>
      </c>
    </row>
    <row r="342" spans="1:4" x14ac:dyDescent="0.2">
      <c r="A342" s="73">
        <v>45231</v>
      </c>
      <c r="B342" s="337" t="s">
        <v>16</v>
      </c>
      <c r="C342">
        <v>81287.410900080009</v>
      </c>
      <c r="D342">
        <v>4358.7260787330433</v>
      </c>
    </row>
    <row r="343" spans="1:4" x14ac:dyDescent="0.2">
      <c r="A343" s="73"/>
      <c r="B343" s="337" t="s">
        <v>15</v>
      </c>
      <c r="C343">
        <v>8656.7882490000011</v>
      </c>
      <c r="D343">
        <v>5275.3123190190936</v>
      </c>
    </row>
    <row r="344" spans="1:4" x14ac:dyDescent="0.2">
      <c r="A344" s="73">
        <v>45230</v>
      </c>
      <c r="B344" s="337" t="s">
        <v>16</v>
      </c>
      <c r="C344">
        <v>81287.410900080009</v>
      </c>
      <c r="D344">
        <v>4267.8126126341758</v>
      </c>
    </row>
    <row r="345" spans="1:4" x14ac:dyDescent="0.2">
      <c r="A345" s="73"/>
      <c r="B345" s="337" t="s">
        <v>15</v>
      </c>
      <c r="C345">
        <v>8656.7882490000011</v>
      </c>
      <c r="D345">
        <v>5197.931366490463</v>
      </c>
    </row>
    <row r="346" spans="1:4" x14ac:dyDescent="0.2">
      <c r="A346" s="73">
        <v>45229</v>
      </c>
      <c r="B346" s="337" t="s">
        <v>16</v>
      </c>
      <c r="C346">
        <v>81287.410900080009</v>
      </c>
      <c r="D346">
        <v>4369.5909540739494</v>
      </c>
    </row>
    <row r="347" spans="1:4" x14ac:dyDescent="0.2">
      <c r="A347" s="73"/>
      <c r="B347" s="337" t="s">
        <v>15</v>
      </c>
      <c r="C347">
        <v>8656.7882490000011</v>
      </c>
      <c r="D347">
        <v>5009.3208134044326</v>
      </c>
    </row>
    <row r="348" spans="1:4" x14ac:dyDescent="0.2">
      <c r="A348" s="73">
        <v>45228</v>
      </c>
      <c r="B348" s="337" t="s">
        <v>16</v>
      </c>
      <c r="C348">
        <v>81287.410900080009</v>
      </c>
      <c r="D348">
        <v>4266.2079991430082</v>
      </c>
    </row>
    <row r="349" spans="1:4" x14ac:dyDescent="0.2">
      <c r="A349" s="73"/>
      <c r="B349" s="337" t="s">
        <v>15</v>
      </c>
      <c r="C349">
        <v>8656.7882490000011</v>
      </c>
      <c r="D349">
        <v>4817.1891116981215</v>
      </c>
    </row>
    <row r="350" spans="1:4" x14ac:dyDescent="0.2">
      <c r="A350" s="73">
        <v>45227</v>
      </c>
      <c r="B350" s="337" t="s">
        <v>16</v>
      </c>
      <c r="C350">
        <v>81287.410900080009</v>
      </c>
      <c r="D350">
        <v>4219.9018126496676</v>
      </c>
    </row>
    <row r="351" spans="1:4" x14ac:dyDescent="0.2">
      <c r="A351" s="73"/>
      <c r="B351" s="337" t="s">
        <v>15</v>
      </c>
      <c r="C351">
        <v>8656.7882490000011</v>
      </c>
      <c r="D351">
        <v>4718.9456457609303</v>
      </c>
    </row>
    <row r="352" spans="1:4" x14ac:dyDescent="0.2">
      <c r="A352" s="73">
        <v>45226</v>
      </c>
      <c r="B352" s="337" t="s">
        <v>16</v>
      </c>
      <c r="C352">
        <v>81287.410900080009</v>
      </c>
      <c r="D352">
        <v>4143.6021972824174</v>
      </c>
    </row>
    <row r="353" spans="1:4" x14ac:dyDescent="0.2">
      <c r="A353" s="73"/>
      <c r="B353" s="337" t="s">
        <v>15</v>
      </c>
      <c r="C353">
        <v>8656.7882490000011</v>
      </c>
      <c r="D353">
        <v>4726.1391770922019</v>
      </c>
    </row>
    <row r="354" spans="1:4" x14ac:dyDescent="0.2">
      <c r="A354" s="73">
        <v>45225</v>
      </c>
      <c r="B354" s="337" t="s">
        <v>16</v>
      </c>
      <c r="C354">
        <v>81287.410900080009</v>
      </c>
      <c r="D354">
        <v>4304.8325253062903</v>
      </c>
    </row>
    <row r="355" spans="1:4" x14ac:dyDescent="0.2">
      <c r="A355" s="73"/>
      <c r="B355" s="337" t="s">
        <v>15</v>
      </c>
      <c r="C355">
        <v>8656.7882490000011</v>
      </c>
      <c r="D355">
        <v>4794.4480752395284</v>
      </c>
    </row>
    <row r="356" spans="1:4" x14ac:dyDescent="0.2">
      <c r="A356" s="73">
        <v>45224</v>
      </c>
      <c r="B356" s="337" t="s">
        <v>16</v>
      </c>
      <c r="C356">
        <v>81271.729410449989</v>
      </c>
      <c r="D356">
        <v>4227.037734560914</v>
      </c>
    </row>
    <row r="357" spans="1:4" x14ac:dyDescent="0.2">
      <c r="A357" s="73"/>
      <c r="B357" s="337" t="s">
        <v>15</v>
      </c>
      <c r="C357">
        <v>8656.7882490000011</v>
      </c>
      <c r="D357">
        <v>4802.523819861256</v>
      </c>
    </row>
    <row r="358" spans="1:4" x14ac:dyDescent="0.2">
      <c r="A358" s="73">
        <v>45223</v>
      </c>
      <c r="B358" s="337" t="s">
        <v>16</v>
      </c>
      <c r="C358">
        <v>81271.729410449989</v>
      </c>
      <c r="D358">
        <v>4174.8263374357593</v>
      </c>
    </row>
    <row r="359" spans="1:4" x14ac:dyDescent="0.2">
      <c r="A359" s="73"/>
      <c r="B359" s="337" t="s">
        <v>15</v>
      </c>
      <c r="C359">
        <v>8656.7882490000011</v>
      </c>
      <c r="D359">
        <v>4832.6307443051583</v>
      </c>
    </row>
    <row r="360" spans="1:4" x14ac:dyDescent="0.2">
      <c r="A360" s="73">
        <v>45222</v>
      </c>
      <c r="B360" s="337" t="s">
        <v>16</v>
      </c>
      <c r="C360">
        <v>81271.729410449989</v>
      </c>
      <c r="D360">
        <v>4202.2579842636678</v>
      </c>
    </row>
    <row r="361" spans="1:4" x14ac:dyDescent="0.2">
      <c r="A361" s="73"/>
      <c r="B361" s="337" t="s">
        <v>15</v>
      </c>
      <c r="C361">
        <v>8656.7882490000011</v>
      </c>
      <c r="D361">
        <v>4724.6572215118558</v>
      </c>
    </row>
    <row r="362" spans="1:4" x14ac:dyDescent="0.2">
      <c r="A362" s="73">
        <v>45221</v>
      </c>
      <c r="B362" s="337" t="s">
        <v>16</v>
      </c>
      <c r="C362">
        <v>81271.729410449989</v>
      </c>
      <c r="D362">
        <v>4062.7688769246301</v>
      </c>
    </row>
    <row r="363" spans="1:4" x14ac:dyDescent="0.2">
      <c r="A363" s="73"/>
      <c r="B363" s="337" t="s">
        <v>15</v>
      </c>
      <c r="C363">
        <v>8656.7882490000011</v>
      </c>
      <c r="D363">
        <v>4526.5918974360329</v>
      </c>
    </row>
    <row r="364" spans="1:4" x14ac:dyDescent="0.2">
      <c r="A364" s="73">
        <v>45220</v>
      </c>
      <c r="B364" s="337" t="s">
        <v>16</v>
      </c>
      <c r="C364">
        <v>81271.729410449989</v>
      </c>
      <c r="D364">
        <v>3982.4252706640482</v>
      </c>
    </row>
    <row r="365" spans="1:4" x14ac:dyDescent="0.2">
      <c r="A365" s="73"/>
      <c r="B365" s="337" t="s">
        <v>15</v>
      </c>
      <c r="C365">
        <v>8656.7882490000011</v>
      </c>
      <c r="D365">
        <v>4508.5846524956414</v>
      </c>
    </row>
    <row r="366" spans="1:4" x14ac:dyDescent="0.2">
      <c r="A366" s="73">
        <v>45219</v>
      </c>
      <c r="B366" s="337" t="s">
        <v>16</v>
      </c>
      <c r="C366">
        <v>80974.262575690009</v>
      </c>
      <c r="D366">
        <v>3840.6602877504001</v>
      </c>
    </row>
    <row r="367" spans="1:4" x14ac:dyDescent="0.2">
      <c r="A367" s="73"/>
      <c r="B367" s="337" t="s">
        <v>15</v>
      </c>
      <c r="C367">
        <v>8656.7882490000011</v>
      </c>
      <c r="D367">
        <v>4473.4535012877832</v>
      </c>
    </row>
    <row r="368" spans="1:4" x14ac:dyDescent="0.2">
      <c r="A368" s="73">
        <v>45218</v>
      </c>
      <c r="B368" s="337" t="s">
        <v>16</v>
      </c>
      <c r="C368">
        <v>80974.262575690009</v>
      </c>
      <c r="D368">
        <v>3710.3386900758328</v>
      </c>
    </row>
    <row r="369" spans="1:4" x14ac:dyDescent="0.2">
      <c r="A369" s="73"/>
      <c r="B369" s="337" t="s">
        <v>15</v>
      </c>
      <c r="C369">
        <v>8656.7882490000011</v>
      </c>
      <c r="D369">
        <v>4502.2272803413398</v>
      </c>
    </row>
    <row r="370" spans="1:4" x14ac:dyDescent="0.2">
      <c r="A370" s="73">
        <v>45217</v>
      </c>
      <c r="B370" s="337" t="s">
        <v>16</v>
      </c>
      <c r="C370">
        <v>80974.262575690009</v>
      </c>
      <c r="D370">
        <v>3841.1388456422219</v>
      </c>
    </row>
    <row r="371" spans="1:4" x14ac:dyDescent="0.2">
      <c r="A371" s="73"/>
      <c r="B371" s="337" t="s">
        <v>15</v>
      </c>
      <c r="C371">
        <v>8656.7882490000011</v>
      </c>
      <c r="D371">
        <v>4224.3846316137979</v>
      </c>
    </row>
    <row r="372" spans="1:4" x14ac:dyDescent="0.2">
      <c r="A372" s="73">
        <v>45216</v>
      </c>
      <c r="B372" s="337" t="s">
        <v>16</v>
      </c>
      <c r="C372">
        <v>80974.262575690009</v>
      </c>
      <c r="D372">
        <v>3786.2957873423329</v>
      </c>
    </row>
    <row r="373" spans="1:4" x14ac:dyDescent="0.2">
      <c r="A373" s="73"/>
      <c r="B373" s="337" t="s">
        <v>15</v>
      </c>
      <c r="C373">
        <v>8656.7882490000011</v>
      </c>
      <c r="D373">
        <v>4256.697565407193</v>
      </c>
    </row>
    <row r="374" spans="1:4" x14ac:dyDescent="0.2">
      <c r="A374" s="73">
        <v>45215</v>
      </c>
      <c r="B374" s="337" t="s">
        <v>16</v>
      </c>
      <c r="C374">
        <v>80974.262575690009</v>
      </c>
      <c r="D374">
        <v>3846.9455100115251</v>
      </c>
    </row>
    <row r="375" spans="1:4" x14ac:dyDescent="0.2">
      <c r="A375" s="73"/>
      <c r="B375" s="337" t="s">
        <v>15</v>
      </c>
      <c r="C375">
        <v>8656.7882490000011</v>
      </c>
      <c r="D375">
        <v>4315.5463253560129</v>
      </c>
    </row>
    <row r="376" spans="1:4" x14ac:dyDescent="0.2">
      <c r="A376" s="73">
        <v>45214</v>
      </c>
      <c r="B376" s="337" t="s">
        <v>16</v>
      </c>
      <c r="C376">
        <v>80974.262575690009</v>
      </c>
      <c r="D376">
        <v>3787.0755694909371</v>
      </c>
    </row>
    <row r="377" spans="1:4" x14ac:dyDescent="0.2">
      <c r="A377" s="73"/>
      <c r="B377" s="337" t="s">
        <v>15</v>
      </c>
      <c r="C377">
        <v>8656.7882490000011</v>
      </c>
      <c r="D377">
        <v>4221.7345290271314</v>
      </c>
    </row>
    <row r="378" spans="1:4" x14ac:dyDescent="0.2">
      <c r="A378" s="73">
        <v>45213</v>
      </c>
      <c r="B378" s="337" t="s">
        <v>16</v>
      </c>
      <c r="C378">
        <v>80974.262575690009</v>
      </c>
      <c r="D378">
        <v>3791.0562642391578</v>
      </c>
    </row>
    <row r="379" spans="1:4" x14ac:dyDescent="0.2">
      <c r="A379" s="73"/>
      <c r="B379" s="337" t="s">
        <v>15</v>
      </c>
      <c r="C379">
        <v>8656.7882490000011</v>
      </c>
      <c r="D379">
        <v>4212.6485372167463</v>
      </c>
    </row>
    <row r="380" spans="1:4" x14ac:dyDescent="0.2">
      <c r="A380" s="73">
        <v>45212</v>
      </c>
      <c r="B380" s="337" t="s">
        <v>16</v>
      </c>
      <c r="C380">
        <v>80974.262575690009</v>
      </c>
      <c r="D380">
        <v>3774.4808326899142</v>
      </c>
    </row>
    <row r="381" spans="1:4" x14ac:dyDescent="0.2">
      <c r="A381" s="73"/>
      <c r="B381" s="337" t="s">
        <v>15</v>
      </c>
      <c r="C381">
        <v>8656.7882490000011</v>
      </c>
      <c r="D381">
        <v>4202.6022478858986</v>
      </c>
    </row>
    <row r="382" spans="1:4" x14ac:dyDescent="0.2">
      <c r="A382" s="73">
        <v>45211</v>
      </c>
      <c r="B382" s="337" t="s">
        <v>16</v>
      </c>
      <c r="C382">
        <v>80974.262575690009</v>
      </c>
      <c r="D382">
        <v>3688.448917673747</v>
      </c>
    </row>
    <row r="383" spans="1:4" x14ac:dyDescent="0.2">
      <c r="A383" s="73"/>
      <c r="B383" s="337" t="s">
        <v>15</v>
      </c>
      <c r="C383">
        <v>8656.7882490000011</v>
      </c>
      <c r="D383">
        <v>4180.9182918403912</v>
      </c>
    </row>
    <row r="384" spans="1:4" x14ac:dyDescent="0.2">
      <c r="A384" s="73">
        <v>45210</v>
      </c>
      <c r="B384" s="337" t="s">
        <v>16</v>
      </c>
      <c r="C384">
        <v>80974.262575690009</v>
      </c>
      <c r="D384">
        <v>3774.091346486925</v>
      </c>
    </row>
    <row r="385" spans="1:4" x14ac:dyDescent="0.2">
      <c r="A385" s="73"/>
      <c r="B385" s="337" t="s">
        <v>15</v>
      </c>
      <c r="C385">
        <v>8656.7882490000011</v>
      </c>
      <c r="D385">
        <v>4230.320245044607</v>
      </c>
    </row>
    <row r="386" spans="1:4" x14ac:dyDescent="0.2">
      <c r="A386" s="73">
        <v>45209</v>
      </c>
      <c r="B386" s="337" t="s">
        <v>16</v>
      </c>
      <c r="C386">
        <v>80974.262575690009</v>
      </c>
      <c r="D386">
        <v>3799.471919348649</v>
      </c>
    </row>
    <row r="387" spans="1:4" x14ac:dyDescent="0.2">
      <c r="A387" s="73"/>
      <c r="B387" s="337" t="s">
        <v>15</v>
      </c>
      <c r="C387">
        <v>8656.7882490000011</v>
      </c>
      <c r="D387">
        <v>4304.7043906171994</v>
      </c>
    </row>
    <row r="388" spans="1:4" x14ac:dyDescent="0.2">
      <c r="A388" s="73">
        <v>45208</v>
      </c>
      <c r="B388" s="337" t="s">
        <v>16</v>
      </c>
      <c r="C388">
        <v>80974.262575690009</v>
      </c>
      <c r="D388">
        <v>3765.3485553566279</v>
      </c>
    </row>
    <row r="389" spans="1:4" x14ac:dyDescent="0.2">
      <c r="A389" s="73"/>
      <c r="B389" s="337" t="s">
        <v>15</v>
      </c>
      <c r="C389">
        <v>8656.7882490000011</v>
      </c>
      <c r="D389">
        <v>4353.3104387098028</v>
      </c>
    </row>
    <row r="390" spans="1:4" x14ac:dyDescent="0.2">
      <c r="A390" s="73">
        <v>45207</v>
      </c>
      <c r="B390" s="337" t="s">
        <v>16</v>
      </c>
      <c r="C390">
        <v>80974.262575690009</v>
      </c>
      <c r="D390">
        <v>3892.3825979706221</v>
      </c>
    </row>
    <row r="391" spans="1:4" x14ac:dyDescent="0.2">
      <c r="A391" s="73"/>
      <c r="B391" s="337" t="s">
        <v>15</v>
      </c>
      <c r="C391">
        <v>8656.7882490000011</v>
      </c>
      <c r="D391">
        <v>4483.8031244788754</v>
      </c>
    </row>
    <row r="392" spans="1:4" x14ac:dyDescent="0.2">
      <c r="A392" s="73">
        <v>45206</v>
      </c>
      <c r="B392" s="337" t="s">
        <v>16</v>
      </c>
      <c r="C392">
        <v>80974.262575690009</v>
      </c>
      <c r="D392">
        <v>3908.9475028657312</v>
      </c>
    </row>
    <row r="393" spans="1:4" x14ac:dyDescent="0.2">
      <c r="A393" s="73"/>
      <c r="B393" s="337" t="s">
        <v>15</v>
      </c>
      <c r="C393">
        <v>8656.7882490000011</v>
      </c>
      <c r="D393">
        <v>4517.6434619909242</v>
      </c>
    </row>
    <row r="394" spans="1:4" x14ac:dyDescent="0.2">
      <c r="A394" s="73">
        <v>45205</v>
      </c>
      <c r="B394" s="337" t="s">
        <v>16</v>
      </c>
      <c r="C394">
        <v>80974.262575690009</v>
      </c>
      <c r="D394">
        <v>3927.3861521968411</v>
      </c>
    </row>
    <row r="395" spans="1:4" x14ac:dyDescent="0.2">
      <c r="A395" s="73"/>
      <c r="B395" s="337" t="s">
        <v>15</v>
      </c>
      <c r="C395">
        <v>8656.7882490000011</v>
      </c>
      <c r="D395">
        <v>4553.928043665077</v>
      </c>
    </row>
    <row r="396" spans="1:4" x14ac:dyDescent="0.2">
      <c r="A396" s="73">
        <v>45204</v>
      </c>
      <c r="B396" s="337" t="s">
        <v>16</v>
      </c>
      <c r="C396">
        <v>80974.262575690009</v>
      </c>
      <c r="D396">
        <v>3893.6814251423361</v>
      </c>
    </row>
    <row r="397" spans="1:4" x14ac:dyDescent="0.2">
      <c r="A397" s="73"/>
      <c r="B397" s="337" t="s">
        <v>15</v>
      </c>
      <c r="C397">
        <v>8656.7882490000011</v>
      </c>
      <c r="D397">
        <v>4532.2802729944506</v>
      </c>
    </row>
    <row r="398" spans="1:4" x14ac:dyDescent="0.2">
      <c r="A398" s="73">
        <v>45203</v>
      </c>
      <c r="B398" s="337" t="s">
        <v>16</v>
      </c>
      <c r="C398">
        <v>80974.262575690009</v>
      </c>
      <c r="D398">
        <v>3954.653425376579</v>
      </c>
    </row>
    <row r="399" spans="1:4" x14ac:dyDescent="0.2">
      <c r="A399" s="73"/>
      <c r="B399" s="337" t="s">
        <v>15</v>
      </c>
      <c r="C399">
        <v>8656.7882490000011</v>
      </c>
      <c r="D399">
        <v>4614.0654531126438</v>
      </c>
    </row>
    <row r="400" spans="1:4" x14ac:dyDescent="0.2">
      <c r="A400" s="73">
        <v>45202</v>
      </c>
      <c r="B400" s="337" t="s">
        <v>16</v>
      </c>
      <c r="C400">
        <v>80974.262575690009</v>
      </c>
      <c r="D400">
        <v>3996.0272248396282</v>
      </c>
    </row>
    <row r="401" spans="1:4" x14ac:dyDescent="0.2">
      <c r="A401" s="73"/>
      <c r="B401" s="337" t="s">
        <v>15</v>
      </c>
      <c r="C401">
        <v>8656.7882490000011</v>
      </c>
      <c r="D401">
        <v>4654.2394431791899</v>
      </c>
    </row>
    <row r="402" spans="1:4" x14ac:dyDescent="0.2">
      <c r="A402" s="73">
        <v>45201</v>
      </c>
      <c r="B402" s="337" t="s">
        <v>16</v>
      </c>
      <c r="C402">
        <v>80974.262575690009</v>
      </c>
      <c r="D402">
        <v>4047.980311708191</v>
      </c>
    </row>
    <row r="403" spans="1:4" x14ac:dyDescent="0.2">
      <c r="A403" s="73"/>
      <c r="B403" s="337" t="s">
        <v>15</v>
      </c>
      <c r="C403">
        <v>8656.7882490000011</v>
      </c>
      <c r="D403">
        <v>4443.2780150809504</v>
      </c>
    </row>
    <row r="404" spans="1:4" x14ac:dyDescent="0.2">
      <c r="A404" s="73">
        <v>45200</v>
      </c>
      <c r="B404" s="337" t="s">
        <v>16</v>
      </c>
      <c r="C404">
        <v>80974.262575690009</v>
      </c>
      <c r="D404">
        <v>4110.5847530759593</v>
      </c>
    </row>
    <row r="405" spans="1:4" x14ac:dyDescent="0.2">
      <c r="A405" s="73"/>
      <c r="B405" s="337" t="s">
        <v>15</v>
      </c>
      <c r="C405">
        <v>8656.7882490000011</v>
      </c>
      <c r="D405">
        <v>4537.771793188087</v>
      </c>
    </row>
    <row r="406" spans="1:4" x14ac:dyDescent="0.2">
      <c r="A406" s="73">
        <v>45199</v>
      </c>
      <c r="B406" s="337" t="s">
        <v>16</v>
      </c>
      <c r="C406">
        <v>80974.262575690009</v>
      </c>
      <c r="D406">
        <v>4030.331971179819</v>
      </c>
    </row>
    <row r="407" spans="1:4" x14ac:dyDescent="0.2">
      <c r="A407" s="73"/>
      <c r="B407" s="337" t="s">
        <v>15</v>
      </c>
      <c r="C407">
        <v>8656.7882490000011</v>
      </c>
      <c r="D407">
        <v>4461.9417042742634</v>
      </c>
    </row>
    <row r="408" spans="1:4" x14ac:dyDescent="0.2">
      <c r="A408" s="73">
        <v>45198</v>
      </c>
      <c r="B408" s="337" t="s">
        <v>16</v>
      </c>
      <c r="C408">
        <v>80974.262575690009</v>
      </c>
      <c r="D408">
        <v>4009.7296895526861</v>
      </c>
    </row>
    <row r="409" spans="1:4" x14ac:dyDescent="0.2">
      <c r="A409" s="73"/>
      <c r="B409" s="337" t="s">
        <v>15</v>
      </c>
      <c r="C409">
        <v>8656.7882490000011</v>
      </c>
      <c r="D409">
        <v>4512.6919522482613</v>
      </c>
    </row>
    <row r="410" spans="1:4" x14ac:dyDescent="0.2">
      <c r="A410" s="73">
        <v>45197</v>
      </c>
      <c r="B410" s="337" t="s">
        <v>16</v>
      </c>
      <c r="C410">
        <v>80974.262575690009</v>
      </c>
      <c r="D410">
        <v>4038.2844535073768</v>
      </c>
    </row>
    <row r="411" spans="1:4" x14ac:dyDescent="0.2">
      <c r="A411" s="73"/>
      <c r="B411" s="337" t="s">
        <v>15</v>
      </c>
      <c r="C411">
        <v>8656.7882490000011</v>
      </c>
      <c r="D411">
        <v>4410.6716161659142</v>
      </c>
    </row>
    <row r="412" spans="1:4" x14ac:dyDescent="0.2">
      <c r="A412" s="73">
        <v>45196</v>
      </c>
      <c r="B412" s="337" t="s">
        <v>16</v>
      </c>
      <c r="C412">
        <v>80974.262575690009</v>
      </c>
      <c r="D412">
        <v>4003.144862520031</v>
      </c>
    </row>
    <row r="413" spans="1:4" x14ac:dyDescent="0.2">
      <c r="A413" s="73"/>
      <c r="B413" s="337" t="s">
        <v>15</v>
      </c>
      <c r="C413">
        <v>8656.7882490000011</v>
      </c>
      <c r="D413">
        <v>4321.7169705877814</v>
      </c>
    </row>
    <row r="414" spans="1:4" x14ac:dyDescent="0.2">
      <c r="A414" s="73">
        <v>45195</v>
      </c>
      <c r="B414" s="337" t="s">
        <v>16</v>
      </c>
      <c r="C414">
        <v>80974.262575690009</v>
      </c>
      <c r="D414">
        <v>3999.2621466295259</v>
      </c>
    </row>
    <row r="415" spans="1:4" x14ac:dyDescent="0.2">
      <c r="A415" s="73"/>
      <c r="B415" s="337" t="s">
        <v>15</v>
      </c>
      <c r="C415">
        <v>8656.7882490000011</v>
      </c>
      <c r="D415">
        <v>4342.8271547081458</v>
      </c>
    </row>
    <row r="416" spans="1:4" x14ac:dyDescent="0.2">
      <c r="A416" s="73">
        <v>45194</v>
      </c>
      <c r="B416" s="337" t="s">
        <v>16</v>
      </c>
      <c r="C416">
        <v>80974.262575690009</v>
      </c>
      <c r="D416">
        <v>4090.0237683227401</v>
      </c>
    </row>
    <row r="417" spans="1:4" x14ac:dyDescent="0.2">
      <c r="A417" s="73"/>
      <c r="B417" s="337" t="s">
        <v>15</v>
      </c>
      <c r="C417">
        <v>8656.7882490000011</v>
      </c>
      <c r="D417">
        <v>4374.8499129594338</v>
      </c>
    </row>
    <row r="418" spans="1:4" x14ac:dyDescent="0.2">
      <c r="A418" s="73">
        <v>45193</v>
      </c>
      <c r="B418" s="337" t="s">
        <v>16</v>
      </c>
      <c r="C418">
        <v>80974.262575690009</v>
      </c>
      <c r="D418">
        <v>4034.9086365005969</v>
      </c>
    </row>
    <row r="419" spans="1:4" x14ac:dyDescent="0.2">
      <c r="A419" s="73"/>
      <c r="B419" s="337" t="s">
        <v>15</v>
      </c>
      <c r="C419">
        <v>8656.7882490000011</v>
      </c>
      <c r="D419">
        <v>4347.1486234020467</v>
      </c>
    </row>
    <row r="420" spans="1:4" x14ac:dyDescent="0.2">
      <c r="A420" s="73">
        <v>45192</v>
      </c>
      <c r="B420" s="337" t="s">
        <v>16</v>
      </c>
      <c r="C420">
        <v>80974.262575690009</v>
      </c>
      <c r="D420">
        <v>4203.0152543208578</v>
      </c>
    </row>
    <row r="421" spans="1:4" x14ac:dyDescent="0.2">
      <c r="A421" s="73"/>
      <c r="B421" s="337" t="s">
        <v>15</v>
      </c>
      <c r="C421">
        <v>8656.7882490000011</v>
      </c>
      <c r="D421">
        <v>4392.6054184975465</v>
      </c>
    </row>
    <row r="422" spans="1:4" x14ac:dyDescent="0.2">
      <c r="A422" s="73">
        <v>45191</v>
      </c>
      <c r="B422" s="337" t="s">
        <v>16</v>
      </c>
      <c r="C422">
        <v>80974.262575690009</v>
      </c>
      <c r="D422">
        <v>4082.251858600725</v>
      </c>
    </row>
    <row r="423" spans="1:4" x14ac:dyDescent="0.2">
      <c r="A423" s="73"/>
      <c r="B423" s="337" t="s">
        <v>15</v>
      </c>
      <c r="C423">
        <v>8656.7882490000011</v>
      </c>
      <c r="D423">
        <v>4433.9290300435596</v>
      </c>
    </row>
    <row r="424" spans="1:4" x14ac:dyDescent="0.2">
      <c r="A424" s="73">
        <v>45190</v>
      </c>
      <c r="B424" s="337" t="s">
        <v>16</v>
      </c>
      <c r="C424">
        <v>80974.262575690009</v>
      </c>
      <c r="D424">
        <v>4082.1595479413891</v>
      </c>
    </row>
    <row r="425" spans="1:4" x14ac:dyDescent="0.2">
      <c r="A425" s="73"/>
      <c r="B425" s="337" t="s">
        <v>15</v>
      </c>
      <c r="C425">
        <v>8656.7882490000011</v>
      </c>
      <c r="D425">
        <v>4386.2725450539901</v>
      </c>
    </row>
    <row r="426" spans="1:4" x14ac:dyDescent="0.2">
      <c r="A426" s="73">
        <v>45189</v>
      </c>
      <c r="B426" s="337" t="s">
        <v>16</v>
      </c>
      <c r="C426">
        <v>80974.262575690009</v>
      </c>
      <c r="D426">
        <v>4093.1558527991679</v>
      </c>
    </row>
    <row r="427" spans="1:4" x14ac:dyDescent="0.2">
      <c r="A427" s="73"/>
      <c r="B427" s="337" t="s">
        <v>15</v>
      </c>
      <c r="C427">
        <v>8656.7882490000011</v>
      </c>
      <c r="D427">
        <v>4515.6204571450153</v>
      </c>
    </row>
    <row r="428" spans="1:4" x14ac:dyDescent="0.2">
      <c r="A428" s="73">
        <v>45188</v>
      </c>
      <c r="B428" s="337" t="s">
        <v>16</v>
      </c>
      <c r="C428">
        <v>80974.262575690009</v>
      </c>
      <c r="D428">
        <v>4126.816044009257</v>
      </c>
    </row>
    <row r="429" spans="1:4" x14ac:dyDescent="0.2">
      <c r="A429" s="73"/>
      <c r="B429" s="337" t="s">
        <v>15</v>
      </c>
      <c r="C429">
        <v>8656.7882490000011</v>
      </c>
      <c r="D429">
        <v>4450.8324479143221</v>
      </c>
    </row>
    <row r="430" spans="1:4" x14ac:dyDescent="0.2">
      <c r="A430" s="73">
        <v>45187</v>
      </c>
      <c r="B430" s="337" t="s">
        <v>16</v>
      </c>
      <c r="C430">
        <v>80974.262575690009</v>
      </c>
      <c r="D430">
        <v>4050.586063477876</v>
      </c>
    </row>
    <row r="431" spans="1:4" x14ac:dyDescent="0.2">
      <c r="A431" s="73"/>
      <c r="B431" s="337" t="s">
        <v>15</v>
      </c>
      <c r="C431">
        <v>8656.7882490000011</v>
      </c>
      <c r="D431">
        <v>4351.6280784814917</v>
      </c>
    </row>
    <row r="432" spans="1:4" x14ac:dyDescent="0.2">
      <c r="A432" s="73">
        <v>45186</v>
      </c>
      <c r="B432" s="337" t="s">
        <v>16</v>
      </c>
      <c r="C432">
        <v>80974.262575690009</v>
      </c>
      <c r="D432">
        <v>4017.7040349311401</v>
      </c>
    </row>
    <row r="433" spans="1:4" x14ac:dyDescent="0.2">
      <c r="A433" s="73"/>
      <c r="B433" s="337" t="s">
        <v>15</v>
      </c>
      <c r="C433">
        <v>8656.7882490000011</v>
      </c>
      <c r="D433">
        <v>4266.9446056575343</v>
      </c>
    </row>
    <row r="434" spans="1:4" x14ac:dyDescent="0.2">
      <c r="A434" s="73">
        <v>45185</v>
      </c>
      <c r="B434" s="337" t="s">
        <v>16</v>
      </c>
      <c r="C434">
        <v>80974.262575690009</v>
      </c>
      <c r="D434">
        <v>4184.3077704379966</v>
      </c>
    </row>
    <row r="435" spans="1:4" x14ac:dyDescent="0.2">
      <c r="A435" s="73"/>
      <c r="B435" s="337" t="s">
        <v>15</v>
      </c>
      <c r="C435">
        <v>8656.7882490000011</v>
      </c>
      <c r="D435">
        <v>4322.1166545012384</v>
      </c>
    </row>
    <row r="436" spans="1:4" x14ac:dyDescent="0.2">
      <c r="A436" s="73">
        <v>45184</v>
      </c>
      <c r="B436" s="337" t="s">
        <v>16</v>
      </c>
      <c r="C436">
        <v>80974.262575690009</v>
      </c>
      <c r="D436">
        <v>4208.921517033129</v>
      </c>
    </row>
    <row r="437" spans="1:4" x14ac:dyDescent="0.2">
      <c r="A437" s="73"/>
      <c r="B437" s="337" t="s">
        <v>15</v>
      </c>
      <c r="C437">
        <v>8656.7882490000011</v>
      </c>
      <c r="D437">
        <v>4332.6601031812252</v>
      </c>
    </row>
    <row r="438" spans="1:4" x14ac:dyDescent="0.2">
      <c r="A438" s="73">
        <v>45183</v>
      </c>
      <c r="B438" s="337" t="s">
        <v>16</v>
      </c>
      <c r="C438">
        <v>80974.262575690009</v>
      </c>
      <c r="D438">
        <v>4169.6724822200658</v>
      </c>
    </row>
    <row r="439" spans="1:4" x14ac:dyDescent="0.2">
      <c r="A439" s="73"/>
      <c r="B439" s="337" t="s">
        <v>15</v>
      </c>
      <c r="C439">
        <v>8656.7882490000011</v>
      </c>
      <c r="D439">
        <v>4233.4288977048227</v>
      </c>
    </row>
    <row r="440" spans="1:4" x14ac:dyDescent="0.2">
      <c r="A440" s="73">
        <v>45182</v>
      </c>
      <c r="B440" s="337" t="s">
        <v>16</v>
      </c>
      <c r="C440">
        <v>80974.262575690009</v>
      </c>
      <c r="D440">
        <v>4023.8702250262791</v>
      </c>
    </row>
    <row r="441" spans="1:4" x14ac:dyDescent="0.2">
      <c r="A441" s="73"/>
      <c r="B441" s="337" t="s">
        <v>15</v>
      </c>
      <c r="C441">
        <v>8656.7882490000011</v>
      </c>
      <c r="D441">
        <v>4188.8175245497214</v>
      </c>
    </row>
    <row r="442" spans="1:4" x14ac:dyDescent="0.2">
      <c r="A442" s="73">
        <v>45181</v>
      </c>
      <c r="B442" s="337" t="s">
        <v>16</v>
      </c>
      <c r="C442">
        <v>80974.262575690009</v>
      </c>
      <c r="D442">
        <v>3810.532193873863</v>
      </c>
    </row>
    <row r="443" spans="1:4" x14ac:dyDescent="0.2">
      <c r="A443" s="73"/>
      <c r="B443" s="337" t="s">
        <v>15</v>
      </c>
      <c r="C443">
        <v>8656.7882490000011</v>
      </c>
      <c r="D443">
        <v>4162.2372890705792</v>
      </c>
    </row>
    <row r="444" spans="1:4" x14ac:dyDescent="0.2">
      <c r="A444" s="73">
        <v>45180</v>
      </c>
      <c r="B444" s="337" t="s">
        <v>16</v>
      </c>
      <c r="C444">
        <v>80974.262575690009</v>
      </c>
      <c r="D444">
        <v>3755.3449949580272</v>
      </c>
    </row>
    <row r="445" spans="1:4" x14ac:dyDescent="0.2">
      <c r="A445" s="73"/>
      <c r="B445" s="337" t="s">
        <v>15</v>
      </c>
      <c r="C445">
        <v>8656.7882490000011</v>
      </c>
      <c r="D445">
        <v>4106.5735346543324</v>
      </c>
    </row>
    <row r="446" spans="1:4" x14ac:dyDescent="0.2">
      <c r="A446" s="73">
        <v>45179</v>
      </c>
      <c r="B446" s="337" t="s">
        <v>16</v>
      </c>
      <c r="C446">
        <v>80974.262575690009</v>
      </c>
      <c r="D446">
        <v>3872.2094799351398</v>
      </c>
    </row>
    <row r="447" spans="1:4" x14ac:dyDescent="0.2">
      <c r="A447" s="73"/>
      <c r="B447" s="337" t="s">
        <v>15</v>
      </c>
      <c r="C447">
        <v>8656.7882490000011</v>
      </c>
      <c r="D447">
        <v>4309.7533757955462</v>
      </c>
    </row>
    <row r="448" spans="1:4" x14ac:dyDescent="0.2">
      <c r="A448" s="73">
        <v>45178</v>
      </c>
      <c r="B448" s="337" t="s">
        <v>16</v>
      </c>
      <c r="C448">
        <v>80974.262575690009</v>
      </c>
      <c r="D448">
        <v>3967.9655941440219</v>
      </c>
    </row>
    <row r="449" spans="1:4" x14ac:dyDescent="0.2">
      <c r="A449" s="73"/>
      <c r="B449" s="337" t="s">
        <v>15</v>
      </c>
      <c r="C449">
        <v>8656.7882490000011</v>
      </c>
      <c r="D449">
        <v>4359.3628322140912</v>
      </c>
    </row>
    <row r="450" spans="1:4" x14ac:dyDescent="0.2">
      <c r="A450" s="73">
        <v>45177</v>
      </c>
      <c r="B450" s="337" t="s">
        <v>16</v>
      </c>
      <c r="C450">
        <v>80974.262575690009</v>
      </c>
      <c r="D450">
        <v>4037.277133680936</v>
      </c>
    </row>
    <row r="451" spans="1:4" x14ac:dyDescent="0.2">
      <c r="A451" s="73"/>
      <c r="B451" s="337" t="s">
        <v>15</v>
      </c>
      <c r="C451">
        <v>8656.7882490000011</v>
      </c>
      <c r="D451">
        <v>4370.2717704939496</v>
      </c>
    </row>
    <row r="452" spans="1:4" x14ac:dyDescent="0.2">
      <c r="A452" s="73">
        <v>45176</v>
      </c>
      <c r="B452" s="337" t="s">
        <v>16</v>
      </c>
      <c r="C452">
        <v>80974.262575690009</v>
      </c>
      <c r="D452">
        <v>4043.2959506181869</v>
      </c>
    </row>
    <row r="453" spans="1:4" x14ac:dyDescent="0.2">
      <c r="A453" s="73"/>
      <c r="B453" s="337" t="s">
        <v>15</v>
      </c>
      <c r="C453">
        <v>8656.7882490000011</v>
      </c>
      <c r="D453">
        <v>4365.1252233120376</v>
      </c>
    </row>
    <row r="454" spans="1:4" x14ac:dyDescent="0.2">
      <c r="A454" s="73">
        <v>45175</v>
      </c>
      <c r="B454" s="337" t="s">
        <v>16</v>
      </c>
      <c r="C454">
        <v>80974.262575690009</v>
      </c>
      <c r="D454">
        <v>3980.7927270786372</v>
      </c>
    </row>
    <row r="455" spans="1:4" x14ac:dyDescent="0.2">
      <c r="A455" s="73"/>
      <c r="B455" s="337" t="s">
        <v>15</v>
      </c>
      <c r="C455">
        <v>8656.7882490000011</v>
      </c>
      <c r="D455">
        <v>4356.5523193411709</v>
      </c>
    </row>
    <row r="456" spans="1:4" x14ac:dyDescent="0.2">
      <c r="A456" s="73">
        <v>45174</v>
      </c>
      <c r="B456" s="337" t="s">
        <v>16</v>
      </c>
      <c r="C456">
        <v>80974.262575690009</v>
      </c>
      <c r="D456">
        <v>4001.2298212101159</v>
      </c>
    </row>
    <row r="457" spans="1:4" x14ac:dyDescent="0.2">
      <c r="A457" s="73"/>
      <c r="B457" s="337" t="s">
        <v>15</v>
      </c>
      <c r="C457">
        <v>8656.7882490000011</v>
      </c>
      <c r="D457">
        <v>4373.0279187366677</v>
      </c>
    </row>
    <row r="458" spans="1:4" x14ac:dyDescent="0.2">
      <c r="A458" s="73">
        <v>45173</v>
      </c>
      <c r="B458" s="337" t="s">
        <v>16</v>
      </c>
      <c r="C458">
        <v>80974.262575690009</v>
      </c>
      <c r="D458">
        <v>3924.755298405757</v>
      </c>
    </row>
    <row r="459" spans="1:4" x14ac:dyDescent="0.2">
      <c r="A459" s="73"/>
      <c r="B459" s="337" t="s">
        <v>15</v>
      </c>
      <c r="C459">
        <v>8656.7882490000011</v>
      </c>
      <c r="D459">
        <v>4401.2586574633633</v>
      </c>
    </row>
    <row r="460" spans="1:4" x14ac:dyDescent="0.2">
      <c r="A460" s="73">
        <v>45172</v>
      </c>
      <c r="B460" s="337" t="s">
        <v>16</v>
      </c>
      <c r="C460">
        <v>80974.262575690009</v>
      </c>
      <c r="D460">
        <v>3937.537895495956</v>
      </c>
    </row>
    <row r="461" spans="1:4" x14ac:dyDescent="0.2">
      <c r="A461" s="73"/>
      <c r="B461" s="337" t="s">
        <v>15</v>
      </c>
      <c r="C461">
        <v>8656.7882490000011</v>
      </c>
      <c r="D461">
        <v>4367.6574204427534</v>
      </c>
    </row>
    <row r="462" spans="1:4" x14ac:dyDescent="0.2">
      <c r="A462" s="73">
        <v>45171</v>
      </c>
      <c r="B462" s="337" t="s">
        <v>16</v>
      </c>
      <c r="C462">
        <v>80974.262575690009</v>
      </c>
      <c r="D462">
        <v>4026.2864970215378</v>
      </c>
    </row>
    <row r="463" spans="1:4" x14ac:dyDescent="0.2">
      <c r="A463" s="73"/>
      <c r="B463" s="337" t="s">
        <v>15</v>
      </c>
      <c r="C463">
        <v>8656.7882490000011</v>
      </c>
      <c r="D463">
        <v>4316.3132302269914</v>
      </c>
    </row>
    <row r="464" spans="1:4" x14ac:dyDescent="0.2">
      <c r="A464" s="73">
        <v>45170</v>
      </c>
      <c r="B464" s="337" t="s">
        <v>16</v>
      </c>
      <c r="C464">
        <v>80974.262575690009</v>
      </c>
      <c r="D464">
        <v>4044.7194781542671</v>
      </c>
    </row>
    <row r="465" spans="1:4" x14ac:dyDescent="0.2">
      <c r="A465" s="73"/>
      <c r="B465" s="337" t="s">
        <v>15</v>
      </c>
      <c r="C465">
        <v>8656.7882490000011</v>
      </c>
      <c r="D465">
        <v>4309.6727810969478</v>
      </c>
    </row>
    <row r="466" spans="1:4" x14ac:dyDescent="0.2">
      <c r="A466" s="73">
        <v>45169</v>
      </c>
      <c r="B466" s="337" t="s">
        <v>16</v>
      </c>
      <c r="C466">
        <v>80974.262575690009</v>
      </c>
      <c r="D466">
        <v>4244.2886456983133</v>
      </c>
    </row>
    <row r="467" spans="1:4" x14ac:dyDescent="0.2">
      <c r="A467" s="73"/>
      <c r="B467" s="337" t="s">
        <v>15</v>
      </c>
      <c r="C467">
        <v>8656.7882490000011</v>
      </c>
      <c r="D467">
        <v>4417.7546003112457</v>
      </c>
    </row>
    <row r="468" spans="1:4" x14ac:dyDescent="0.2">
      <c r="A468" s="73">
        <v>45168</v>
      </c>
      <c r="B468" s="337" t="s">
        <v>16</v>
      </c>
      <c r="C468">
        <v>80974.262575690009</v>
      </c>
      <c r="D468">
        <v>4341.0464115352561</v>
      </c>
    </row>
    <row r="469" spans="1:4" x14ac:dyDescent="0.2">
      <c r="A469" s="73"/>
      <c r="B469" s="337" t="s">
        <v>15</v>
      </c>
      <c r="C469">
        <v>8656.7882490000011</v>
      </c>
      <c r="D469">
        <v>4569.7303180705676</v>
      </c>
    </row>
    <row r="470" spans="1:4" x14ac:dyDescent="0.2">
      <c r="A470" s="73">
        <v>45167</v>
      </c>
      <c r="B470" s="337" t="s">
        <v>16</v>
      </c>
      <c r="C470">
        <v>80974.262575690009</v>
      </c>
      <c r="D470">
        <v>4556.3148691074766</v>
      </c>
    </row>
    <row r="471" spans="1:4" x14ac:dyDescent="0.2">
      <c r="A471" s="73"/>
      <c r="B471" s="337" t="s">
        <v>15</v>
      </c>
      <c r="C471">
        <v>8656.7882490000011</v>
      </c>
      <c r="D471">
        <v>4674.8780920436311</v>
      </c>
    </row>
    <row r="472" spans="1:4" x14ac:dyDescent="0.2">
      <c r="A472" s="73">
        <v>45166</v>
      </c>
      <c r="B472" s="337" t="s">
        <v>16</v>
      </c>
      <c r="C472">
        <v>80974.262575690009</v>
      </c>
      <c r="D472">
        <v>4542.9759788333831</v>
      </c>
    </row>
    <row r="473" spans="1:4" x14ac:dyDescent="0.2">
      <c r="A473" s="73"/>
      <c r="B473" s="337" t="s">
        <v>15</v>
      </c>
      <c r="C473">
        <v>8656.7882490000011</v>
      </c>
      <c r="D473">
        <v>4530.0953862082861</v>
      </c>
    </row>
    <row r="474" spans="1:4" x14ac:dyDescent="0.2">
      <c r="A474" s="73">
        <v>45165</v>
      </c>
      <c r="B474" s="337" t="s">
        <v>16</v>
      </c>
      <c r="C474">
        <v>80974.262575690009</v>
      </c>
      <c r="D474">
        <v>4708.2023421338272</v>
      </c>
    </row>
    <row r="475" spans="1:4" x14ac:dyDescent="0.2">
      <c r="A475" s="73"/>
      <c r="B475" s="337" t="s">
        <v>15</v>
      </c>
      <c r="C475">
        <v>8656.7882490000011</v>
      </c>
      <c r="D475">
        <v>4532.2318815481394</v>
      </c>
    </row>
    <row r="476" spans="1:4" x14ac:dyDescent="0.2">
      <c r="A476" s="73">
        <v>45164</v>
      </c>
      <c r="B476" s="337" t="s">
        <v>16</v>
      </c>
      <c r="C476">
        <v>80974.262575690009</v>
      </c>
      <c r="D476">
        <v>4685.6574879475038</v>
      </c>
    </row>
    <row r="477" spans="1:4" x14ac:dyDescent="0.2">
      <c r="A477" s="73"/>
      <c r="B477" s="337" t="s">
        <v>15</v>
      </c>
      <c r="C477">
        <v>8656.7882490000011</v>
      </c>
      <c r="D477">
        <v>4526.7082446700997</v>
      </c>
    </row>
    <row r="478" spans="1:4" x14ac:dyDescent="0.2">
      <c r="A478" s="73">
        <v>45163</v>
      </c>
      <c r="B478" s="337" t="s">
        <v>16</v>
      </c>
      <c r="C478">
        <v>80974.262575690009</v>
      </c>
      <c r="D478">
        <v>4770.2415831488179</v>
      </c>
    </row>
    <row r="479" spans="1:4" x14ac:dyDescent="0.2">
      <c r="A479" s="73"/>
      <c r="B479" s="337" t="s">
        <v>15</v>
      </c>
      <c r="C479">
        <v>8656.7882490000011</v>
      </c>
      <c r="D479">
        <v>4556.0348462212369</v>
      </c>
    </row>
    <row r="480" spans="1:4" x14ac:dyDescent="0.2">
      <c r="A480" s="73">
        <v>45162</v>
      </c>
      <c r="B480" s="337" t="s">
        <v>16</v>
      </c>
      <c r="C480">
        <v>80974.262575690009</v>
      </c>
      <c r="D480">
        <v>4791.5621064849965</v>
      </c>
    </row>
    <row r="481" spans="1:4" x14ac:dyDescent="0.2">
      <c r="A481" s="73"/>
      <c r="B481" s="337" t="s">
        <v>15</v>
      </c>
      <c r="C481">
        <v>8656.7882490000011</v>
      </c>
      <c r="D481">
        <v>4485.1998106949704</v>
      </c>
    </row>
    <row r="482" spans="1:4" x14ac:dyDescent="0.2">
      <c r="A482" s="73">
        <v>45161</v>
      </c>
      <c r="B482" s="337" t="s">
        <v>16</v>
      </c>
      <c r="C482">
        <v>80974.262575690009</v>
      </c>
      <c r="D482">
        <v>5007.4483976806696</v>
      </c>
    </row>
    <row r="483" spans="1:4" x14ac:dyDescent="0.2">
      <c r="A483" s="73"/>
      <c r="B483" s="337" t="s">
        <v>15</v>
      </c>
      <c r="C483">
        <v>8656.7882490000011</v>
      </c>
      <c r="D483">
        <v>4587.3998617013667</v>
      </c>
    </row>
    <row r="484" spans="1:4" x14ac:dyDescent="0.2">
      <c r="A484" s="73">
        <v>45160</v>
      </c>
      <c r="B484" s="337" t="s">
        <v>16</v>
      </c>
      <c r="C484">
        <v>80974.262575690009</v>
      </c>
      <c r="D484">
        <v>4768.824533553744</v>
      </c>
    </row>
    <row r="485" spans="1:4" x14ac:dyDescent="0.2">
      <c r="A485" s="73"/>
      <c r="B485" s="337" t="s">
        <v>15</v>
      </c>
      <c r="C485">
        <v>8656.7882490000011</v>
      </c>
      <c r="D485">
        <v>4509.5248662673648</v>
      </c>
    </row>
    <row r="486" spans="1:4" x14ac:dyDescent="0.2">
      <c r="A486" s="73">
        <v>45159</v>
      </c>
      <c r="B486" s="337" t="s">
        <v>16</v>
      </c>
      <c r="C486">
        <v>80974.262575690009</v>
      </c>
      <c r="D486">
        <v>4951.4741289325984</v>
      </c>
    </row>
    <row r="487" spans="1:4" x14ac:dyDescent="0.2">
      <c r="A487" s="73"/>
      <c r="B487" s="337" t="s">
        <v>15</v>
      </c>
      <c r="C487">
        <v>8656.7882490000011</v>
      </c>
      <c r="D487">
        <v>4539.6674566788524</v>
      </c>
    </row>
    <row r="488" spans="1:4" x14ac:dyDescent="0.2">
      <c r="A488" s="73">
        <v>45158</v>
      </c>
      <c r="B488" s="337" t="s">
        <v>16</v>
      </c>
      <c r="C488">
        <v>80974.262575690009</v>
      </c>
      <c r="D488">
        <v>4967.4892185848184</v>
      </c>
    </row>
    <row r="489" spans="1:4" x14ac:dyDescent="0.2">
      <c r="A489" s="73"/>
      <c r="B489" s="337" t="s">
        <v>15</v>
      </c>
      <c r="C489">
        <v>8656.7882490000011</v>
      </c>
      <c r="D489">
        <v>4666.2824207196691</v>
      </c>
    </row>
    <row r="490" spans="1:4" x14ac:dyDescent="0.2">
      <c r="A490" s="73">
        <v>45157</v>
      </c>
      <c r="B490" s="337" t="s">
        <v>16</v>
      </c>
      <c r="C490">
        <v>80974.262575690009</v>
      </c>
      <c r="D490">
        <v>5279.0279769332756</v>
      </c>
    </row>
    <row r="491" spans="1:4" x14ac:dyDescent="0.2">
      <c r="A491" s="73"/>
      <c r="B491" s="337" t="s">
        <v>15</v>
      </c>
      <c r="C491">
        <v>8656.7882490000011</v>
      </c>
      <c r="D491">
        <v>4499.2234613868204</v>
      </c>
    </row>
    <row r="492" spans="1:4" x14ac:dyDescent="0.2">
      <c r="A492" s="73">
        <v>45156</v>
      </c>
      <c r="B492" s="337" t="s">
        <v>16</v>
      </c>
      <c r="C492">
        <v>80974.262575690009</v>
      </c>
      <c r="D492">
        <v>4782.1820479082298</v>
      </c>
    </row>
    <row r="493" spans="1:4" x14ac:dyDescent="0.2">
      <c r="A493" s="73"/>
      <c r="B493" s="337" t="s">
        <v>15</v>
      </c>
      <c r="C493">
        <v>8656.7882490000011</v>
      </c>
      <c r="D493">
        <v>4376.3451999936833</v>
      </c>
    </row>
    <row r="494" spans="1:4" x14ac:dyDescent="0.2">
      <c r="A494" s="73">
        <v>45155</v>
      </c>
      <c r="B494" s="337" t="s">
        <v>16</v>
      </c>
      <c r="C494">
        <v>80974.262575690009</v>
      </c>
      <c r="D494">
        <v>4666.4722559154452</v>
      </c>
    </row>
    <row r="495" spans="1:4" x14ac:dyDescent="0.2">
      <c r="A495" s="73"/>
      <c r="B495" s="337" t="s">
        <v>15</v>
      </c>
      <c r="C495">
        <v>8656.7882490000011</v>
      </c>
      <c r="D495">
        <v>4367.6651249842926</v>
      </c>
    </row>
    <row r="496" spans="1:4" x14ac:dyDescent="0.2">
      <c r="A496" s="73">
        <v>45154</v>
      </c>
      <c r="B496" s="337" t="s">
        <v>16</v>
      </c>
      <c r="C496">
        <v>80974.262575690009</v>
      </c>
      <c r="D496">
        <v>5110.5245852263952</v>
      </c>
    </row>
    <row r="497" spans="1:4" x14ac:dyDescent="0.2">
      <c r="A497" s="73"/>
      <c r="B497" s="337" t="s">
        <v>15</v>
      </c>
      <c r="C497">
        <v>8656.7882490000011</v>
      </c>
      <c r="D497">
        <v>5101.0374072734076</v>
      </c>
    </row>
    <row r="498" spans="1:4" x14ac:dyDescent="0.2">
      <c r="A498" s="73">
        <v>45153</v>
      </c>
      <c r="B498" s="337" t="s">
        <v>16</v>
      </c>
      <c r="C498">
        <v>80974.262575690009</v>
      </c>
      <c r="D498">
        <v>5503.9242743257464</v>
      </c>
    </row>
    <row r="499" spans="1:4" x14ac:dyDescent="0.2">
      <c r="A499" s="73"/>
      <c r="B499" s="337" t="s">
        <v>15</v>
      </c>
      <c r="C499">
        <v>8656.7882490000011</v>
      </c>
      <c r="D499">
        <v>5274.8440733427051</v>
      </c>
    </row>
    <row r="500" spans="1:4" x14ac:dyDescent="0.2">
      <c r="A500" s="73">
        <v>45152</v>
      </c>
      <c r="B500" s="337" t="s">
        <v>16</v>
      </c>
      <c r="C500">
        <v>80974.262575690009</v>
      </c>
      <c r="D500">
        <v>5315.9514309251663</v>
      </c>
    </row>
    <row r="501" spans="1:4" x14ac:dyDescent="0.2">
      <c r="A501" s="73"/>
      <c r="B501" s="337" t="s">
        <v>15</v>
      </c>
      <c r="C501">
        <v>8656.7882490000011</v>
      </c>
      <c r="D501">
        <v>5494.2981569847443</v>
      </c>
    </row>
    <row r="502" spans="1:4" x14ac:dyDescent="0.2">
      <c r="A502" s="73">
        <v>45151</v>
      </c>
      <c r="B502" s="337" t="s">
        <v>16</v>
      </c>
      <c r="C502">
        <v>80974.262575690009</v>
      </c>
      <c r="D502">
        <v>4619.613259905519</v>
      </c>
    </row>
    <row r="503" spans="1:4" x14ac:dyDescent="0.2">
      <c r="A503" s="73"/>
      <c r="B503" s="337" t="s">
        <v>15</v>
      </c>
      <c r="C503">
        <v>8656.7882490000011</v>
      </c>
      <c r="D503">
        <v>5416.4589140862108</v>
      </c>
    </row>
    <row r="504" spans="1:4" x14ac:dyDescent="0.2">
      <c r="A504" s="73">
        <v>45150</v>
      </c>
      <c r="B504" s="337" t="s">
        <v>16</v>
      </c>
      <c r="C504">
        <v>80974.262575690009</v>
      </c>
      <c r="D504">
        <v>4551.779500660612</v>
      </c>
    </row>
    <row r="505" spans="1:4" x14ac:dyDescent="0.2">
      <c r="A505" s="73"/>
      <c r="B505" s="337" t="s">
        <v>15</v>
      </c>
      <c r="C505">
        <v>8656.7882490000011</v>
      </c>
      <c r="D505">
        <v>5428.5050946383426</v>
      </c>
    </row>
    <row r="506" spans="1:4" x14ac:dyDescent="0.2">
      <c r="A506" s="73">
        <v>45149</v>
      </c>
      <c r="B506" s="337" t="s">
        <v>16</v>
      </c>
      <c r="C506">
        <v>80974.262575690009</v>
      </c>
      <c r="D506">
        <v>4580.5618022931412</v>
      </c>
    </row>
    <row r="507" spans="1:4" x14ac:dyDescent="0.2">
      <c r="A507" s="73"/>
      <c r="B507" s="337" t="s">
        <v>15</v>
      </c>
      <c r="C507">
        <v>8656.7882490000011</v>
      </c>
      <c r="D507">
        <v>5467.7796444058195</v>
      </c>
    </row>
    <row r="508" spans="1:4" x14ac:dyDescent="0.2">
      <c r="A508" s="73">
        <v>45148</v>
      </c>
      <c r="B508" s="337" t="s">
        <v>16</v>
      </c>
      <c r="C508">
        <v>80974.262575690009</v>
      </c>
      <c r="D508">
        <v>4667.8374819824721</v>
      </c>
    </row>
    <row r="509" spans="1:4" x14ac:dyDescent="0.2">
      <c r="A509" s="73"/>
      <c r="B509" s="337" t="s">
        <v>15</v>
      </c>
      <c r="C509">
        <v>8656.7882490000011</v>
      </c>
      <c r="D509">
        <v>5481.5981292161669</v>
      </c>
    </row>
    <row r="510" spans="1:4" x14ac:dyDescent="0.2">
      <c r="A510" s="73">
        <v>45147</v>
      </c>
      <c r="B510" s="337" t="s">
        <v>16</v>
      </c>
      <c r="C510">
        <v>80974.262575690009</v>
      </c>
      <c r="D510">
        <v>4841.0819167631607</v>
      </c>
    </row>
    <row r="511" spans="1:4" x14ac:dyDescent="0.2">
      <c r="A511" s="73"/>
      <c r="B511" s="337" t="s">
        <v>15</v>
      </c>
      <c r="C511">
        <v>8656.7882490000011</v>
      </c>
      <c r="D511">
        <v>5571.5540189231788</v>
      </c>
    </row>
    <row r="512" spans="1:4" x14ac:dyDescent="0.2">
      <c r="A512" s="73">
        <v>45146</v>
      </c>
      <c r="B512" s="337" t="s">
        <v>15</v>
      </c>
      <c r="C512">
        <v>8656.7882490000011</v>
      </c>
      <c r="D512">
        <v>5563.0616230830256</v>
      </c>
    </row>
    <row r="513" spans="1:4" x14ac:dyDescent="0.2">
      <c r="A513" s="73"/>
      <c r="B513" s="337" t="s">
        <v>40</v>
      </c>
      <c r="C513">
        <v>1.443747510000001</v>
      </c>
      <c r="D513">
        <v>2680.814110094394</v>
      </c>
    </row>
    <row r="514" spans="1:4" x14ac:dyDescent="0.2">
      <c r="A514" s="73"/>
      <c r="B514" s="337" t="s">
        <v>16</v>
      </c>
      <c r="C514">
        <v>36702.641885169993</v>
      </c>
      <c r="D514">
        <v>2266.5041167576042</v>
      </c>
    </row>
    <row r="515" spans="1:4" x14ac:dyDescent="0.2">
      <c r="A515" s="73">
        <v>45145</v>
      </c>
      <c r="B515" s="337" t="s">
        <v>15</v>
      </c>
      <c r="C515">
        <v>8656.7882490000011</v>
      </c>
      <c r="D515">
        <v>5374.4627566611334</v>
      </c>
    </row>
    <row r="516" spans="1:4" x14ac:dyDescent="0.2">
      <c r="A516" s="73"/>
      <c r="B516" s="337" t="s">
        <v>40</v>
      </c>
      <c r="C516">
        <v>1.443747510000001</v>
      </c>
      <c r="D516">
        <v>2637.6306707273088</v>
      </c>
    </row>
    <row r="517" spans="1:4" x14ac:dyDescent="0.2">
      <c r="A517" s="73"/>
      <c r="B517" s="337" t="s">
        <v>16</v>
      </c>
      <c r="C517">
        <v>36702.641885169993</v>
      </c>
      <c r="D517">
        <v>2068.9620565239861</v>
      </c>
    </row>
    <row r="518" spans="1:4" x14ac:dyDescent="0.2">
      <c r="A518" s="73">
        <v>45144</v>
      </c>
      <c r="B518" s="337" t="s">
        <v>15</v>
      </c>
      <c r="C518">
        <v>8656.7882490000011</v>
      </c>
      <c r="D518">
        <v>5385.8487705413954</v>
      </c>
    </row>
    <row r="519" spans="1:4" x14ac:dyDescent="0.2">
      <c r="A519" s="73"/>
      <c r="B519" s="337" t="s">
        <v>40</v>
      </c>
      <c r="C519">
        <v>1.443747510000001</v>
      </c>
      <c r="D519">
        <v>2637.3033640711828</v>
      </c>
    </row>
    <row r="520" spans="1:4" x14ac:dyDescent="0.2">
      <c r="A520" s="73"/>
      <c r="B520" s="337" t="s">
        <v>16</v>
      </c>
      <c r="C520">
        <v>36702.641885169993</v>
      </c>
      <c r="D520">
        <v>2106.0199799826041</v>
      </c>
    </row>
    <row r="521" spans="1:4" x14ac:dyDescent="0.2">
      <c r="A521" s="73">
        <v>45143</v>
      </c>
      <c r="B521" s="337" t="s">
        <v>15</v>
      </c>
      <c r="C521">
        <v>8656.7882490000011</v>
      </c>
      <c r="D521">
        <v>5440.1874303803679</v>
      </c>
    </row>
    <row r="522" spans="1:4" x14ac:dyDescent="0.2">
      <c r="A522" s="73"/>
      <c r="B522" s="337" t="s">
        <v>40</v>
      </c>
      <c r="C522">
        <v>1.443747510000001</v>
      </c>
      <c r="D522">
        <v>2649.3785774307621</v>
      </c>
    </row>
    <row r="523" spans="1:4" x14ac:dyDescent="0.2">
      <c r="A523" s="73"/>
      <c r="B523" s="337" t="s">
        <v>16</v>
      </c>
      <c r="C523">
        <v>36702.641885169993</v>
      </c>
      <c r="D523">
        <v>1927.5086065928649</v>
      </c>
    </row>
    <row r="524" spans="1:4" x14ac:dyDescent="0.2">
      <c r="A524" s="73">
        <v>45142</v>
      </c>
      <c r="B524" s="337" t="s">
        <v>15</v>
      </c>
      <c r="C524">
        <v>8656.7882490000011</v>
      </c>
      <c r="D524">
        <v>5504.0729694361034</v>
      </c>
    </row>
    <row r="525" spans="1:4" x14ac:dyDescent="0.2">
      <c r="A525" s="73"/>
      <c r="B525" s="337" t="s">
        <v>40</v>
      </c>
      <c r="C525">
        <v>1.443747510000001</v>
      </c>
      <c r="D525">
        <v>2639.836295651503</v>
      </c>
    </row>
    <row r="526" spans="1:4" x14ac:dyDescent="0.2">
      <c r="A526" s="73"/>
      <c r="B526" s="337" t="s">
        <v>16</v>
      </c>
      <c r="C526">
        <v>36702.641885169993</v>
      </c>
      <c r="D526">
        <v>1955.6287026996069</v>
      </c>
    </row>
    <row r="527" spans="1:4" x14ac:dyDescent="0.2">
      <c r="A527" s="73">
        <v>45141</v>
      </c>
      <c r="B527" s="337" t="s">
        <v>41</v>
      </c>
      <c r="C527">
        <v>1.100000000000008E-4</v>
      </c>
      <c r="D527">
        <v>3.209376565624924</v>
      </c>
    </row>
    <row r="528" spans="1:4" x14ac:dyDescent="0.2">
      <c r="A528" s="73"/>
      <c r="B528" s="337" t="s">
        <v>15</v>
      </c>
      <c r="C528">
        <v>8656.7882490000011</v>
      </c>
      <c r="D528">
        <v>5749.9290452872383</v>
      </c>
    </row>
    <row r="529" spans="1:4" x14ac:dyDescent="0.2">
      <c r="A529" s="73"/>
      <c r="B529" s="337" t="s">
        <v>40</v>
      </c>
      <c r="C529">
        <v>1.443747510000001</v>
      </c>
      <c r="D529">
        <v>2650.2891848480081</v>
      </c>
    </row>
    <row r="530" spans="1:4" x14ac:dyDescent="0.2">
      <c r="A530" s="73"/>
      <c r="B530" s="337" t="s">
        <v>16</v>
      </c>
      <c r="C530">
        <v>36702.641885169993</v>
      </c>
      <c r="D530">
        <v>1957.2876621128171</v>
      </c>
    </row>
    <row r="531" spans="1:4" x14ac:dyDescent="0.2">
      <c r="A531" s="73">
        <v>45140</v>
      </c>
      <c r="B531" s="337" t="s">
        <v>15</v>
      </c>
      <c r="C531">
        <v>8656.7882490000011</v>
      </c>
      <c r="D531">
        <v>5927.6468482874334</v>
      </c>
    </row>
    <row r="532" spans="1:4" x14ac:dyDescent="0.2">
      <c r="A532" s="73"/>
      <c r="B532" s="337" t="s">
        <v>40</v>
      </c>
      <c r="C532">
        <v>1.443747510000001</v>
      </c>
      <c r="D532">
        <v>2653.625178876991</v>
      </c>
    </row>
    <row r="533" spans="1:4" x14ac:dyDescent="0.2">
      <c r="A533" s="73"/>
      <c r="B533" s="337" t="s">
        <v>16</v>
      </c>
      <c r="C533">
        <v>36702.641885169993</v>
      </c>
      <c r="D533">
        <v>1930.92378742028</v>
      </c>
    </row>
    <row r="534" spans="1:4" x14ac:dyDescent="0.2">
      <c r="A534" s="73">
        <v>45139</v>
      </c>
      <c r="B534" s="337" t="s">
        <v>15</v>
      </c>
      <c r="C534">
        <v>8656.7882490000011</v>
      </c>
      <c r="D534">
        <v>6122.2149164785433</v>
      </c>
    </row>
    <row r="535" spans="1:4" x14ac:dyDescent="0.2">
      <c r="A535" s="73"/>
      <c r="B535" s="337" t="s">
        <v>40</v>
      </c>
      <c r="C535">
        <v>1.443747510000001</v>
      </c>
      <c r="D535">
        <v>2699.4398449769928</v>
      </c>
    </row>
    <row r="536" spans="1:4" x14ac:dyDescent="0.2">
      <c r="A536" s="73"/>
      <c r="B536" s="337" t="s">
        <v>16</v>
      </c>
      <c r="C536">
        <v>36702.641885169993</v>
      </c>
      <c r="D536">
        <v>1898.6302339047761</v>
      </c>
    </row>
    <row r="537" spans="1:4" x14ac:dyDescent="0.2">
      <c r="A537" s="73">
        <v>45138</v>
      </c>
      <c r="B537" s="337" t="s">
        <v>15</v>
      </c>
      <c r="C537">
        <v>8656.7882490000011</v>
      </c>
      <c r="D537">
        <v>6051.3571135991806</v>
      </c>
    </row>
    <row r="538" spans="1:4" x14ac:dyDescent="0.2">
      <c r="A538" s="73"/>
      <c r="B538" s="337" t="s">
        <v>40</v>
      </c>
      <c r="C538">
        <v>1.443747510000001</v>
      </c>
      <c r="D538">
        <v>2681.437883010773</v>
      </c>
    </row>
    <row r="539" spans="1:4" x14ac:dyDescent="0.2">
      <c r="A539" s="73"/>
      <c r="B539" s="337" t="s">
        <v>16</v>
      </c>
      <c r="C539">
        <v>36702.641885169993</v>
      </c>
      <c r="D539">
        <v>1921.5352516260541</v>
      </c>
    </row>
    <row r="540" spans="1:4" x14ac:dyDescent="0.2">
      <c r="A540" s="73">
        <v>45137</v>
      </c>
      <c r="B540" s="337" t="s">
        <v>15</v>
      </c>
      <c r="C540">
        <v>8656.7882490000011</v>
      </c>
      <c r="D540">
        <v>6102.2660405017823</v>
      </c>
    </row>
    <row r="541" spans="1:4" x14ac:dyDescent="0.2">
      <c r="A541" s="73"/>
      <c r="B541" s="337" t="s">
        <v>40</v>
      </c>
      <c r="C541">
        <v>1.443747510000001</v>
      </c>
      <c r="D541">
        <v>2688.0700462032378</v>
      </c>
    </row>
    <row r="542" spans="1:4" x14ac:dyDescent="0.2">
      <c r="A542" s="73"/>
      <c r="B542" s="337" t="s">
        <v>16</v>
      </c>
      <c r="C542">
        <v>36702.641885169993</v>
      </c>
      <c r="D542">
        <v>1943.2448643011321</v>
      </c>
    </row>
    <row r="543" spans="1:4" x14ac:dyDescent="0.2">
      <c r="A543" s="73">
        <v>45136</v>
      </c>
      <c r="B543" s="337" t="s">
        <v>15</v>
      </c>
      <c r="C543">
        <v>8656.7882490000011</v>
      </c>
      <c r="D543">
        <v>6168.8892888412638</v>
      </c>
    </row>
    <row r="544" spans="1:4" x14ac:dyDescent="0.2">
      <c r="A544" s="73"/>
      <c r="B544" s="337" t="s">
        <v>40</v>
      </c>
      <c r="C544">
        <v>1.443747510000001</v>
      </c>
      <c r="D544">
        <v>2715.5707895041778</v>
      </c>
    </row>
    <row r="545" spans="1:4" x14ac:dyDescent="0.2">
      <c r="A545" s="73"/>
      <c r="B545" s="337" t="s">
        <v>16</v>
      </c>
      <c r="C545">
        <v>36702.641885169993</v>
      </c>
      <c r="D545">
        <v>1977.0366196583891</v>
      </c>
    </row>
    <row r="546" spans="1:4" x14ac:dyDescent="0.2">
      <c r="A546" s="73">
        <v>45135</v>
      </c>
      <c r="B546" s="337" t="s">
        <v>15</v>
      </c>
      <c r="C546">
        <v>8656.7882490000011</v>
      </c>
      <c r="D546">
        <v>6166.2007501147718</v>
      </c>
    </row>
    <row r="547" spans="1:4" x14ac:dyDescent="0.2">
      <c r="A547" s="73"/>
      <c r="B547" s="337" t="s">
        <v>40</v>
      </c>
      <c r="C547">
        <v>1.443747510000001</v>
      </c>
      <c r="D547">
        <v>2706.5847874087031</v>
      </c>
    </row>
    <row r="548" spans="1:4" x14ac:dyDescent="0.2">
      <c r="A548" s="73"/>
      <c r="B548" s="337" t="s">
        <v>16</v>
      </c>
      <c r="C548">
        <v>36702.641885169993</v>
      </c>
      <c r="D548">
        <v>1932.376110959676</v>
      </c>
    </row>
    <row r="549" spans="1:4" x14ac:dyDescent="0.2">
      <c r="A549" s="73">
        <v>45134</v>
      </c>
      <c r="B549" s="337" t="s">
        <v>15</v>
      </c>
      <c r="C549">
        <v>8656.7882490000011</v>
      </c>
      <c r="D549">
        <v>6176.0624767201498</v>
      </c>
    </row>
    <row r="550" spans="1:4" x14ac:dyDescent="0.2">
      <c r="A550" s="73"/>
      <c r="B550" s="337" t="s">
        <v>40</v>
      </c>
      <c r="C550">
        <v>1.443747510000001</v>
      </c>
      <c r="D550">
        <v>2683.6046962625928</v>
      </c>
    </row>
    <row r="551" spans="1:4" x14ac:dyDescent="0.2">
      <c r="A551" s="73"/>
      <c r="B551" s="337" t="s">
        <v>16</v>
      </c>
      <c r="C551">
        <v>36702.641885169993</v>
      </c>
      <c r="D551">
        <v>1902.2916894592399</v>
      </c>
    </row>
    <row r="552" spans="1:4" x14ac:dyDescent="0.2">
      <c r="A552" s="73">
        <v>45133</v>
      </c>
      <c r="B552" s="337" t="s">
        <v>15</v>
      </c>
      <c r="C552">
        <v>8656.7882490000011</v>
      </c>
      <c r="D552">
        <v>6197.1998431556158</v>
      </c>
    </row>
    <row r="553" spans="1:4" x14ac:dyDescent="0.2">
      <c r="A553" s="73"/>
      <c r="B553" s="337" t="s">
        <v>40</v>
      </c>
      <c r="C553">
        <v>1.443747510000001</v>
      </c>
      <c r="D553">
        <v>2702.0212612513801</v>
      </c>
    </row>
    <row r="554" spans="1:4" x14ac:dyDescent="0.2">
      <c r="A554" s="73"/>
      <c r="B554" s="337" t="s">
        <v>16</v>
      </c>
      <c r="C554">
        <v>36702.641885169993</v>
      </c>
      <c r="D554">
        <v>1926.0981240652179</v>
      </c>
    </row>
    <row r="555" spans="1:4" x14ac:dyDescent="0.2">
      <c r="A555" s="73">
        <v>45132</v>
      </c>
      <c r="B555" s="337" t="s">
        <v>15</v>
      </c>
      <c r="C555">
        <v>8656.7882490000011</v>
      </c>
      <c r="D555">
        <v>6148.5079197235837</v>
      </c>
    </row>
    <row r="556" spans="1:4" x14ac:dyDescent="0.2">
      <c r="A556" s="73"/>
      <c r="B556" s="337" t="s">
        <v>40</v>
      </c>
      <c r="C556">
        <v>1.443747510000001</v>
      </c>
      <c r="D556">
        <v>2681.900455367298</v>
      </c>
    </row>
    <row r="557" spans="1:4" x14ac:dyDescent="0.2">
      <c r="A557" s="73"/>
      <c r="B557" s="337" t="s">
        <v>16</v>
      </c>
      <c r="C557">
        <v>36702.641885169993</v>
      </c>
      <c r="D557">
        <v>1918.908076519913</v>
      </c>
    </row>
    <row r="558" spans="1:4" x14ac:dyDescent="0.2">
      <c r="A558" s="73">
        <v>45131</v>
      </c>
      <c r="B558" s="337" t="s">
        <v>15</v>
      </c>
      <c r="C558">
        <v>7238.0436229999996</v>
      </c>
      <c r="D558">
        <v>5092.1474627080879</v>
      </c>
    </row>
    <row r="559" spans="1:4" x14ac:dyDescent="0.2">
      <c r="A559" s="73"/>
      <c r="B559" s="337" t="s">
        <v>40</v>
      </c>
      <c r="C559">
        <v>1.443747510000001</v>
      </c>
      <c r="D559">
        <v>2671.555366090749</v>
      </c>
    </row>
    <row r="560" spans="1:4" x14ac:dyDescent="0.2">
      <c r="A560" s="73"/>
      <c r="B560" s="337" t="s">
        <v>16</v>
      </c>
      <c r="C560">
        <v>36702.641885169993</v>
      </c>
      <c r="D560">
        <v>1910.539874170094</v>
      </c>
    </row>
    <row r="561" spans="1:4" x14ac:dyDescent="0.2">
      <c r="A561" s="73">
        <v>45130</v>
      </c>
      <c r="B561" s="337" t="s">
        <v>15</v>
      </c>
      <c r="C561">
        <v>7238.0436229999996</v>
      </c>
      <c r="D561">
        <v>5341.6116304248826</v>
      </c>
    </row>
    <row r="562" spans="1:4" x14ac:dyDescent="0.2">
      <c r="A562" s="73"/>
      <c r="B562" s="337" t="s">
        <v>40</v>
      </c>
      <c r="C562">
        <v>1.443747510000001</v>
      </c>
      <c r="D562">
        <v>2725.545502927444</v>
      </c>
    </row>
    <row r="563" spans="1:4" x14ac:dyDescent="0.2">
      <c r="A563" s="73"/>
      <c r="B563" s="337" t="s">
        <v>16</v>
      </c>
      <c r="C563">
        <v>36702.641885169993</v>
      </c>
      <c r="D563">
        <v>1961.3884482906469</v>
      </c>
    </row>
    <row r="564" spans="1:4" x14ac:dyDescent="0.2">
      <c r="A564" s="73">
        <v>45129</v>
      </c>
      <c r="B564" s="337" t="s">
        <v>15</v>
      </c>
      <c r="C564">
        <v>7238.0436229999996</v>
      </c>
      <c r="D564">
        <v>5293.9166143515604</v>
      </c>
    </row>
    <row r="565" spans="1:4" x14ac:dyDescent="0.2">
      <c r="A565" s="73"/>
      <c r="B565" s="337" t="s">
        <v>40</v>
      </c>
      <c r="C565">
        <v>1.443747510000001</v>
      </c>
      <c r="D565">
        <v>2682.9321617558112</v>
      </c>
    </row>
    <row r="566" spans="1:4" x14ac:dyDescent="0.2">
      <c r="A566" s="73"/>
      <c r="B566" s="337" t="s">
        <v>16</v>
      </c>
      <c r="C566">
        <v>36702.641885169993</v>
      </c>
      <c r="D566">
        <v>1960.452163896156</v>
      </c>
    </row>
    <row r="567" spans="1:4" x14ac:dyDescent="0.2">
      <c r="A567" s="73">
        <v>45128</v>
      </c>
      <c r="B567" s="337" t="s">
        <v>15</v>
      </c>
      <c r="C567">
        <v>7238.0436229999996</v>
      </c>
      <c r="D567">
        <v>5592.6977713371552</v>
      </c>
    </row>
    <row r="568" spans="1:4" x14ac:dyDescent="0.2">
      <c r="A568" s="73"/>
      <c r="B568" s="337" t="s">
        <v>40</v>
      </c>
      <c r="C568">
        <v>1.443747510000001</v>
      </c>
      <c r="D568">
        <v>2730.8085718195312</v>
      </c>
    </row>
    <row r="569" spans="1:4" x14ac:dyDescent="0.2">
      <c r="A569" s="73"/>
      <c r="B569" s="337" t="s">
        <v>16</v>
      </c>
      <c r="C569">
        <v>36702.641885169993</v>
      </c>
      <c r="D569">
        <v>2037.1783027042659</v>
      </c>
    </row>
    <row r="570" spans="1:4" x14ac:dyDescent="0.2">
      <c r="A570" s="73">
        <v>45127</v>
      </c>
      <c r="B570" s="337" t="s">
        <v>15</v>
      </c>
      <c r="C570">
        <v>7238.0436229999996</v>
      </c>
      <c r="D570">
        <v>5741.8215193517917</v>
      </c>
    </row>
    <row r="571" spans="1:4" x14ac:dyDescent="0.2">
      <c r="A571" s="73"/>
      <c r="B571" s="337" t="s">
        <v>40</v>
      </c>
      <c r="C571">
        <v>1.443747510000001</v>
      </c>
      <c r="D571">
        <v>2730.147483631757</v>
      </c>
    </row>
    <row r="572" spans="1:4" x14ac:dyDescent="0.2">
      <c r="A572" s="73"/>
      <c r="B572" s="337" t="s">
        <v>16</v>
      </c>
      <c r="C572">
        <v>36702.641885169993</v>
      </c>
      <c r="D572">
        <v>2099.677763464847</v>
      </c>
    </row>
    <row r="573" spans="1:4" x14ac:dyDescent="0.2">
      <c r="A573" s="73">
        <v>45126</v>
      </c>
      <c r="B573" s="337" t="s">
        <v>15</v>
      </c>
      <c r="C573">
        <v>7238.0436229999996</v>
      </c>
      <c r="D573">
        <v>5944.147059408564</v>
      </c>
    </row>
    <row r="574" spans="1:4" x14ac:dyDescent="0.2">
      <c r="A574" s="73"/>
      <c r="B574" s="337" t="s">
        <v>40</v>
      </c>
      <c r="C574">
        <v>1.443747510000001</v>
      </c>
      <c r="D574">
        <v>2727.5621650955381</v>
      </c>
    </row>
    <row r="575" spans="1:4" x14ac:dyDescent="0.2">
      <c r="A575" s="73"/>
      <c r="B575" s="337" t="s">
        <v>16</v>
      </c>
      <c r="C575">
        <v>36702.641885169993</v>
      </c>
      <c r="D575">
        <v>2066.9151501860501</v>
      </c>
    </row>
    <row r="576" spans="1:4" x14ac:dyDescent="0.2">
      <c r="A576" s="73">
        <v>45125</v>
      </c>
      <c r="B576" s="337" t="s">
        <v>15</v>
      </c>
      <c r="C576">
        <v>7238.0436229999996</v>
      </c>
      <c r="D576">
        <v>5654.8163264597752</v>
      </c>
    </row>
    <row r="577" spans="1:4" x14ac:dyDescent="0.2">
      <c r="A577" s="73"/>
      <c r="B577" s="337" t="s">
        <v>40</v>
      </c>
      <c r="C577">
        <v>1.443747510000001</v>
      </c>
      <c r="D577">
        <v>2739.076494848211</v>
      </c>
    </row>
    <row r="578" spans="1:4" x14ac:dyDescent="0.2">
      <c r="A578" s="73"/>
      <c r="B578" s="337" t="s">
        <v>16</v>
      </c>
      <c r="C578">
        <v>36702.641885169993</v>
      </c>
      <c r="D578">
        <v>1930.5039091971139</v>
      </c>
    </row>
    <row r="579" spans="1:4" x14ac:dyDescent="0.2">
      <c r="A579" s="73">
        <v>45124</v>
      </c>
      <c r="B579" s="337" t="s">
        <v>33</v>
      </c>
      <c r="C579">
        <v>75.213398999999995</v>
      </c>
      <c r="D579">
        <v>710.33677973538488</v>
      </c>
    </row>
    <row r="580" spans="1:4" x14ac:dyDescent="0.2">
      <c r="A580" s="73"/>
      <c r="B580" s="337" t="s">
        <v>15</v>
      </c>
      <c r="C580">
        <v>4402.375986</v>
      </c>
      <c r="D580">
        <v>3255.5404006657732</v>
      </c>
    </row>
    <row r="581" spans="1:4" x14ac:dyDescent="0.2">
      <c r="A581" s="73"/>
      <c r="B581" s="337" t="s">
        <v>16</v>
      </c>
      <c r="C581">
        <v>36702.641885169993</v>
      </c>
      <c r="D581">
        <v>1904.8260068814111</v>
      </c>
    </row>
    <row r="582" spans="1:4" x14ac:dyDescent="0.2">
      <c r="A582" s="73"/>
      <c r="B582" s="337" t="s">
        <v>42</v>
      </c>
      <c r="C582">
        <v>105.2927045</v>
      </c>
      <c r="D582">
        <v>757.51041959547615</v>
      </c>
    </row>
    <row r="583" spans="1:4" x14ac:dyDescent="0.2">
      <c r="A583" s="73"/>
      <c r="B583" s="337" t="s">
        <v>35</v>
      </c>
      <c r="C583">
        <v>2199.5241339999998</v>
      </c>
      <c r="D583">
        <v>687.580570270728</v>
      </c>
    </row>
    <row r="584" spans="1:4" x14ac:dyDescent="0.2">
      <c r="A584" s="73"/>
      <c r="B584" s="337" t="s">
        <v>40</v>
      </c>
      <c r="C584">
        <v>1.4450574199999999</v>
      </c>
      <c r="D584">
        <v>2763.1272914918691</v>
      </c>
    </row>
    <row r="585" spans="1:4" x14ac:dyDescent="0.2">
      <c r="A585" s="73">
        <v>45123</v>
      </c>
      <c r="B585" s="337" t="s">
        <v>33</v>
      </c>
      <c r="C585">
        <v>75.213398999999995</v>
      </c>
      <c r="D585">
        <v>707.57087242281705</v>
      </c>
    </row>
    <row r="586" spans="1:4" x14ac:dyDescent="0.2">
      <c r="A586" s="73"/>
      <c r="B586" s="337" t="s">
        <v>15</v>
      </c>
      <c r="C586">
        <v>4402.375986</v>
      </c>
      <c r="D586">
        <v>3291.5117305860199</v>
      </c>
    </row>
    <row r="587" spans="1:4" x14ac:dyDescent="0.2">
      <c r="A587" s="73"/>
      <c r="B587" s="337" t="s">
        <v>16</v>
      </c>
      <c r="C587">
        <v>36702.641885169993</v>
      </c>
      <c r="D587">
        <v>1864.7118544330151</v>
      </c>
    </row>
    <row r="588" spans="1:4" x14ac:dyDescent="0.2">
      <c r="A588" s="73"/>
      <c r="B588" s="337" t="s">
        <v>42</v>
      </c>
      <c r="C588">
        <v>105.2927045</v>
      </c>
      <c r="D588">
        <v>696.40844615887784</v>
      </c>
    </row>
    <row r="589" spans="1:4" x14ac:dyDescent="0.2">
      <c r="A589" s="73"/>
      <c r="B589" s="337" t="s">
        <v>35</v>
      </c>
      <c r="C589">
        <v>2199.5241339999998</v>
      </c>
      <c r="D589">
        <v>692.25123777403576</v>
      </c>
    </row>
    <row r="590" spans="1:4" x14ac:dyDescent="0.2">
      <c r="A590" s="73"/>
      <c r="B590" s="337" t="s">
        <v>40</v>
      </c>
      <c r="C590">
        <v>1.4450574199999999</v>
      </c>
      <c r="D590">
        <v>2778.8974260164359</v>
      </c>
    </row>
    <row r="591" spans="1:4" x14ac:dyDescent="0.2">
      <c r="A591" s="73">
        <v>45122</v>
      </c>
      <c r="B591" s="337" t="s">
        <v>33</v>
      </c>
      <c r="C591">
        <v>75.213398999999995</v>
      </c>
      <c r="D591">
        <v>730.23780812093673</v>
      </c>
    </row>
    <row r="592" spans="1:4" x14ac:dyDescent="0.2">
      <c r="A592" s="73"/>
      <c r="B592" s="337" t="s">
        <v>15</v>
      </c>
      <c r="C592">
        <v>4402.375986</v>
      </c>
      <c r="D592">
        <v>3140.0192812962619</v>
      </c>
    </row>
    <row r="593" spans="1:4" x14ac:dyDescent="0.2">
      <c r="A593" s="73"/>
      <c r="B593" s="337" t="s">
        <v>16</v>
      </c>
      <c r="C593">
        <v>36702.641885169993</v>
      </c>
      <c r="D593">
        <v>1909.6531383421491</v>
      </c>
    </row>
    <row r="594" spans="1:4" x14ac:dyDescent="0.2">
      <c r="A594" s="73"/>
      <c r="B594" s="337" t="s">
        <v>42</v>
      </c>
      <c r="C594">
        <v>105.2927045</v>
      </c>
      <c r="D594">
        <v>728.39959279566256</v>
      </c>
    </row>
    <row r="595" spans="1:4" x14ac:dyDescent="0.2">
      <c r="A595" s="73"/>
      <c r="B595" s="337" t="s">
        <v>35</v>
      </c>
      <c r="C595">
        <v>2199.5241339999998</v>
      </c>
      <c r="D595">
        <v>716.90946497831089</v>
      </c>
    </row>
    <row r="596" spans="1:4" x14ac:dyDescent="0.2">
      <c r="A596" s="73"/>
      <c r="B596" s="337" t="s">
        <v>40</v>
      </c>
      <c r="C596">
        <v>1.4450574199999999</v>
      </c>
      <c r="D596">
        <v>2790.968560489639</v>
      </c>
    </row>
    <row r="597" spans="1:4" x14ac:dyDescent="0.2">
      <c r="A597" s="73">
        <v>45121</v>
      </c>
      <c r="B597" s="337" t="s">
        <v>33</v>
      </c>
      <c r="C597">
        <v>75.213398999999995</v>
      </c>
      <c r="D597">
        <v>734.26037939972866</v>
      </c>
    </row>
    <row r="598" spans="1:4" x14ac:dyDescent="0.2">
      <c r="A598" s="73"/>
      <c r="B598" s="337" t="s">
        <v>15</v>
      </c>
      <c r="C598">
        <v>4402.375986</v>
      </c>
      <c r="D598">
        <v>3168.2992641551291</v>
      </c>
    </row>
    <row r="599" spans="1:4" x14ac:dyDescent="0.2">
      <c r="A599" s="73"/>
      <c r="B599" s="337" t="s">
        <v>16</v>
      </c>
      <c r="C599">
        <v>36702.641885169993</v>
      </c>
      <c r="D599">
        <v>1873.6661979737401</v>
      </c>
    </row>
    <row r="600" spans="1:4" x14ac:dyDescent="0.2">
      <c r="A600" s="73"/>
      <c r="B600" s="337" t="s">
        <v>42</v>
      </c>
      <c r="C600">
        <v>105.2927045</v>
      </c>
      <c r="D600">
        <v>730.61781315405085</v>
      </c>
    </row>
    <row r="601" spans="1:4" x14ac:dyDescent="0.2">
      <c r="A601" s="73"/>
      <c r="B601" s="337" t="s">
        <v>35</v>
      </c>
      <c r="C601">
        <v>2199.5241339999998</v>
      </c>
      <c r="D601">
        <v>722.91161441613542</v>
      </c>
    </row>
    <row r="602" spans="1:4" x14ac:dyDescent="0.2">
      <c r="A602" s="73"/>
      <c r="B602" s="337" t="s">
        <v>40</v>
      </c>
      <c r="C602">
        <v>1.4450574199999999</v>
      </c>
      <c r="D602">
        <v>2797.5448095579241</v>
      </c>
    </row>
    <row r="603" spans="1:4" x14ac:dyDescent="0.2">
      <c r="A603" s="73">
        <v>45120</v>
      </c>
      <c r="B603" s="337" t="s">
        <v>43</v>
      </c>
      <c r="C603">
        <v>10508.52390858</v>
      </c>
      <c r="D603">
        <v>398.017068492769</v>
      </c>
    </row>
    <row r="604" spans="1:4" x14ac:dyDescent="0.2">
      <c r="A604" s="73"/>
      <c r="B604" s="337" t="s">
        <v>33</v>
      </c>
      <c r="C604">
        <v>34.086134999999992</v>
      </c>
      <c r="D604">
        <v>337.16499225589308</v>
      </c>
    </row>
    <row r="605" spans="1:4" x14ac:dyDescent="0.2">
      <c r="A605" s="73"/>
      <c r="B605" s="337" t="s">
        <v>15</v>
      </c>
      <c r="C605">
        <v>4402.375986</v>
      </c>
      <c r="D605">
        <v>3576.971782911749</v>
      </c>
    </row>
    <row r="606" spans="1:4" x14ac:dyDescent="0.2">
      <c r="A606" s="73"/>
      <c r="B606" s="337" t="s">
        <v>16</v>
      </c>
      <c r="C606">
        <v>36702.641885169993</v>
      </c>
      <c r="D606">
        <v>1920.9946217110851</v>
      </c>
    </row>
    <row r="607" spans="1:4" x14ac:dyDescent="0.2">
      <c r="A607" s="73"/>
      <c r="B607" s="337" t="s">
        <v>42</v>
      </c>
      <c r="C607">
        <v>105.2927045</v>
      </c>
      <c r="D607">
        <v>744.85458503342807</v>
      </c>
    </row>
    <row r="608" spans="1:4" x14ac:dyDescent="0.2">
      <c r="A608" s="73"/>
      <c r="B608" s="337" t="s">
        <v>35</v>
      </c>
      <c r="C608">
        <v>2199.5241339999998</v>
      </c>
      <c r="D608">
        <v>784.97593882907495</v>
      </c>
    </row>
    <row r="609" spans="1:4" x14ac:dyDescent="0.2">
      <c r="A609" s="73"/>
      <c r="B609" s="337" t="s">
        <v>40</v>
      </c>
      <c r="C609">
        <v>1.4450574199999999</v>
      </c>
      <c r="D609">
        <v>2894.816502043785</v>
      </c>
    </row>
    <row r="610" spans="1:4" x14ac:dyDescent="0.2">
      <c r="A610" s="73">
        <v>45119</v>
      </c>
      <c r="B610" s="337" t="s">
        <v>43</v>
      </c>
      <c r="C610">
        <v>10508.52390858</v>
      </c>
      <c r="D610">
        <v>387.84240038876459</v>
      </c>
    </row>
    <row r="611" spans="1:4" x14ac:dyDescent="0.2">
      <c r="A611" s="73"/>
      <c r="B611" s="337" t="s">
        <v>33</v>
      </c>
      <c r="C611">
        <v>34.086134999999992</v>
      </c>
      <c r="D611">
        <v>309.26878893281571</v>
      </c>
    </row>
    <row r="612" spans="1:4" x14ac:dyDescent="0.2">
      <c r="A612" s="73"/>
      <c r="B612" s="337" t="s">
        <v>15</v>
      </c>
      <c r="C612">
        <v>4402.375986</v>
      </c>
      <c r="D612">
        <v>2075.173942539137</v>
      </c>
    </row>
    <row r="613" spans="1:4" x14ac:dyDescent="0.2">
      <c r="A613" s="73"/>
      <c r="B613" s="337" t="s">
        <v>16</v>
      </c>
      <c r="C613">
        <v>36702.641885169993</v>
      </c>
      <c r="D613">
        <v>1774.3851846479361</v>
      </c>
    </row>
    <row r="614" spans="1:4" x14ac:dyDescent="0.2">
      <c r="A614" s="73"/>
      <c r="B614" s="337" t="s">
        <v>42</v>
      </c>
      <c r="C614">
        <v>105.2927045</v>
      </c>
      <c r="D614">
        <v>658.52347615915585</v>
      </c>
    </row>
    <row r="615" spans="1:4" x14ac:dyDescent="0.2">
      <c r="A615" s="73"/>
      <c r="B615" s="337" t="s">
        <v>35</v>
      </c>
      <c r="C615">
        <v>2199.5241339999998</v>
      </c>
      <c r="D615">
        <v>635.08655132675347</v>
      </c>
    </row>
    <row r="616" spans="1:4" x14ac:dyDescent="0.2">
      <c r="A616" s="73"/>
      <c r="B616" s="337" t="s">
        <v>40</v>
      </c>
      <c r="C616">
        <v>1.4450574199999999</v>
      </c>
      <c r="D616">
        <v>2707.3249249854398</v>
      </c>
    </row>
    <row r="617" spans="1:4" x14ac:dyDescent="0.2">
      <c r="A617" s="73">
        <v>45118</v>
      </c>
      <c r="B617" s="337" t="s">
        <v>43</v>
      </c>
      <c r="C617">
        <v>10508.52390858</v>
      </c>
      <c r="D617">
        <v>388.89630025155611</v>
      </c>
    </row>
    <row r="618" spans="1:4" x14ac:dyDescent="0.2">
      <c r="A618" s="73"/>
      <c r="B618" s="337" t="s">
        <v>33</v>
      </c>
      <c r="C618">
        <v>34.086134999999992</v>
      </c>
      <c r="D618">
        <v>313.75784428836471</v>
      </c>
    </row>
    <row r="619" spans="1:4" x14ac:dyDescent="0.2">
      <c r="A619" s="73"/>
      <c r="B619" s="337" t="s">
        <v>15</v>
      </c>
      <c r="C619">
        <v>4402.375986</v>
      </c>
      <c r="D619">
        <v>2093.1682141443139</v>
      </c>
    </row>
    <row r="620" spans="1:4" x14ac:dyDescent="0.2">
      <c r="A620" s="73"/>
      <c r="B620" s="337" t="s">
        <v>16</v>
      </c>
      <c r="C620">
        <v>36702.641885169993</v>
      </c>
      <c r="D620">
        <v>1774.307375047139</v>
      </c>
    </row>
    <row r="621" spans="1:4" x14ac:dyDescent="0.2">
      <c r="A621" s="73"/>
      <c r="B621" s="337" t="s">
        <v>42</v>
      </c>
      <c r="C621">
        <v>105.2927045</v>
      </c>
      <c r="D621">
        <v>653.27786837878602</v>
      </c>
    </row>
    <row r="622" spans="1:4" x14ac:dyDescent="0.2">
      <c r="A622" s="73"/>
      <c r="B622" s="337" t="s">
        <v>35</v>
      </c>
      <c r="C622">
        <v>2199.5241339999998</v>
      </c>
      <c r="D622">
        <v>643.72810773013668</v>
      </c>
    </row>
    <row r="623" spans="1:4" x14ac:dyDescent="0.2">
      <c r="A623" s="73"/>
      <c r="B623" s="337" t="s">
        <v>40</v>
      </c>
      <c r="C623">
        <v>1.4450574199999999</v>
      </c>
      <c r="D623">
        <v>2710.7338971572171</v>
      </c>
    </row>
    <row r="624" spans="1:4" x14ac:dyDescent="0.2">
      <c r="A624" s="73">
        <v>45117</v>
      </c>
      <c r="B624" s="337" t="s">
        <v>43</v>
      </c>
      <c r="C624">
        <v>10508.52390858</v>
      </c>
      <c r="D624">
        <v>388.86708655509022</v>
      </c>
    </row>
    <row r="625" spans="1:4" x14ac:dyDescent="0.2">
      <c r="A625" s="73"/>
      <c r="B625" s="337" t="s">
        <v>33</v>
      </c>
      <c r="C625">
        <v>34.086134999999992</v>
      </c>
      <c r="D625">
        <v>315.03756732357772</v>
      </c>
    </row>
    <row r="626" spans="1:4" x14ac:dyDescent="0.2">
      <c r="A626" s="73"/>
      <c r="B626" s="337" t="s">
        <v>15</v>
      </c>
      <c r="C626">
        <v>4402.375986</v>
      </c>
      <c r="D626">
        <v>2101.3299991035592</v>
      </c>
    </row>
    <row r="627" spans="1:4" x14ac:dyDescent="0.2">
      <c r="A627" s="73"/>
      <c r="B627" s="337" t="s">
        <v>16</v>
      </c>
      <c r="C627">
        <v>36702.641885169993</v>
      </c>
      <c r="D627">
        <v>1745.526631386464</v>
      </c>
    </row>
    <row r="628" spans="1:4" x14ac:dyDescent="0.2">
      <c r="A628" s="73"/>
      <c r="B628" s="337" t="s">
        <v>42</v>
      </c>
      <c r="C628">
        <v>105.2927045</v>
      </c>
      <c r="D628">
        <v>649.38692178792064</v>
      </c>
    </row>
    <row r="629" spans="1:4" x14ac:dyDescent="0.2">
      <c r="A629" s="73"/>
      <c r="B629" s="337" t="s">
        <v>35</v>
      </c>
      <c r="C629">
        <v>2199.5241339999998</v>
      </c>
      <c r="D629">
        <v>632.90772471485434</v>
      </c>
    </row>
    <row r="630" spans="1:4" x14ac:dyDescent="0.2">
      <c r="A630" s="73"/>
      <c r="B630" s="337" t="s">
        <v>40</v>
      </c>
      <c r="C630">
        <v>1.4450574199999999</v>
      </c>
      <c r="D630">
        <v>2709.8790022568869</v>
      </c>
    </row>
    <row r="631" spans="1:4" x14ac:dyDescent="0.2">
      <c r="A631" s="73">
        <v>45116</v>
      </c>
      <c r="B631" s="337" t="s">
        <v>15</v>
      </c>
      <c r="C631">
        <v>4402.375986</v>
      </c>
      <c r="D631">
        <v>2061.1578339699499</v>
      </c>
    </row>
    <row r="632" spans="1:4" x14ac:dyDescent="0.2">
      <c r="A632" s="73"/>
      <c r="B632" s="337" t="s">
        <v>33</v>
      </c>
      <c r="C632">
        <v>34.09613499999999</v>
      </c>
      <c r="D632">
        <v>321.9631342829166</v>
      </c>
    </row>
    <row r="633" spans="1:4" x14ac:dyDescent="0.2">
      <c r="A633" s="73"/>
      <c r="B633" s="337" t="s">
        <v>16</v>
      </c>
      <c r="C633">
        <v>36702.641885169993</v>
      </c>
      <c r="D633">
        <v>1730.134277432662</v>
      </c>
    </row>
    <row r="634" spans="1:4" x14ac:dyDescent="0.2">
      <c r="A634" s="73"/>
      <c r="B634" s="337" t="s">
        <v>43</v>
      </c>
      <c r="C634">
        <v>10561.520754220001</v>
      </c>
      <c r="D634">
        <v>386.84748780077769</v>
      </c>
    </row>
    <row r="635" spans="1:4" x14ac:dyDescent="0.2">
      <c r="A635" s="73"/>
      <c r="B635" s="337" t="s">
        <v>42</v>
      </c>
      <c r="C635">
        <v>105.2927045</v>
      </c>
      <c r="D635">
        <v>646.93184443783264</v>
      </c>
    </row>
    <row r="636" spans="1:4" x14ac:dyDescent="0.2">
      <c r="A636" s="73"/>
      <c r="B636" s="337" t="s">
        <v>35</v>
      </c>
      <c r="C636">
        <v>2199.5241339999998</v>
      </c>
      <c r="D636">
        <v>625.6621622888382</v>
      </c>
    </row>
    <row r="637" spans="1:4" x14ac:dyDescent="0.2">
      <c r="A637" s="73"/>
      <c r="B637" s="337" t="s">
        <v>40</v>
      </c>
      <c r="C637">
        <v>1.4450574199999999</v>
      </c>
      <c r="D637">
        <v>2697.8018912429538</v>
      </c>
    </row>
    <row r="638" spans="1:4" x14ac:dyDescent="0.2">
      <c r="A638" s="73">
        <v>45115</v>
      </c>
      <c r="B638" s="337" t="s">
        <v>15</v>
      </c>
      <c r="C638">
        <v>4402.375986</v>
      </c>
      <c r="D638">
        <v>2070.9966160135418</v>
      </c>
    </row>
    <row r="639" spans="1:4" x14ac:dyDescent="0.2">
      <c r="A639" s="73"/>
      <c r="B639" s="337" t="s">
        <v>33</v>
      </c>
      <c r="C639">
        <v>34.09613499999999</v>
      </c>
      <c r="D639">
        <v>313.9611485016697</v>
      </c>
    </row>
    <row r="640" spans="1:4" x14ac:dyDescent="0.2">
      <c r="A640" s="73"/>
      <c r="B640" s="337" t="s">
        <v>16</v>
      </c>
      <c r="C640">
        <v>36702.641885169993</v>
      </c>
      <c r="D640">
        <v>1730.883745379957</v>
      </c>
    </row>
    <row r="641" spans="1:4" x14ac:dyDescent="0.2">
      <c r="A641" s="73"/>
      <c r="B641" s="337" t="s">
        <v>43</v>
      </c>
      <c r="C641">
        <v>10561.520754220001</v>
      </c>
      <c r="D641">
        <v>400.75025126080271</v>
      </c>
    </row>
    <row r="642" spans="1:4" x14ac:dyDescent="0.2">
      <c r="A642" s="73"/>
      <c r="B642" s="337" t="s">
        <v>42</v>
      </c>
      <c r="C642">
        <v>105.2927045</v>
      </c>
      <c r="D642">
        <v>652.17546534486848</v>
      </c>
    </row>
    <row r="643" spans="1:4" x14ac:dyDescent="0.2">
      <c r="A643" s="73"/>
      <c r="B643" s="337" t="s">
        <v>35</v>
      </c>
      <c r="C643">
        <v>2199.5241339999998</v>
      </c>
      <c r="D643">
        <v>639.16708650490875</v>
      </c>
    </row>
    <row r="644" spans="1:4" x14ac:dyDescent="0.2">
      <c r="A644" s="73"/>
      <c r="B644" s="337" t="s">
        <v>40</v>
      </c>
      <c r="C644">
        <v>1.4450574199999999</v>
      </c>
      <c r="D644">
        <v>2694.8421960644978</v>
      </c>
    </row>
    <row r="645" spans="1:4" x14ac:dyDescent="0.2">
      <c r="A645" s="73">
        <v>45114</v>
      </c>
      <c r="B645" s="337" t="s">
        <v>15</v>
      </c>
      <c r="C645">
        <v>4402.375986</v>
      </c>
      <c r="D645">
        <v>2061.9137219267459</v>
      </c>
    </row>
    <row r="646" spans="1:4" x14ac:dyDescent="0.2">
      <c r="A646" s="73"/>
      <c r="B646" s="337" t="s">
        <v>33</v>
      </c>
      <c r="C646">
        <v>34.09613499999999</v>
      </c>
      <c r="D646">
        <v>313.9734950531145</v>
      </c>
    </row>
    <row r="647" spans="1:4" x14ac:dyDescent="0.2">
      <c r="A647" s="73"/>
      <c r="B647" s="337" t="s">
        <v>16</v>
      </c>
      <c r="C647">
        <v>36702.641885169993</v>
      </c>
      <c r="D647">
        <v>1728.9586918130799</v>
      </c>
    </row>
    <row r="648" spans="1:4" x14ac:dyDescent="0.2">
      <c r="A648" s="73"/>
      <c r="B648" s="337" t="s">
        <v>43</v>
      </c>
      <c r="C648">
        <v>10561.520754220001</v>
      </c>
      <c r="D648">
        <v>403.94785728435039</v>
      </c>
    </row>
    <row r="649" spans="1:4" x14ac:dyDescent="0.2">
      <c r="A649" s="73"/>
      <c r="B649" s="337" t="s">
        <v>42</v>
      </c>
      <c r="C649">
        <v>105.2927045</v>
      </c>
      <c r="D649">
        <v>647.66827845993839</v>
      </c>
    </row>
    <row r="650" spans="1:4" x14ac:dyDescent="0.2">
      <c r="A650" s="73"/>
      <c r="B650" s="337" t="s">
        <v>35</v>
      </c>
      <c r="C650">
        <v>2199.5241339999998</v>
      </c>
      <c r="D650">
        <v>625.00329483449843</v>
      </c>
    </row>
    <row r="651" spans="1:4" x14ac:dyDescent="0.2">
      <c r="A651" s="73"/>
      <c r="B651" s="337" t="s">
        <v>40</v>
      </c>
      <c r="C651">
        <v>1.4450574199999999</v>
      </c>
      <c r="D651">
        <v>2701.2706716101861</v>
      </c>
    </row>
    <row r="652" spans="1:4" x14ac:dyDescent="0.2">
      <c r="A652" s="73">
        <v>45113</v>
      </c>
      <c r="B652" s="337" t="s">
        <v>15</v>
      </c>
      <c r="C652">
        <v>4402.375986</v>
      </c>
      <c r="D652">
        <v>2044.502060759557</v>
      </c>
    </row>
    <row r="653" spans="1:4" x14ac:dyDescent="0.2">
      <c r="A653" s="73"/>
      <c r="B653" s="337" t="s">
        <v>33</v>
      </c>
      <c r="C653">
        <v>34.09613499999999</v>
      </c>
      <c r="D653">
        <v>314.82825106142951</v>
      </c>
    </row>
    <row r="654" spans="1:4" x14ac:dyDescent="0.2">
      <c r="A654" s="73"/>
      <c r="B654" s="337" t="s">
        <v>16</v>
      </c>
      <c r="C654">
        <v>36702.641885169993</v>
      </c>
      <c r="D654">
        <v>1698.6845176540969</v>
      </c>
    </row>
    <row r="655" spans="1:4" x14ac:dyDescent="0.2">
      <c r="A655" s="73"/>
      <c r="B655" s="337" t="s">
        <v>43</v>
      </c>
      <c r="C655">
        <v>10561.520754220001</v>
      </c>
      <c r="D655">
        <v>389.71895406343498</v>
      </c>
    </row>
    <row r="656" spans="1:4" x14ac:dyDescent="0.2">
      <c r="A656" s="73"/>
      <c r="B656" s="337" t="s">
        <v>42</v>
      </c>
      <c r="C656">
        <v>105.2927045</v>
      </c>
      <c r="D656">
        <v>642.41224354304188</v>
      </c>
    </row>
    <row r="657" spans="1:4" x14ac:dyDescent="0.2">
      <c r="A657" s="73"/>
      <c r="B657" s="337" t="s">
        <v>35</v>
      </c>
      <c r="C657">
        <v>2199.5241339999998</v>
      </c>
      <c r="D657">
        <v>615.90489726848352</v>
      </c>
    </row>
    <row r="658" spans="1:4" x14ac:dyDescent="0.2">
      <c r="A658" s="73"/>
      <c r="B658" s="337" t="s">
        <v>40</v>
      </c>
      <c r="C658">
        <v>1.4450574199999999</v>
      </c>
      <c r="D658">
        <v>2681.2676037218771</v>
      </c>
    </row>
    <row r="659" spans="1:4" x14ac:dyDescent="0.2">
      <c r="A659" s="73">
        <v>45112</v>
      </c>
      <c r="B659" s="337" t="s">
        <v>15</v>
      </c>
      <c r="C659">
        <v>4402.375986</v>
      </c>
      <c r="D659">
        <v>2103.4795912500031</v>
      </c>
    </row>
    <row r="660" spans="1:4" x14ac:dyDescent="0.2">
      <c r="A660" s="73"/>
      <c r="B660" s="337" t="s">
        <v>33</v>
      </c>
      <c r="C660">
        <v>34.09613499999999</v>
      </c>
      <c r="D660">
        <v>320.30466281653622</v>
      </c>
    </row>
    <row r="661" spans="1:4" x14ac:dyDescent="0.2">
      <c r="A661" s="73"/>
      <c r="B661" s="337" t="s">
        <v>16</v>
      </c>
      <c r="C661">
        <v>36702.641885169993</v>
      </c>
      <c r="D661">
        <v>1734.055587691674</v>
      </c>
    </row>
    <row r="662" spans="1:4" x14ac:dyDescent="0.2">
      <c r="A662" s="73"/>
      <c r="B662" s="337" t="s">
        <v>43</v>
      </c>
      <c r="C662">
        <v>10561.520754220001</v>
      </c>
      <c r="D662">
        <v>399.23847518004368</v>
      </c>
    </row>
    <row r="663" spans="1:4" x14ac:dyDescent="0.2">
      <c r="A663" s="73"/>
      <c r="B663" s="337" t="s">
        <v>42</v>
      </c>
      <c r="C663">
        <v>105.2927045</v>
      </c>
      <c r="D663">
        <v>663.83720410762885</v>
      </c>
    </row>
    <row r="664" spans="1:4" x14ac:dyDescent="0.2">
      <c r="A664" s="73"/>
      <c r="B664" s="337" t="s">
        <v>35</v>
      </c>
      <c r="C664">
        <v>2199.5241339999998</v>
      </c>
      <c r="D664">
        <v>625.00131526277789</v>
      </c>
    </row>
    <row r="665" spans="1:4" x14ac:dyDescent="0.2">
      <c r="A665" s="73"/>
      <c r="B665" s="337" t="s">
        <v>40</v>
      </c>
      <c r="C665">
        <v>1.4450574199999999</v>
      </c>
      <c r="D665">
        <v>2760.7898026490088</v>
      </c>
    </row>
    <row r="666" spans="1:4" x14ac:dyDescent="0.2">
      <c r="A666" s="73">
        <v>45111</v>
      </c>
      <c r="B666" s="337" t="s">
        <v>15</v>
      </c>
      <c r="C666">
        <v>4402.375986</v>
      </c>
      <c r="D666">
        <v>2148.5104386405601</v>
      </c>
    </row>
    <row r="667" spans="1:4" x14ac:dyDescent="0.2">
      <c r="A667" s="73"/>
      <c r="B667" s="337" t="s">
        <v>33</v>
      </c>
      <c r="C667">
        <v>34.09613499999999</v>
      </c>
      <c r="D667">
        <v>330.66011999578137</v>
      </c>
    </row>
    <row r="668" spans="1:4" x14ac:dyDescent="0.2">
      <c r="A668" s="73"/>
      <c r="B668" s="337" t="s">
        <v>16</v>
      </c>
      <c r="C668">
        <v>36702.641885169993</v>
      </c>
      <c r="D668">
        <v>1780.030785022713</v>
      </c>
    </row>
    <row r="669" spans="1:4" x14ac:dyDescent="0.2">
      <c r="A669" s="73"/>
      <c r="B669" s="337" t="s">
        <v>43</v>
      </c>
      <c r="C669">
        <v>10561.520754220001</v>
      </c>
      <c r="D669">
        <v>411.24069298034692</v>
      </c>
    </row>
    <row r="670" spans="1:4" x14ac:dyDescent="0.2">
      <c r="A670" s="73"/>
      <c r="B670" s="337" t="s">
        <v>42</v>
      </c>
      <c r="C670">
        <v>105.2927045</v>
      </c>
      <c r="D670">
        <v>687.62175943908233</v>
      </c>
    </row>
    <row r="671" spans="1:4" x14ac:dyDescent="0.2">
      <c r="A671" s="73"/>
      <c r="B671" s="337" t="s">
        <v>35</v>
      </c>
      <c r="C671">
        <v>2199.5241339999998</v>
      </c>
      <c r="D671">
        <v>644.18886404572686</v>
      </c>
    </row>
    <row r="672" spans="1:4" x14ac:dyDescent="0.2">
      <c r="A672" s="73"/>
      <c r="B672" s="337" t="s">
        <v>40</v>
      </c>
      <c r="C672">
        <v>1.4450574199999999</v>
      </c>
      <c r="D672">
        <v>2799.076837469735</v>
      </c>
    </row>
    <row r="673" spans="1:4" x14ac:dyDescent="0.2">
      <c r="A673" s="73">
        <v>45110</v>
      </c>
      <c r="B673" s="337" t="s">
        <v>15</v>
      </c>
      <c r="C673">
        <v>4402.375986</v>
      </c>
      <c r="D673">
        <v>2155.0352881369299</v>
      </c>
    </row>
    <row r="674" spans="1:4" x14ac:dyDescent="0.2">
      <c r="A674" s="73"/>
      <c r="B674" s="337" t="s">
        <v>33</v>
      </c>
      <c r="C674">
        <v>34.09613499999999</v>
      </c>
      <c r="D674">
        <v>338.2464445687022</v>
      </c>
    </row>
    <row r="675" spans="1:4" x14ac:dyDescent="0.2">
      <c r="A675" s="73"/>
      <c r="B675" s="337" t="s">
        <v>16</v>
      </c>
      <c r="C675">
        <v>36702.641885169993</v>
      </c>
      <c r="D675">
        <v>1840.0983287319821</v>
      </c>
    </row>
    <row r="676" spans="1:4" x14ac:dyDescent="0.2">
      <c r="A676" s="73"/>
      <c r="B676" s="337" t="s">
        <v>43</v>
      </c>
      <c r="C676">
        <v>10561.520754220001</v>
      </c>
      <c r="D676">
        <v>416.51089183670268</v>
      </c>
    </row>
    <row r="677" spans="1:4" x14ac:dyDescent="0.2">
      <c r="A677" s="73"/>
      <c r="B677" s="337" t="s">
        <v>42</v>
      </c>
      <c r="C677">
        <v>105.2927045</v>
      </c>
      <c r="D677">
        <v>696.59398032762317</v>
      </c>
    </row>
    <row r="678" spans="1:4" x14ac:dyDescent="0.2">
      <c r="A678" s="73"/>
      <c r="B678" s="337" t="s">
        <v>35</v>
      </c>
      <c r="C678">
        <v>2199.5241339999998</v>
      </c>
      <c r="D678">
        <v>650.43867990103979</v>
      </c>
    </row>
    <row r="679" spans="1:4" x14ac:dyDescent="0.2">
      <c r="A679" s="73"/>
      <c r="B679" s="337" t="s">
        <v>40</v>
      </c>
      <c r="C679">
        <v>1.4450574199999999</v>
      </c>
      <c r="D679">
        <v>2823.3259155666001</v>
      </c>
    </row>
    <row r="680" spans="1:4" x14ac:dyDescent="0.2">
      <c r="A680" s="73">
        <v>45109</v>
      </c>
      <c r="B680" s="337" t="s">
        <v>15</v>
      </c>
      <c r="C680">
        <v>4402.375986</v>
      </c>
      <c r="D680">
        <v>2129.984404040034</v>
      </c>
    </row>
    <row r="681" spans="1:4" x14ac:dyDescent="0.2">
      <c r="A681" s="73"/>
      <c r="B681" s="337" t="s">
        <v>33</v>
      </c>
      <c r="C681">
        <v>34.09613499999999</v>
      </c>
      <c r="D681">
        <v>326.59632816179231</v>
      </c>
    </row>
    <row r="682" spans="1:4" x14ac:dyDescent="0.2">
      <c r="A682" s="73"/>
      <c r="B682" s="337" t="s">
        <v>16</v>
      </c>
      <c r="C682">
        <v>36702.641885169993</v>
      </c>
      <c r="D682">
        <v>1836.6350674436969</v>
      </c>
    </row>
    <row r="683" spans="1:4" x14ac:dyDescent="0.2">
      <c r="A683" s="73"/>
      <c r="B683" s="337" t="s">
        <v>43</v>
      </c>
      <c r="C683">
        <v>10561.520754220001</v>
      </c>
      <c r="D683">
        <v>419.51596133690089</v>
      </c>
    </row>
    <row r="684" spans="1:4" x14ac:dyDescent="0.2">
      <c r="A684" s="73"/>
      <c r="B684" s="337" t="s">
        <v>42</v>
      </c>
      <c r="C684">
        <v>105.2927045</v>
      </c>
      <c r="D684">
        <v>686.85384395125823</v>
      </c>
    </row>
    <row r="685" spans="1:4" x14ac:dyDescent="0.2">
      <c r="A685" s="73"/>
      <c r="B685" s="337" t="s">
        <v>35</v>
      </c>
      <c r="C685">
        <v>2199.5241339999998</v>
      </c>
      <c r="D685">
        <v>641.32708519022083</v>
      </c>
    </row>
    <row r="686" spans="1:4" x14ac:dyDescent="0.2">
      <c r="A686" s="73"/>
      <c r="B686" s="337" t="s">
        <v>40</v>
      </c>
      <c r="C686">
        <v>1.4450574199999999</v>
      </c>
      <c r="D686">
        <v>2794.683076570489</v>
      </c>
    </row>
    <row r="687" spans="1:4" x14ac:dyDescent="0.2">
      <c r="A687" s="73">
        <v>45108</v>
      </c>
      <c r="B687" s="337" t="s">
        <v>15</v>
      </c>
      <c r="C687">
        <v>4402.375986</v>
      </c>
      <c r="D687">
        <v>2083.716048759813</v>
      </c>
    </row>
    <row r="688" spans="1:4" x14ac:dyDescent="0.2">
      <c r="A688" s="73"/>
      <c r="B688" s="337" t="s">
        <v>33</v>
      </c>
      <c r="C688">
        <v>34.09613499999999</v>
      </c>
      <c r="D688">
        <v>325.93998506419189</v>
      </c>
    </row>
    <row r="689" spans="1:4" x14ac:dyDescent="0.2">
      <c r="A689" s="73"/>
      <c r="B689" s="337" t="s">
        <v>16</v>
      </c>
      <c r="C689">
        <v>36702.641885169993</v>
      </c>
      <c r="D689">
        <v>1862.004300541146</v>
      </c>
    </row>
    <row r="690" spans="1:4" x14ac:dyDescent="0.2">
      <c r="A690" s="73"/>
      <c r="B690" s="337" t="s">
        <v>43</v>
      </c>
      <c r="C690">
        <v>10561.520754220001</v>
      </c>
      <c r="D690">
        <v>413.37771108975568</v>
      </c>
    </row>
    <row r="691" spans="1:4" x14ac:dyDescent="0.2">
      <c r="A691" s="73"/>
      <c r="B691" s="337" t="s">
        <v>42</v>
      </c>
      <c r="C691">
        <v>105.2927045</v>
      </c>
      <c r="D691">
        <v>684.14749714407833</v>
      </c>
    </row>
    <row r="692" spans="1:4" x14ac:dyDescent="0.2">
      <c r="A692" s="73"/>
      <c r="B692" s="337" t="s">
        <v>35</v>
      </c>
      <c r="C692">
        <v>2199.5241339999998</v>
      </c>
      <c r="D692">
        <v>642.54964668962202</v>
      </c>
    </row>
    <row r="693" spans="1:4" x14ac:dyDescent="0.2">
      <c r="A693" s="73"/>
      <c r="B693" s="337" t="s">
        <v>40</v>
      </c>
      <c r="C693">
        <v>1.4450574199999999</v>
      </c>
      <c r="D693">
        <v>2781.110171708121</v>
      </c>
    </row>
    <row r="694" spans="1:4" x14ac:dyDescent="0.2">
      <c r="A694" s="73">
        <v>45107</v>
      </c>
      <c r="B694" s="337" t="s">
        <v>15</v>
      </c>
      <c r="C694">
        <v>4402.375986</v>
      </c>
      <c r="D694">
        <v>2085.1761848030892</v>
      </c>
    </row>
    <row r="695" spans="1:4" x14ac:dyDescent="0.2">
      <c r="A695" s="73"/>
      <c r="B695" s="337" t="s">
        <v>33</v>
      </c>
      <c r="C695">
        <v>34.09613499999999</v>
      </c>
      <c r="D695">
        <v>316.72050813281902</v>
      </c>
    </row>
    <row r="696" spans="1:4" x14ac:dyDescent="0.2">
      <c r="A696" s="73"/>
      <c r="B696" s="337" t="s">
        <v>16</v>
      </c>
      <c r="C696">
        <v>36702.641885169993</v>
      </c>
      <c r="D696">
        <v>1850.1111764646751</v>
      </c>
    </row>
    <row r="697" spans="1:4" x14ac:dyDescent="0.2">
      <c r="A697" s="73"/>
      <c r="B697" s="337" t="s">
        <v>43</v>
      </c>
      <c r="C697">
        <v>10561.520754220001</v>
      </c>
      <c r="D697">
        <v>401.188765602518</v>
      </c>
    </row>
    <row r="698" spans="1:4" x14ac:dyDescent="0.2">
      <c r="A698" s="73"/>
      <c r="B698" s="337" t="s">
        <v>42</v>
      </c>
      <c r="C698">
        <v>105.2927045</v>
      </c>
      <c r="D698">
        <v>664.15002452099031</v>
      </c>
    </row>
    <row r="699" spans="1:4" x14ac:dyDescent="0.2">
      <c r="A699" s="73"/>
      <c r="B699" s="337" t="s">
        <v>35</v>
      </c>
      <c r="C699">
        <v>2199.5241339999998</v>
      </c>
      <c r="D699">
        <v>630.92375394598628</v>
      </c>
    </row>
    <row r="700" spans="1:4" x14ac:dyDescent="0.2">
      <c r="A700" s="73"/>
      <c r="B700" s="337" t="s">
        <v>40</v>
      </c>
      <c r="C700">
        <v>1.4450574199999999</v>
      </c>
      <c r="D700">
        <v>2794.807110010614</v>
      </c>
    </row>
    <row r="701" spans="1:4" x14ac:dyDescent="0.2">
      <c r="A701" s="73">
        <v>45106</v>
      </c>
      <c r="B701" s="337" t="s">
        <v>15</v>
      </c>
      <c r="C701">
        <v>4402.375986</v>
      </c>
      <c r="D701">
        <v>2089.3158269902451</v>
      </c>
    </row>
    <row r="702" spans="1:4" x14ac:dyDescent="0.2">
      <c r="A702" s="73"/>
      <c r="B702" s="337" t="s">
        <v>33</v>
      </c>
      <c r="C702">
        <v>34.09613499999999</v>
      </c>
      <c r="D702">
        <v>306.87665152560157</v>
      </c>
    </row>
    <row r="703" spans="1:4" x14ac:dyDescent="0.2">
      <c r="A703" s="73"/>
      <c r="B703" s="337" t="s">
        <v>16</v>
      </c>
      <c r="C703">
        <v>36702.641885169993</v>
      </c>
      <c r="D703">
        <v>1773.908050303429</v>
      </c>
    </row>
    <row r="704" spans="1:4" x14ac:dyDescent="0.2">
      <c r="A704" s="73"/>
      <c r="B704" s="337" t="s">
        <v>43</v>
      </c>
      <c r="C704">
        <v>10561.520754220001</v>
      </c>
      <c r="D704">
        <v>404.03403929370478</v>
      </c>
    </row>
    <row r="705" spans="1:4" x14ac:dyDescent="0.2">
      <c r="A705" s="73"/>
      <c r="B705" s="337" t="s">
        <v>42</v>
      </c>
      <c r="C705">
        <v>105.2927045</v>
      </c>
      <c r="D705">
        <v>621.64403042886795</v>
      </c>
    </row>
    <row r="706" spans="1:4" x14ac:dyDescent="0.2">
      <c r="A706" s="73"/>
      <c r="B706" s="337" t="s">
        <v>35</v>
      </c>
      <c r="C706">
        <v>2199.5241339999998</v>
      </c>
      <c r="D706">
        <v>606.48895440324293</v>
      </c>
    </row>
    <row r="707" spans="1:4" x14ac:dyDescent="0.2">
      <c r="A707" s="73"/>
      <c r="B707" s="337" t="s">
        <v>40</v>
      </c>
      <c r="C707">
        <v>1.4450574199999999</v>
      </c>
      <c r="D707">
        <v>2678.334805108168</v>
      </c>
    </row>
    <row r="708" spans="1:4" x14ac:dyDescent="0.2">
      <c r="A708" s="73">
        <v>45105</v>
      </c>
      <c r="B708" s="337" t="s">
        <v>15</v>
      </c>
      <c r="C708">
        <v>4402.375986</v>
      </c>
      <c r="D708">
        <v>2046.304613607025</v>
      </c>
    </row>
    <row r="709" spans="1:4" x14ac:dyDescent="0.2">
      <c r="A709" s="73"/>
      <c r="B709" s="337" t="s">
        <v>33</v>
      </c>
      <c r="C709">
        <v>34.09613499999999</v>
      </c>
      <c r="D709">
        <v>310.90780790301409</v>
      </c>
    </row>
    <row r="710" spans="1:4" x14ac:dyDescent="0.2">
      <c r="A710" s="73"/>
      <c r="B710" s="337" t="s">
        <v>16</v>
      </c>
      <c r="C710">
        <v>36702.641885169993</v>
      </c>
      <c r="D710">
        <v>1746.366387832797</v>
      </c>
    </row>
    <row r="711" spans="1:4" x14ac:dyDescent="0.2">
      <c r="A711" s="73"/>
      <c r="B711" s="337" t="s">
        <v>43</v>
      </c>
      <c r="C711">
        <v>10561.520754220001</v>
      </c>
      <c r="D711">
        <v>401.75908772324578</v>
      </c>
    </row>
    <row r="712" spans="1:4" x14ac:dyDescent="0.2">
      <c r="A712" s="73"/>
      <c r="B712" s="337" t="s">
        <v>42</v>
      </c>
      <c r="C712">
        <v>105.2927045</v>
      </c>
      <c r="D712">
        <v>612.40089246457569</v>
      </c>
    </row>
    <row r="713" spans="1:4" x14ac:dyDescent="0.2">
      <c r="A713" s="73"/>
      <c r="B713" s="337" t="s">
        <v>35</v>
      </c>
      <c r="C713">
        <v>2199.5241339999998</v>
      </c>
      <c r="D713">
        <v>587.24522977391155</v>
      </c>
    </row>
    <row r="714" spans="1:4" x14ac:dyDescent="0.2">
      <c r="A714" s="73"/>
      <c r="B714" s="337" t="s">
        <v>40</v>
      </c>
      <c r="C714">
        <v>1.4450574199999999</v>
      </c>
      <c r="D714">
        <v>2642.2272861756769</v>
      </c>
    </row>
    <row r="715" spans="1:4" x14ac:dyDescent="0.2">
      <c r="A715" s="73">
        <v>45104</v>
      </c>
      <c r="B715" s="337" t="s">
        <v>15</v>
      </c>
      <c r="C715">
        <v>4402.375986</v>
      </c>
      <c r="D715">
        <v>2132.377095388425</v>
      </c>
    </row>
    <row r="716" spans="1:4" x14ac:dyDescent="0.2">
      <c r="A716" s="73"/>
      <c r="B716" s="337" t="s">
        <v>33</v>
      </c>
      <c r="C716">
        <v>34.09613499999999</v>
      </c>
      <c r="D716">
        <v>321.17789927098261</v>
      </c>
    </row>
    <row r="717" spans="1:4" x14ac:dyDescent="0.2">
      <c r="A717" s="73"/>
      <c r="B717" s="337" t="s">
        <v>16</v>
      </c>
      <c r="C717">
        <v>36702.641885169993</v>
      </c>
      <c r="D717">
        <v>1854.8157211015159</v>
      </c>
    </row>
    <row r="718" spans="1:4" x14ac:dyDescent="0.2">
      <c r="A718" s="73"/>
      <c r="B718" s="337" t="s">
        <v>43</v>
      </c>
      <c r="C718">
        <v>10561.520754220001</v>
      </c>
      <c r="D718">
        <v>422.55651754683322</v>
      </c>
    </row>
    <row r="719" spans="1:4" x14ac:dyDescent="0.2">
      <c r="A719" s="73"/>
      <c r="B719" s="337" t="s">
        <v>42</v>
      </c>
      <c r="C719">
        <v>105.2927045</v>
      </c>
      <c r="D719">
        <v>653.03147081513146</v>
      </c>
    </row>
    <row r="720" spans="1:4" x14ac:dyDescent="0.2">
      <c r="A720" s="73"/>
      <c r="B720" s="337" t="s">
        <v>35</v>
      </c>
      <c r="C720">
        <v>2199.5241339999998</v>
      </c>
      <c r="D720">
        <v>629.86536492794676</v>
      </c>
    </row>
    <row r="721" spans="1:4" x14ac:dyDescent="0.2">
      <c r="A721" s="73"/>
      <c r="B721" s="337" t="s">
        <v>40</v>
      </c>
      <c r="C721">
        <v>1.4450574199999999</v>
      </c>
      <c r="D721">
        <v>2731.177170503036</v>
      </c>
    </row>
    <row r="722" spans="1:4" x14ac:dyDescent="0.2">
      <c r="A722" s="73">
        <v>45103</v>
      </c>
      <c r="B722" s="337" t="s">
        <v>15</v>
      </c>
      <c r="C722">
        <v>4402.375986</v>
      </c>
      <c r="D722">
        <v>2109.3984096681402</v>
      </c>
    </row>
    <row r="723" spans="1:4" x14ac:dyDescent="0.2">
      <c r="A723" s="73"/>
      <c r="B723" s="337" t="s">
        <v>33</v>
      </c>
      <c r="C723">
        <v>34.09613499999999</v>
      </c>
      <c r="D723">
        <v>314.15843351223862</v>
      </c>
    </row>
    <row r="724" spans="1:4" x14ac:dyDescent="0.2">
      <c r="A724" s="73"/>
      <c r="B724" s="337" t="s">
        <v>16</v>
      </c>
      <c r="C724">
        <v>36702.641885169993</v>
      </c>
      <c r="D724">
        <v>1820.4983839124629</v>
      </c>
    </row>
    <row r="725" spans="1:4" x14ac:dyDescent="0.2">
      <c r="A725" s="73"/>
      <c r="B725" s="337" t="s">
        <v>43</v>
      </c>
      <c r="C725">
        <v>10561.520754220001</v>
      </c>
      <c r="D725">
        <v>430.74951165671189</v>
      </c>
    </row>
    <row r="726" spans="1:4" x14ac:dyDescent="0.2">
      <c r="A726" s="73"/>
      <c r="B726" s="337" t="s">
        <v>42</v>
      </c>
      <c r="C726">
        <v>105.2927045</v>
      </c>
      <c r="D726">
        <v>638.97669737548244</v>
      </c>
    </row>
    <row r="727" spans="1:4" x14ac:dyDescent="0.2">
      <c r="A727" s="73"/>
      <c r="B727" s="337" t="s">
        <v>35</v>
      </c>
      <c r="C727">
        <v>2199.5241339999998</v>
      </c>
      <c r="D727">
        <v>617.2223242437841</v>
      </c>
    </row>
    <row r="728" spans="1:4" x14ac:dyDescent="0.2">
      <c r="A728" s="73"/>
      <c r="B728" s="337" t="s">
        <v>40</v>
      </c>
      <c r="C728">
        <v>1.4450574199999999</v>
      </c>
      <c r="D728">
        <v>2687.5212862347362</v>
      </c>
    </row>
    <row r="729" spans="1:4" x14ac:dyDescent="0.2">
      <c r="A729" s="73">
        <v>45102</v>
      </c>
      <c r="B729" s="337" t="s">
        <v>15</v>
      </c>
      <c r="C729">
        <v>4402.375986</v>
      </c>
      <c r="D729">
        <v>2155.2813369307878</v>
      </c>
    </row>
    <row r="730" spans="1:4" x14ac:dyDescent="0.2">
      <c r="A730" s="73"/>
      <c r="B730" s="337" t="s">
        <v>33</v>
      </c>
      <c r="C730">
        <v>34.09613499999999</v>
      </c>
      <c r="D730">
        <v>323.2121050306427</v>
      </c>
    </row>
    <row r="731" spans="1:4" x14ac:dyDescent="0.2">
      <c r="A731" s="73"/>
      <c r="B731" s="337" t="s">
        <v>16</v>
      </c>
      <c r="C731">
        <v>36702.641885169993</v>
      </c>
      <c r="D731">
        <v>1898.7630974684</v>
      </c>
    </row>
    <row r="732" spans="1:4" x14ac:dyDescent="0.2">
      <c r="A732" s="73"/>
      <c r="B732" s="337" t="s">
        <v>43</v>
      </c>
      <c r="C732">
        <v>10561.520754220001</v>
      </c>
      <c r="D732">
        <v>433.86241428381072</v>
      </c>
    </row>
    <row r="733" spans="1:4" x14ac:dyDescent="0.2">
      <c r="A733" s="73"/>
      <c r="B733" s="337" t="s">
        <v>42</v>
      </c>
      <c r="C733">
        <v>105.2927045</v>
      </c>
      <c r="D733">
        <v>647.25010216645433</v>
      </c>
    </row>
    <row r="734" spans="1:4" x14ac:dyDescent="0.2">
      <c r="A734" s="73"/>
      <c r="B734" s="337" t="s">
        <v>35</v>
      </c>
      <c r="C734">
        <v>2199.5241339999998</v>
      </c>
      <c r="D734">
        <v>642.30160635303082</v>
      </c>
    </row>
    <row r="735" spans="1:4" x14ac:dyDescent="0.2">
      <c r="A735" s="73"/>
      <c r="B735" s="337" t="s">
        <v>40</v>
      </c>
      <c r="C735">
        <v>1.4450574199999999</v>
      </c>
      <c r="D735">
        <v>2744.376915023161</v>
      </c>
    </row>
    <row r="736" spans="1:4" x14ac:dyDescent="0.2">
      <c r="A736" s="73">
        <v>45101</v>
      </c>
      <c r="B736" s="337" t="s">
        <v>15</v>
      </c>
      <c r="C736">
        <v>4402.375986</v>
      </c>
      <c r="D736">
        <v>2142.6225689256039</v>
      </c>
    </row>
    <row r="737" spans="1:4" x14ac:dyDescent="0.2">
      <c r="A737" s="73"/>
      <c r="B737" s="337" t="s">
        <v>33</v>
      </c>
      <c r="C737">
        <v>34.09613499999999</v>
      </c>
      <c r="D737">
        <v>319.68599663003363</v>
      </c>
    </row>
    <row r="738" spans="1:4" x14ac:dyDescent="0.2">
      <c r="A738" s="73"/>
      <c r="B738" s="337" t="s">
        <v>16</v>
      </c>
      <c r="C738">
        <v>36702.641885169993</v>
      </c>
      <c r="D738">
        <v>1879.4446619121411</v>
      </c>
    </row>
    <row r="739" spans="1:4" x14ac:dyDescent="0.2">
      <c r="A739" s="73"/>
      <c r="B739" s="337" t="s">
        <v>43</v>
      </c>
      <c r="C739">
        <v>10561.520754220001</v>
      </c>
      <c r="D739">
        <v>423.5470825783716</v>
      </c>
    </row>
    <row r="740" spans="1:4" x14ac:dyDescent="0.2">
      <c r="A740" s="73"/>
      <c r="B740" s="337" t="s">
        <v>42</v>
      </c>
      <c r="C740">
        <v>105.2927045</v>
      </c>
      <c r="D740">
        <v>646.79069324988802</v>
      </c>
    </row>
    <row r="741" spans="1:4" x14ac:dyDescent="0.2">
      <c r="A741" s="73"/>
      <c r="B741" s="337" t="s">
        <v>35</v>
      </c>
      <c r="C741">
        <v>2199.5241339999998</v>
      </c>
      <c r="D741">
        <v>637.01249864896647</v>
      </c>
    </row>
    <row r="742" spans="1:4" x14ac:dyDescent="0.2">
      <c r="A742" s="73"/>
      <c r="B742" s="337" t="s">
        <v>40</v>
      </c>
      <c r="C742">
        <v>1.4450574199999999</v>
      </c>
      <c r="D742">
        <v>2709.5693109318649</v>
      </c>
    </row>
    <row r="743" spans="1:4" x14ac:dyDescent="0.2">
      <c r="A743" s="73">
        <v>45100</v>
      </c>
      <c r="B743" s="337" t="s">
        <v>15</v>
      </c>
      <c r="C743">
        <v>4402.375986</v>
      </c>
      <c r="D743">
        <v>2184.165237727414</v>
      </c>
    </row>
    <row r="744" spans="1:4" x14ac:dyDescent="0.2">
      <c r="A744" s="73"/>
      <c r="B744" s="337" t="s">
        <v>33</v>
      </c>
      <c r="C744">
        <v>34.09613499999999</v>
      </c>
      <c r="D744">
        <v>315.73421264528753</v>
      </c>
    </row>
    <row r="745" spans="1:4" x14ac:dyDescent="0.2">
      <c r="A745" s="73"/>
      <c r="B745" s="337" t="s">
        <v>16</v>
      </c>
      <c r="C745">
        <v>36702.641885169993</v>
      </c>
      <c r="D745">
        <v>1909.209036375338</v>
      </c>
    </row>
    <row r="746" spans="1:4" x14ac:dyDescent="0.2">
      <c r="A746" s="73"/>
      <c r="B746" s="337" t="s">
        <v>43</v>
      </c>
      <c r="C746">
        <v>10561.520754220001</v>
      </c>
      <c r="D746">
        <v>437.53930211918492</v>
      </c>
    </row>
    <row r="747" spans="1:4" x14ac:dyDescent="0.2">
      <c r="A747" s="73"/>
      <c r="B747" s="337" t="s">
        <v>42</v>
      </c>
      <c r="C747">
        <v>105.2927045</v>
      </c>
      <c r="D747">
        <v>637.33135356373782</v>
      </c>
    </row>
    <row r="748" spans="1:4" x14ac:dyDescent="0.2">
      <c r="A748" s="73"/>
      <c r="B748" s="337" t="s">
        <v>35</v>
      </c>
      <c r="C748">
        <v>2199.5241339999998</v>
      </c>
      <c r="D748">
        <v>650.77560300788605</v>
      </c>
    </row>
    <row r="749" spans="1:4" x14ac:dyDescent="0.2">
      <c r="A749" s="73"/>
      <c r="B749" s="337" t="s">
        <v>40</v>
      </c>
      <c r="C749">
        <v>1.4450574199999999</v>
      </c>
      <c r="D749">
        <v>2733.1021376192612</v>
      </c>
    </row>
    <row r="750" spans="1:4" x14ac:dyDescent="0.2">
      <c r="A750" s="73">
        <v>45099</v>
      </c>
      <c r="B750" s="337" t="s">
        <v>15</v>
      </c>
      <c r="C750">
        <v>4402.375986</v>
      </c>
      <c r="D750">
        <v>2180.34573632196</v>
      </c>
    </row>
    <row r="751" spans="1:4" x14ac:dyDescent="0.2">
      <c r="A751" s="73"/>
      <c r="B751" s="337" t="s">
        <v>33</v>
      </c>
      <c r="C751">
        <v>34.09613499999999</v>
      </c>
      <c r="D751">
        <v>307.48582909869509</v>
      </c>
    </row>
    <row r="752" spans="1:4" x14ac:dyDescent="0.2">
      <c r="A752" s="73"/>
      <c r="B752" s="337" t="s">
        <v>16</v>
      </c>
      <c r="C752">
        <v>36702.641885169993</v>
      </c>
      <c r="D752">
        <v>1843.8082317737351</v>
      </c>
    </row>
    <row r="753" spans="1:4" x14ac:dyDescent="0.2">
      <c r="A753" s="73"/>
      <c r="B753" s="337" t="s">
        <v>43</v>
      </c>
      <c r="C753">
        <v>10561.520754220001</v>
      </c>
      <c r="D753">
        <v>436.37066984773043</v>
      </c>
    </row>
    <row r="754" spans="1:4" x14ac:dyDescent="0.2">
      <c r="A754" s="73"/>
      <c r="B754" s="337" t="s">
        <v>42</v>
      </c>
      <c r="C754">
        <v>105.2927045</v>
      </c>
      <c r="D754">
        <v>586.94705291915534</v>
      </c>
    </row>
    <row r="755" spans="1:4" x14ac:dyDescent="0.2">
      <c r="A755" s="73"/>
      <c r="B755" s="337" t="s">
        <v>35</v>
      </c>
      <c r="C755">
        <v>2199.5241339999998</v>
      </c>
      <c r="D755">
        <v>638.43374316339191</v>
      </c>
    </row>
    <row r="756" spans="1:4" x14ac:dyDescent="0.2">
      <c r="A756" s="73"/>
      <c r="B756" s="337" t="s">
        <v>40</v>
      </c>
      <c r="C756">
        <v>1.4450574199999999</v>
      </c>
      <c r="D756">
        <v>2708.2947487416191</v>
      </c>
    </row>
    <row r="757" spans="1:4" x14ac:dyDescent="0.2">
      <c r="A757" s="73">
        <v>45098</v>
      </c>
      <c r="B757" s="337" t="s">
        <v>15</v>
      </c>
      <c r="C757">
        <v>4402.375986</v>
      </c>
      <c r="D757">
        <v>2205.5787026896369</v>
      </c>
    </row>
    <row r="758" spans="1:4" x14ac:dyDescent="0.2">
      <c r="A758" s="73"/>
      <c r="B758" s="337" t="s">
        <v>33</v>
      </c>
      <c r="C758">
        <v>34.09613499999999</v>
      </c>
      <c r="D758">
        <v>308.9647833914164</v>
      </c>
    </row>
    <row r="759" spans="1:4" x14ac:dyDescent="0.2">
      <c r="A759" s="73"/>
      <c r="B759" s="337" t="s">
        <v>16</v>
      </c>
      <c r="C759">
        <v>36702.641885169993</v>
      </c>
      <c r="D759">
        <v>1850.9123951370291</v>
      </c>
    </row>
    <row r="760" spans="1:4" x14ac:dyDescent="0.2">
      <c r="A760" s="73"/>
      <c r="B760" s="337" t="s">
        <v>43</v>
      </c>
      <c r="C760">
        <v>10561.520754220001</v>
      </c>
      <c r="D760">
        <v>436.37542253206982</v>
      </c>
    </row>
    <row r="761" spans="1:4" x14ac:dyDescent="0.2">
      <c r="A761" s="73"/>
      <c r="B761" s="337" t="s">
        <v>42</v>
      </c>
      <c r="C761">
        <v>105.2927045</v>
      </c>
      <c r="D761">
        <v>585.2234471460099</v>
      </c>
    </row>
    <row r="762" spans="1:4" x14ac:dyDescent="0.2">
      <c r="A762" s="73"/>
      <c r="B762" s="337" t="s">
        <v>35</v>
      </c>
      <c r="C762">
        <v>2199.5241339999998</v>
      </c>
      <c r="D762">
        <v>631.58875807265986</v>
      </c>
    </row>
    <row r="763" spans="1:4" x14ac:dyDescent="0.2">
      <c r="A763" s="73"/>
      <c r="B763" s="337" t="s">
        <v>40</v>
      </c>
      <c r="C763">
        <v>1.4450574199999999</v>
      </c>
      <c r="D763">
        <v>2735.348571717821</v>
      </c>
    </row>
    <row r="764" spans="1:4" x14ac:dyDescent="0.2">
      <c r="A764" s="73">
        <v>45097</v>
      </c>
      <c r="B764" s="337" t="s">
        <v>33</v>
      </c>
      <c r="C764">
        <v>34.09613499999999</v>
      </c>
      <c r="D764">
        <v>299.28050658387809</v>
      </c>
    </row>
    <row r="765" spans="1:4" x14ac:dyDescent="0.2">
      <c r="A765" s="73"/>
      <c r="B765" s="337" t="s">
        <v>16</v>
      </c>
      <c r="C765">
        <v>36702.641885169993</v>
      </c>
      <c r="D765">
        <v>1796.630655894538</v>
      </c>
    </row>
    <row r="766" spans="1:4" x14ac:dyDescent="0.2">
      <c r="A766" s="73"/>
      <c r="B766" s="337" t="s">
        <v>43</v>
      </c>
      <c r="C766">
        <v>10561.520754220001</v>
      </c>
      <c r="D766">
        <v>424.11212393872228</v>
      </c>
    </row>
    <row r="767" spans="1:4" x14ac:dyDescent="0.2">
      <c r="A767" s="73"/>
      <c r="B767" s="337" t="s">
        <v>15</v>
      </c>
      <c r="C767">
        <v>4404.4075869999997</v>
      </c>
      <c r="D767">
        <v>2168.1723454856792</v>
      </c>
    </row>
    <row r="768" spans="1:4" x14ac:dyDescent="0.2">
      <c r="A768" s="73"/>
      <c r="B768" s="337" t="s">
        <v>42</v>
      </c>
      <c r="C768">
        <v>105.2927045</v>
      </c>
      <c r="D768">
        <v>553.46685369655052</v>
      </c>
    </row>
    <row r="769" spans="1:4" x14ac:dyDescent="0.2">
      <c r="A769" s="73"/>
      <c r="B769" s="337" t="s">
        <v>35</v>
      </c>
      <c r="C769">
        <v>2199.5241339999998</v>
      </c>
      <c r="D769">
        <v>593.13192618994242</v>
      </c>
    </row>
    <row r="770" spans="1:4" x14ac:dyDescent="0.2">
      <c r="A770" s="73"/>
      <c r="B770" s="337" t="s">
        <v>40</v>
      </c>
      <c r="C770">
        <v>1.4450574199999999</v>
      </c>
      <c r="D770">
        <v>2586.927979589957</v>
      </c>
    </row>
    <row r="771" spans="1:4" x14ac:dyDescent="0.2">
      <c r="A771" s="73">
        <v>45096</v>
      </c>
      <c r="B771" s="337" t="s">
        <v>16</v>
      </c>
      <c r="C771">
        <v>36702.641885169993</v>
      </c>
      <c r="D771">
        <v>1650.110406251169</v>
      </c>
    </row>
    <row r="772" spans="1:4" x14ac:dyDescent="0.2">
      <c r="A772" s="73"/>
      <c r="B772" s="337" t="s">
        <v>33</v>
      </c>
      <c r="C772">
        <v>45.775306</v>
      </c>
      <c r="D772">
        <v>392.93478543005023</v>
      </c>
    </row>
    <row r="773" spans="1:4" x14ac:dyDescent="0.2">
      <c r="A773" s="73"/>
      <c r="B773" s="337" t="s">
        <v>43</v>
      </c>
      <c r="C773">
        <v>10561.520754220001</v>
      </c>
      <c r="D773">
        <v>411.5956656928962</v>
      </c>
    </row>
    <row r="774" spans="1:4" x14ac:dyDescent="0.2">
      <c r="A774" s="73"/>
      <c r="B774" s="337" t="s">
        <v>15</v>
      </c>
      <c r="C774">
        <v>4404.4075869999997</v>
      </c>
      <c r="D774">
        <v>2175.5160344758629</v>
      </c>
    </row>
    <row r="775" spans="1:4" x14ac:dyDescent="0.2">
      <c r="A775" s="73"/>
      <c r="B775" s="337" t="s">
        <v>42</v>
      </c>
      <c r="C775">
        <v>105.2927045</v>
      </c>
      <c r="D775">
        <v>538.57332383748974</v>
      </c>
    </row>
    <row r="776" spans="1:4" x14ac:dyDescent="0.2">
      <c r="A776" s="73"/>
      <c r="B776" s="337" t="s">
        <v>35</v>
      </c>
      <c r="C776">
        <v>2199.5241339999998</v>
      </c>
      <c r="D776">
        <v>578.55218251055135</v>
      </c>
    </row>
    <row r="777" spans="1:4" x14ac:dyDescent="0.2">
      <c r="A777" s="73"/>
      <c r="B777" s="337" t="s">
        <v>40</v>
      </c>
      <c r="C777">
        <v>1.4450574199999999</v>
      </c>
      <c r="D777">
        <v>2506.8756462908</v>
      </c>
    </row>
    <row r="778" spans="1:4" x14ac:dyDescent="0.2">
      <c r="A778" s="73">
        <v>45095</v>
      </c>
      <c r="B778" s="337" t="s">
        <v>16</v>
      </c>
      <c r="C778">
        <v>36702.641885169993</v>
      </c>
      <c r="D778">
        <v>1661.0121919703211</v>
      </c>
    </row>
    <row r="779" spans="1:4" x14ac:dyDescent="0.2">
      <c r="A779" s="73"/>
      <c r="B779" s="337" t="s">
        <v>33</v>
      </c>
      <c r="C779">
        <v>45.775306</v>
      </c>
      <c r="D779">
        <v>391.57500845092642</v>
      </c>
    </row>
    <row r="780" spans="1:4" x14ac:dyDescent="0.2">
      <c r="A780" s="73"/>
      <c r="B780" s="337" t="s">
        <v>43</v>
      </c>
      <c r="C780">
        <v>10561.520754220001</v>
      </c>
      <c r="D780">
        <v>421.83442637286731</v>
      </c>
    </row>
    <row r="781" spans="1:4" x14ac:dyDescent="0.2">
      <c r="A781" s="73"/>
      <c r="B781" s="337" t="s">
        <v>15</v>
      </c>
      <c r="C781">
        <v>4404.4075869999997</v>
      </c>
      <c r="D781">
        <v>2152.597127023922</v>
      </c>
    </row>
    <row r="782" spans="1:4" x14ac:dyDescent="0.2">
      <c r="A782" s="73"/>
      <c r="B782" s="337" t="s">
        <v>42</v>
      </c>
      <c r="C782">
        <v>105.2927045</v>
      </c>
      <c r="D782">
        <v>543.11901942323675</v>
      </c>
    </row>
    <row r="783" spans="1:4" x14ac:dyDescent="0.2">
      <c r="A783" s="73"/>
      <c r="B783" s="337" t="s">
        <v>35</v>
      </c>
      <c r="C783">
        <v>2199.5241339999998</v>
      </c>
      <c r="D783">
        <v>574.35568842005137</v>
      </c>
    </row>
    <row r="784" spans="1:4" x14ac:dyDescent="0.2">
      <c r="A784" s="73"/>
      <c r="B784" s="337" t="s">
        <v>40</v>
      </c>
      <c r="C784">
        <v>1.4450574199999999</v>
      </c>
      <c r="D784">
        <v>2484.4484390468838</v>
      </c>
    </row>
    <row r="785" spans="1:4" x14ac:dyDescent="0.2">
      <c r="A785" s="73">
        <v>45094</v>
      </c>
      <c r="B785" s="337" t="s">
        <v>16</v>
      </c>
      <c r="C785">
        <v>36702.641885169993</v>
      </c>
      <c r="D785">
        <v>1679.109530631061</v>
      </c>
    </row>
    <row r="786" spans="1:4" x14ac:dyDescent="0.2">
      <c r="A786" s="73"/>
      <c r="B786" s="337" t="s">
        <v>33</v>
      </c>
      <c r="C786">
        <v>45.775306</v>
      </c>
      <c r="D786">
        <v>407.14040962943989</v>
      </c>
    </row>
    <row r="787" spans="1:4" x14ac:dyDescent="0.2">
      <c r="A787" s="73"/>
      <c r="B787" s="337" t="s">
        <v>43</v>
      </c>
      <c r="C787">
        <v>10561.520754220001</v>
      </c>
      <c r="D787">
        <v>415.81087424111291</v>
      </c>
    </row>
    <row r="788" spans="1:4" x14ac:dyDescent="0.2">
      <c r="A788" s="73"/>
      <c r="B788" s="337" t="s">
        <v>15</v>
      </c>
      <c r="C788">
        <v>4404.4075869999997</v>
      </c>
      <c r="D788">
        <v>2118.1589760130182</v>
      </c>
    </row>
    <row r="789" spans="1:4" x14ac:dyDescent="0.2">
      <c r="A789" s="73"/>
      <c r="B789" s="337" t="s">
        <v>42</v>
      </c>
      <c r="C789">
        <v>105.2927045</v>
      </c>
      <c r="D789">
        <v>555.67544187833118</v>
      </c>
    </row>
    <row r="790" spans="1:4" x14ac:dyDescent="0.2">
      <c r="A790" s="73"/>
      <c r="B790" s="337" t="s">
        <v>35</v>
      </c>
      <c r="C790">
        <v>2199.5241339999998</v>
      </c>
      <c r="D790">
        <v>587.19565249993127</v>
      </c>
    </row>
    <row r="791" spans="1:4" x14ac:dyDescent="0.2">
      <c r="A791" s="73"/>
      <c r="B791" s="337" t="s">
        <v>40</v>
      </c>
      <c r="C791">
        <v>1.4450574199999999</v>
      </c>
      <c r="D791">
        <v>2494.7078383865851</v>
      </c>
    </row>
    <row r="792" spans="1:4" x14ac:dyDescent="0.2">
      <c r="A792" s="73">
        <v>45093</v>
      </c>
      <c r="B792" s="337" t="s">
        <v>16</v>
      </c>
      <c r="C792">
        <v>36702.641885169993</v>
      </c>
      <c r="D792">
        <v>1630.9259353377911</v>
      </c>
    </row>
    <row r="793" spans="1:4" x14ac:dyDescent="0.2">
      <c r="A793" s="73"/>
      <c r="B793" s="337" t="s">
        <v>33</v>
      </c>
      <c r="C793">
        <v>45.775306</v>
      </c>
      <c r="D793">
        <v>400.15504300347271</v>
      </c>
    </row>
    <row r="794" spans="1:4" x14ac:dyDescent="0.2">
      <c r="A794" s="73"/>
      <c r="B794" s="337" t="s">
        <v>43</v>
      </c>
      <c r="C794">
        <v>10561.520754220001</v>
      </c>
      <c r="D794">
        <v>434.17461283730552</v>
      </c>
    </row>
    <row r="795" spans="1:4" x14ac:dyDescent="0.2">
      <c r="A795" s="73"/>
      <c r="B795" s="337" t="s">
        <v>15</v>
      </c>
      <c r="C795">
        <v>4404.4075869999997</v>
      </c>
      <c r="D795">
        <v>2102.798076024445</v>
      </c>
    </row>
    <row r="796" spans="1:4" x14ac:dyDescent="0.2">
      <c r="A796" s="73"/>
      <c r="B796" s="337" t="s">
        <v>42</v>
      </c>
      <c r="C796">
        <v>105.2927045</v>
      </c>
      <c r="D796">
        <v>559.70433454721592</v>
      </c>
    </row>
    <row r="797" spans="1:4" x14ac:dyDescent="0.2">
      <c r="A797" s="73"/>
      <c r="B797" s="337" t="s">
        <v>35</v>
      </c>
      <c r="C797">
        <v>2199.5241339999998</v>
      </c>
      <c r="D797">
        <v>579.24034762635597</v>
      </c>
    </row>
    <row r="798" spans="1:4" x14ac:dyDescent="0.2">
      <c r="A798" s="73"/>
      <c r="B798" s="337" t="s">
        <v>40</v>
      </c>
      <c r="C798">
        <v>1.4450574199999999</v>
      </c>
      <c r="D798">
        <v>2480.263725558531</v>
      </c>
    </row>
    <row r="799" spans="1:4" x14ac:dyDescent="0.2">
      <c r="A799" s="73">
        <v>45092</v>
      </c>
      <c r="B799" s="337" t="s">
        <v>16</v>
      </c>
      <c r="C799">
        <v>36702.641885169993</v>
      </c>
      <c r="D799">
        <v>1575.5412817066499</v>
      </c>
    </row>
    <row r="800" spans="1:4" x14ac:dyDescent="0.2">
      <c r="A800" s="73"/>
      <c r="B800" s="337" t="s">
        <v>33</v>
      </c>
      <c r="C800">
        <v>45.775306</v>
      </c>
      <c r="D800">
        <v>397.58437643226148</v>
      </c>
    </row>
    <row r="801" spans="1:4" x14ac:dyDescent="0.2">
      <c r="A801" s="73"/>
      <c r="B801" s="337" t="s">
        <v>43</v>
      </c>
      <c r="C801">
        <v>10561.520754220001</v>
      </c>
      <c r="D801">
        <v>429.12747329927879</v>
      </c>
    </row>
    <row r="802" spans="1:4" x14ac:dyDescent="0.2">
      <c r="A802" s="73"/>
      <c r="B802" s="337" t="s">
        <v>15</v>
      </c>
      <c r="C802">
        <v>4404.4075869999997</v>
      </c>
      <c r="D802">
        <v>2122.3524124766</v>
      </c>
    </row>
    <row r="803" spans="1:4" x14ac:dyDescent="0.2">
      <c r="A803" s="73"/>
      <c r="B803" s="337" t="s">
        <v>42</v>
      </c>
      <c r="C803">
        <v>105.2927045</v>
      </c>
      <c r="D803">
        <v>558.15218109651596</v>
      </c>
    </row>
    <row r="804" spans="1:4" x14ac:dyDescent="0.2">
      <c r="A804" s="73"/>
      <c r="B804" s="337" t="s">
        <v>35</v>
      </c>
      <c r="C804">
        <v>2199.5241339999998</v>
      </c>
      <c r="D804">
        <v>575.6161697155228</v>
      </c>
    </row>
    <row r="805" spans="1:4" x14ac:dyDescent="0.2">
      <c r="A805" s="73"/>
      <c r="B805" s="337" t="s">
        <v>40</v>
      </c>
      <c r="C805">
        <v>1.4450574199999999</v>
      </c>
      <c r="D805">
        <v>2405.988036159441</v>
      </c>
    </row>
    <row r="806" spans="1:4" x14ac:dyDescent="0.2">
      <c r="A806" s="73">
        <v>45091</v>
      </c>
      <c r="B806" s="337" t="s">
        <v>16</v>
      </c>
      <c r="C806">
        <v>36702.641885169993</v>
      </c>
      <c r="D806">
        <v>1668.165169847322</v>
      </c>
    </row>
    <row r="807" spans="1:4" x14ac:dyDescent="0.2">
      <c r="A807" s="73"/>
      <c r="B807" s="337" t="s">
        <v>33</v>
      </c>
      <c r="C807">
        <v>45.775306</v>
      </c>
      <c r="D807">
        <v>387.76527529801939</v>
      </c>
    </row>
    <row r="808" spans="1:4" x14ac:dyDescent="0.2">
      <c r="A808" s="73"/>
      <c r="B808" s="337" t="s">
        <v>43</v>
      </c>
      <c r="C808">
        <v>10561.520754220001</v>
      </c>
      <c r="D808">
        <v>406.69427514127779</v>
      </c>
    </row>
    <row r="809" spans="1:4" x14ac:dyDescent="0.2">
      <c r="A809" s="73"/>
      <c r="B809" s="337" t="s">
        <v>15</v>
      </c>
      <c r="C809">
        <v>4404.4075869999997</v>
      </c>
      <c r="D809">
        <v>2122.8600204510021</v>
      </c>
    </row>
    <row r="810" spans="1:4" x14ac:dyDescent="0.2">
      <c r="A810" s="73"/>
      <c r="B810" s="337" t="s">
        <v>42</v>
      </c>
      <c r="C810">
        <v>105.2927045</v>
      </c>
      <c r="D810">
        <v>552.09636806648666</v>
      </c>
    </row>
    <row r="811" spans="1:4" x14ac:dyDescent="0.2">
      <c r="A811" s="73"/>
      <c r="B811" s="337" t="s">
        <v>35</v>
      </c>
      <c r="C811">
        <v>2199.5241339999998</v>
      </c>
      <c r="D811">
        <v>578.93478973366075</v>
      </c>
    </row>
    <row r="812" spans="1:4" x14ac:dyDescent="0.2">
      <c r="A812" s="73"/>
      <c r="B812" s="337" t="s">
        <v>40</v>
      </c>
      <c r="C812">
        <v>1.4450574199999999</v>
      </c>
      <c r="D812">
        <v>2385.3225664640008</v>
      </c>
    </row>
    <row r="813" spans="1:4" x14ac:dyDescent="0.2">
      <c r="A813" s="73">
        <v>45090</v>
      </c>
      <c r="B813" s="337" t="s">
        <v>16</v>
      </c>
      <c r="C813">
        <v>36702.641885169993</v>
      </c>
      <c r="D813">
        <v>1718.216562586128</v>
      </c>
    </row>
    <row r="814" spans="1:4" x14ac:dyDescent="0.2">
      <c r="A814" s="73"/>
      <c r="B814" s="337" t="s">
        <v>33</v>
      </c>
      <c r="C814">
        <v>45.775306</v>
      </c>
      <c r="D814">
        <v>395.36478173940498</v>
      </c>
    </row>
    <row r="815" spans="1:4" x14ac:dyDescent="0.2">
      <c r="A815" s="73"/>
      <c r="B815" s="337" t="s">
        <v>43</v>
      </c>
      <c r="C815">
        <v>10561.520754220001</v>
      </c>
      <c r="D815">
        <v>417.01150792045257</v>
      </c>
    </row>
    <row r="816" spans="1:4" x14ac:dyDescent="0.2">
      <c r="A816" s="73"/>
      <c r="B816" s="337" t="s">
        <v>15</v>
      </c>
      <c r="C816">
        <v>4404.4075869999997</v>
      </c>
      <c r="D816">
        <v>2300.083692055191</v>
      </c>
    </row>
    <row r="817" spans="1:4" x14ac:dyDescent="0.2">
      <c r="A817" s="73"/>
      <c r="B817" s="337" t="s">
        <v>42</v>
      </c>
      <c r="C817">
        <v>105.2927045</v>
      </c>
      <c r="D817">
        <v>556.96612616765435</v>
      </c>
    </row>
    <row r="818" spans="1:4" x14ac:dyDescent="0.2">
      <c r="A818" s="73"/>
      <c r="B818" s="337" t="s">
        <v>35</v>
      </c>
      <c r="C818">
        <v>2199.5241339999998</v>
      </c>
      <c r="D818">
        <v>604.68065962695744</v>
      </c>
    </row>
    <row r="819" spans="1:4" x14ac:dyDescent="0.2">
      <c r="A819" s="73"/>
      <c r="B819" s="337" t="s">
        <v>40</v>
      </c>
      <c r="C819">
        <v>1.4450574199999999</v>
      </c>
      <c r="D819">
        <v>2509.760463160133</v>
      </c>
    </row>
    <row r="820" spans="1:4" x14ac:dyDescent="0.2">
      <c r="A820" s="73">
        <v>45089</v>
      </c>
      <c r="B820" s="337" t="s">
        <v>16</v>
      </c>
      <c r="C820">
        <v>36702.641885169993</v>
      </c>
      <c r="D820">
        <v>1663.02936916833</v>
      </c>
    </row>
    <row r="821" spans="1:4" x14ac:dyDescent="0.2">
      <c r="A821" s="73"/>
      <c r="B821" s="337" t="s">
        <v>33</v>
      </c>
      <c r="C821">
        <v>45.775306</v>
      </c>
      <c r="D821">
        <v>400.97627762728399</v>
      </c>
    </row>
    <row r="822" spans="1:4" x14ac:dyDescent="0.2">
      <c r="A822" s="73"/>
      <c r="B822" s="337" t="s">
        <v>43</v>
      </c>
      <c r="C822">
        <v>10561.520754220001</v>
      </c>
      <c r="D822">
        <v>419.92902241359837</v>
      </c>
    </row>
    <row r="823" spans="1:4" x14ac:dyDescent="0.2">
      <c r="A823" s="73"/>
      <c r="B823" s="337" t="s">
        <v>15</v>
      </c>
      <c r="C823">
        <v>4404.4075869999997</v>
      </c>
      <c r="D823">
        <v>2322.4070795572929</v>
      </c>
    </row>
    <row r="824" spans="1:4" x14ac:dyDescent="0.2">
      <c r="A824" s="73"/>
      <c r="B824" s="337" t="s">
        <v>42</v>
      </c>
      <c r="C824">
        <v>105.2927045</v>
      </c>
      <c r="D824">
        <v>543.76359293115547</v>
      </c>
    </row>
    <row r="825" spans="1:4" x14ac:dyDescent="0.2">
      <c r="A825" s="73"/>
      <c r="B825" s="337" t="s">
        <v>35</v>
      </c>
      <c r="C825">
        <v>2199.5241339999998</v>
      </c>
      <c r="D825">
        <v>606.31345437259108</v>
      </c>
    </row>
    <row r="826" spans="1:4" x14ac:dyDescent="0.2">
      <c r="A826" s="73"/>
      <c r="B826" s="337" t="s">
        <v>40</v>
      </c>
      <c r="C826">
        <v>1.4450574199999999</v>
      </c>
      <c r="D826">
        <v>2518.1513558289889</v>
      </c>
    </row>
    <row r="827" spans="1:4" x14ac:dyDescent="0.2">
      <c r="A827" s="73">
        <v>45088</v>
      </c>
      <c r="B827" s="337" t="s">
        <v>16</v>
      </c>
      <c r="C827">
        <v>36702.641885169993</v>
      </c>
      <c r="D827">
        <v>1626.845702639416</v>
      </c>
    </row>
    <row r="828" spans="1:4" x14ac:dyDescent="0.2">
      <c r="A828" s="73"/>
      <c r="B828" s="337" t="s">
        <v>33</v>
      </c>
      <c r="C828">
        <v>45.775306</v>
      </c>
      <c r="D828">
        <v>386.20956581887071</v>
      </c>
    </row>
    <row r="829" spans="1:4" x14ac:dyDescent="0.2">
      <c r="A829" s="73"/>
      <c r="B829" s="337" t="s">
        <v>43</v>
      </c>
      <c r="C829">
        <v>10561.520754220001</v>
      </c>
      <c r="D829">
        <v>439.50627974445081</v>
      </c>
    </row>
    <row r="830" spans="1:4" x14ac:dyDescent="0.2">
      <c r="A830" s="73"/>
      <c r="B830" s="337" t="s">
        <v>15</v>
      </c>
      <c r="C830">
        <v>4404.4075869999997</v>
      </c>
      <c r="D830">
        <v>2305.5562565701898</v>
      </c>
    </row>
    <row r="831" spans="1:4" x14ac:dyDescent="0.2">
      <c r="A831" s="73"/>
      <c r="B831" s="337" t="s">
        <v>42</v>
      </c>
      <c r="C831">
        <v>105.2927045</v>
      </c>
      <c r="D831">
        <v>544.35893683508527</v>
      </c>
    </row>
    <row r="832" spans="1:4" x14ac:dyDescent="0.2">
      <c r="A832" s="73"/>
      <c r="B832" s="337" t="s">
        <v>35</v>
      </c>
      <c r="C832">
        <v>2199.5241339999998</v>
      </c>
      <c r="D832">
        <v>600.24835455405139</v>
      </c>
    </row>
    <row r="833" spans="1:4" x14ac:dyDescent="0.2">
      <c r="A833" s="73"/>
      <c r="B833" s="337" t="s">
        <v>40</v>
      </c>
      <c r="C833">
        <v>1.4450574199999999</v>
      </c>
      <c r="D833">
        <v>2531.3426259688322</v>
      </c>
    </row>
    <row r="834" spans="1:4" x14ac:dyDescent="0.2">
      <c r="A834" s="73">
        <v>45087</v>
      </c>
      <c r="B834" s="337" t="s">
        <v>33</v>
      </c>
      <c r="C834">
        <v>45.775306</v>
      </c>
      <c r="D834">
        <v>377.69584915639803</v>
      </c>
    </row>
    <row r="835" spans="1:4" x14ac:dyDescent="0.2">
      <c r="A835" s="73"/>
      <c r="B835" s="337" t="s">
        <v>43</v>
      </c>
      <c r="C835">
        <v>10561.520754220001</v>
      </c>
      <c r="D835">
        <v>434.20312894334182</v>
      </c>
    </row>
    <row r="836" spans="1:4" x14ac:dyDescent="0.2">
      <c r="A836" s="73"/>
      <c r="B836" s="337" t="s">
        <v>16</v>
      </c>
      <c r="C836">
        <v>36572.399698799993</v>
      </c>
      <c r="D836">
        <v>1668.5773352380661</v>
      </c>
    </row>
    <row r="837" spans="1:4" x14ac:dyDescent="0.2">
      <c r="A837" s="73"/>
      <c r="B837" s="337" t="s">
        <v>15</v>
      </c>
      <c r="C837">
        <v>4404.4075869999997</v>
      </c>
      <c r="D837">
        <v>2249.8731812989349</v>
      </c>
    </row>
    <row r="838" spans="1:4" x14ac:dyDescent="0.2">
      <c r="A838" s="73"/>
      <c r="B838" s="337" t="s">
        <v>42</v>
      </c>
      <c r="C838">
        <v>105.2927045</v>
      </c>
      <c r="D838">
        <v>552.77507957505838</v>
      </c>
    </row>
    <row r="839" spans="1:4" x14ac:dyDescent="0.2">
      <c r="A839" s="73"/>
      <c r="B839" s="337" t="s">
        <v>35</v>
      </c>
      <c r="C839">
        <v>2199.5241339999998</v>
      </c>
      <c r="D839">
        <v>607.75038149409181</v>
      </c>
    </row>
    <row r="840" spans="1:4" x14ac:dyDescent="0.2">
      <c r="A840" s="73"/>
      <c r="B840" s="337" t="s">
        <v>40</v>
      </c>
      <c r="C840">
        <v>1.4450574199999999</v>
      </c>
      <c r="D840">
        <v>2535.603568389226</v>
      </c>
    </row>
    <row r="841" spans="1:4" x14ac:dyDescent="0.2">
      <c r="A841" s="73">
        <v>45086</v>
      </c>
      <c r="B841" s="337" t="s">
        <v>33</v>
      </c>
      <c r="C841">
        <v>45.775306</v>
      </c>
      <c r="D841">
        <v>419.51354762397642</v>
      </c>
    </row>
    <row r="842" spans="1:4" x14ac:dyDescent="0.2">
      <c r="A842" s="73"/>
      <c r="B842" s="337" t="s">
        <v>43</v>
      </c>
      <c r="C842">
        <v>10561.520754220001</v>
      </c>
      <c r="D842">
        <v>451.54208318075229</v>
      </c>
    </row>
    <row r="843" spans="1:4" x14ac:dyDescent="0.2">
      <c r="A843" s="73"/>
      <c r="B843" s="337" t="s">
        <v>16</v>
      </c>
      <c r="C843">
        <v>36572.399698799993</v>
      </c>
      <c r="D843">
        <v>1775.201240767941</v>
      </c>
    </row>
    <row r="844" spans="1:4" x14ac:dyDescent="0.2">
      <c r="A844" s="73"/>
      <c r="B844" s="337" t="s">
        <v>15</v>
      </c>
      <c r="C844">
        <v>4404.4075869999997</v>
      </c>
      <c r="D844">
        <v>2372.7261589605678</v>
      </c>
    </row>
    <row r="845" spans="1:4" x14ac:dyDescent="0.2">
      <c r="A845" s="73"/>
      <c r="B845" s="337" t="s">
        <v>42</v>
      </c>
      <c r="C845">
        <v>105.2927045</v>
      </c>
      <c r="D845">
        <v>629.90798098790265</v>
      </c>
    </row>
    <row r="846" spans="1:4" x14ac:dyDescent="0.2">
      <c r="A846" s="73"/>
      <c r="B846" s="337" t="s">
        <v>35</v>
      </c>
      <c r="C846">
        <v>2199.5241339999998</v>
      </c>
      <c r="D846">
        <v>649.34850775926418</v>
      </c>
    </row>
    <row r="847" spans="1:4" x14ac:dyDescent="0.2">
      <c r="A847" s="73"/>
      <c r="B847" s="337" t="s">
        <v>40</v>
      </c>
      <c r="C847">
        <v>1.4450574199999999</v>
      </c>
      <c r="D847">
        <v>2657.7611856177869</v>
      </c>
    </row>
    <row r="848" spans="1:4" x14ac:dyDescent="0.2">
      <c r="A848" s="73">
        <v>45085</v>
      </c>
      <c r="B848" s="337" t="s">
        <v>33</v>
      </c>
      <c r="C848">
        <v>45.775306</v>
      </c>
      <c r="D848">
        <v>432.33186603296701</v>
      </c>
    </row>
    <row r="849" spans="1:4" x14ac:dyDescent="0.2">
      <c r="A849" s="73"/>
      <c r="B849" s="337" t="s">
        <v>43</v>
      </c>
      <c r="C849">
        <v>10561.520754220001</v>
      </c>
      <c r="D849">
        <v>465.38696950704428</v>
      </c>
    </row>
    <row r="850" spans="1:4" x14ac:dyDescent="0.2">
      <c r="A850" s="73"/>
      <c r="B850" s="337" t="s">
        <v>16</v>
      </c>
      <c r="C850">
        <v>36572.399698799993</v>
      </c>
      <c r="D850">
        <v>1785.010689815153</v>
      </c>
    </row>
    <row r="851" spans="1:4" x14ac:dyDescent="0.2">
      <c r="A851" s="73"/>
      <c r="B851" s="337" t="s">
        <v>15</v>
      </c>
      <c r="C851">
        <v>4404.4075869999997</v>
      </c>
      <c r="D851">
        <v>2313.1902841085089</v>
      </c>
    </row>
    <row r="852" spans="1:4" x14ac:dyDescent="0.2">
      <c r="A852" s="73"/>
      <c r="B852" s="337" t="s">
        <v>42</v>
      </c>
      <c r="C852">
        <v>105.2927045</v>
      </c>
      <c r="D852">
        <v>630.95323640645279</v>
      </c>
    </row>
    <row r="853" spans="1:4" x14ac:dyDescent="0.2">
      <c r="A853" s="73"/>
      <c r="B853" s="337" t="s">
        <v>35</v>
      </c>
      <c r="C853">
        <v>2199.5241339999998</v>
      </c>
      <c r="D853">
        <v>710.81431966010075</v>
      </c>
    </row>
    <row r="854" spans="1:4" x14ac:dyDescent="0.2">
      <c r="A854" s="73"/>
      <c r="B854" s="337" t="s">
        <v>40</v>
      </c>
      <c r="C854">
        <v>1.4450574199999999</v>
      </c>
      <c r="D854">
        <v>2667.6193516148028</v>
      </c>
    </row>
    <row r="855" spans="1:4" x14ac:dyDescent="0.2">
      <c r="A855" s="73">
        <v>45084</v>
      </c>
      <c r="B855" s="337" t="s">
        <v>33</v>
      </c>
      <c r="C855">
        <v>45.775306</v>
      </c>
      <c r="D855">
        <v>431.22666979142139</v>
      </c>
    </row>
    <row r="856" spans="1:4" x14ac:dyDescent="0.2">
      <c r="A856" s="73"/>
      <c r="B856" s="337" t="s">
        <v>43</v>
      </c>
      <c r="C856">
        <v>10561.520754220001</v>
      </c>
      <c r="D856">
        <v>463.23917864646609</v>
      </c>
    </row>
    <row r="857" spans="1:4" x14ac:dyDescent="0.2">
      <c r="A857" s="73"/>
      <c r="B857" s="337" t="s">
        <v>16</v>
      </c>
      <c r="C857">
        <v>36572.399698799993</v>
      </c>
      <c r="D857">
        <v>1776.2772007670801</v>
      </c>
    </row>
    <row r="858" spans="1:4" x14ac:dyDescent="0.2">
      <c r="A858" s="73"/>
      <c r="B858" s="337" t="s">
        <v>15</v>
      </c>
      <c r="C858">
        <v>4404.4075869999997</v>
      </c>
      <c r="D858">
        <v>2294.0868268610352</v>
      </c>
    </row>
    <row r="859" spans="1:4" x14ac:dyDescent="0.2">
      <c r="A859" s="73"/>
      <c r="B859" s="337" t="s">
        <v>42</v>
      </c>
      <c r="C859">
        <v>105.2927045</v>
      </c>
      <c r="D859">
        <v>622.82909665923421</v>
      </c>
    </row>
    <row r="860" spans="1:4" x14ac:dyDescent="0.2">
      <c r="A860" s="73"/>
      <c r="B860" s="337" t="s">
        <v>35</v>
      </c>
      <c r="C860">
        <v>2199.5241339999998</v>
      </c>
      <c r="D860">
        <v>709.10711501301409</v>
      </c>
    </row>
    <row r="861" spans="1:4" x14ac:dyDescent="0.2">
      <c r="A861" s="73"/>
      <c r="B861" s="337" t="s">
        <v>40</v>
      </c>
      <c r="C861">
        <v>1.4450574199999999</v>
      </c>
      <c r="D861">
        <v>2647.8081934500119</v>
      </c>
    </row>
    <row r="862" spans="1:4" x14ac:dyDescent="0.2">
      <c r="A862" s="73">
        <v>45083</v>
      </c>
      <c r="B862" s="337" t="s">
        <v>33</v>
      </c>
      <c r="C862">
        <v>45.775306</v>
      </c>
      <c r="D862">
        <v>465.21251139964193</v>
      </c>
    </row>
    <row r="863" spans="1:4" x14ac:dyDescent="0.2">
      <c r="A863" s="73"/>
      <c r="B863" s="337" t="s">
        <v>43</v>
      </c>
      <c r="C863">
        <v>10561.520754220001</v>
      </c>
      <c r="D863">
        <v>475.01823151323248</v>
      </c>
    </row>
    <row r="864" spans="1:4" x14ac:dyDescent="0.2">
      <c r="A864" s="73"/>
      <c r="B864" s="337" t="s">
        <v>16</v>
      </c>
      <c r="C864">
        <v>36572.399698799993</v>
      </c>
      <c r="D864">
        <v>1816.6311865947359</v>
      </c>
    </row>
    <row r="865" spans="1:4" x14ac:dyDescent="0.2">
      <c r="A865" s="73"/>
      <c r="B865" s="337" t="s">
        <v>15</v>
      </c>
      <c r="C865">
        <v>4404.4075869999997</v>
      </c>
      <c r="D865">
        <v>2341.885748287104</v>
      </c>
    </row>
    <row r="866" spans="1:4" x14ac:dyDescent="0.2">
      <c r="A866" s="73"/>
      <c r="B866" s="337" t="s">
        <v>42</v>
      </c>
      <c r="C866">
        <v>105.2927045</v>
      </c>
      <c r="D866">
        <v>658.95755691565455</v>
      </c>
    </row>
    <row r="867" spans="1:4" x14ac:dyDescent="0.2">
      <c r="A867" s="73"/>
      <c r="B867" s="337" t="s">
        <v>35</v>
      </c>
      <c r="C867">
        <v>2199.5241339999998</v>
      </c>
      <c r="D867">
        <v>778.86192159379505</v>
      </c>
    </row>
    <row r="868" spans="1:4" x14ac:dyDescent="0.2">
      <c r="A868" s="73"/>
      <c r="B868" s="337" t="s">
        <v>40</v>
      </c>
      <c r="C868">
        <v>1.4450574199999999</v>
      </c>
      <c r="D868">
        <v>2721.39367057956</v>
      </c>
    </row>
    <row r="869" spans="1:4" x14ac:dyDescent="0.2">
      <c r="A869" s="73">
        <v>45082</v>
      </c>
      <c r="B869" s="337" t="s">
        <v>33</v>
      </c>
      <c r="C869">
        <v>45.775306</v>
      </c>
      <c r="D869">
        <v>458.9392323001066</v>
      </c>
    </row>
    <row r="870" spans="1:4" x14ac:dyDescent="0.2">
      <c r="A870" s="73"/>
      <c r="B870" s="337" t="s">
        <v>43</v>
      </c>
      <c r="C870">
        <v>10561.520754220001</v>
      </c>
      <c r="D870">
        <v>442.5843293530607</v>
      </c>
    </row>
    <row r="871" spans="1:4" x14ac:dyDescent="0.2">
      <c r="A871" s="73"/>
      <c r="B871" s="337" t="s">
        <v>16</v>
      </c>
      <c r="C871">
        <v>36572.399698799993</v>
      </c>
      <c r="D871">
        <v>1793.5305960489859</v>
      </c>
    </row>
    <row r="872" spans="1:4" x14ac:dyDescent="0.2">
      <c r="A872" s="73"/>
      <c r="B872" s="337" t="s">
        <v>15</v>
      </c>
      <c r="C872">
        <v>4404.4075869999997</v>
      </c>
      <c r="D872">
        <v>2256.1830236962228</v>
      </c>
    </row>
    <row r="873" spans="1:4" x14ac:dyDescent="0.2">
      <c r="A873" s="73"/>
      <c r="B873" s="337" t="s">
        <v>42</v>
      </c>
      <c r="C873">
        <v>105.2927045</v>
      </c>
      <c r="D873">
        <v>638.98990423940791</v>
      </c>
    </row>
    <row r="874" spans="1:4" x14ac:dyDescent="0.2">
      <c r="A874" s="73"/>
      <c r="B874" s="337" t="s">
        <v>35</v>
      </c>
      <c r="C874">
        <v>2199.5241339999998</v>
      </c>
      <c r="D874">
        <v>774.40861106540933</v>
      </c>
    </row>
    <row r="875" spans="1:4" x14ac:dyDescent="0.2">
      <c r="A875" s="73"/>
      <c r="B875" s="337" t="s">
        <v>40</v>
      </c>
      <c r="C875">
        <v>1.4450574199999999</v>
      </c>
      <c r="D875">
        <v>2620.8741329311251</v>
      </c>
    </row>
    <row r="876" spans="1:4" x14ac:dyDescent="0.2">
      <c r="A876" s="73">
        <v>45081</v>
      </c>
      <c r="B876" s="337" t="s">
        <v>33</v>
      </c>
      <c r="C876">
        <v>45.775306</v>
      </c>
      <c r="D876">
        <v>492.81175622281802</v>
      </c>
    </row>
    <row r="877" spans="1:4" x14ac:dyDescent="0.2">
      <c r="A877" s="73"/>
      <c r="B877" s="337" t="s">
        <v>43</v>
      </c>
      <c r="C877">
        <v>10561.520754220001</v>
      </c>
      <c r="D877">
        <v>486.95021520052012</v>
      </c>
    </row>
    <row r="878" spans="1:4" x14ac:dyDescent="0.2">
      <c r="A878" s="73"/>
      <c r="B878" s="337" t="s">
        <v>16</v>
      </c>
      <c r="C878">
        <v>36572.399698799993</v>
      </c>
      <c r="D878">
        <v>1845.8854491138061</v>
      </c>
    </row>
    <row r="879" spans="1:4" x14ac:dyDescent="0.2">
      <c r="A879" s="73"/>
      <c r="B879" s="337" t="s">
        <v>15</v>
      </c>
      <c r="C879">
        <v>4404.4075869999997</v>
      </c>
      <c r="D879">
        <v>2367.914079407316</v>
      </c>
    </row>
    <row r="880" spans="1:4" x14ac:dyDescent="0.2">
      <c r="A880" s="73"/>
      <c r="B880" s="337" t="s">
        <v>42</v>
      </c>
      <c r="C880">
        <v>105.2927045</v>
      </c>
      <c r="D880">
        <v>680.69720262739963</v>
      </c>
    </row>
    <row r="881" spans="1:4" x14ac:dyDescent="0.2">
      <c r="A881" s="73"/>
      <c r="B881" s="337" t="s">
        <v>35</v>
      </c>
      <c r="C881">
        <v>2199.5241339999998</v>
      </c>
      <c r="D881">
        <v>832.79588100733429</v>
      </c>
    </row>
    <row r="882" spans="1:4" x14ac:dyDescent="0.2">
      <c r="A882" s="73"/>
      <c r="B882" s="337" t="s">
        <v>40</v>
      </c>
      <c r="C882">
        <v>1.4450574199999999</v>
      </c>
      <c r="D882">
        <v>2735.75132144596</v>
      </c>
    </row>
    <row r="883" spans="1:4" x14ac:dyDescent="0.2">
      <c r="A883" s="73">
        <v>45080</v>
      </c>
      <c r="B883" s="337" t="s">
        <v>16</v>
      </c>
      <c r="C883">
        <v>36572.399698799993</v>
      </c>
      <c r="D883">
        <v>1846.701379351086</v>
      </c>
    </row>
    <row r="884" spans="1:4" x14ac:dyDescent="0.2">
      <c r="A884" s="73"/>
      <c r="B884" s="337" t="s">
        <v>15</v>
      </c>
      <c r="C884">
        <v>4404.4075869999997</v>
      </c>
      <c r="D884">
        <v>2290.1699871939159</v>
      </c>
    </row>
    <row r="885" spans="1:4" x14ac:dyDescent="0.2">
      <c r="A885" s="73"/>
      <c r="B885" s="337" t="s">
        <v>42</v>
      </c>
      <c r="C885">
        <v>105.2927045</v>
      </c>
      <c r="D885">
        <v>676.02352481225989</v>
      </c>
    </row>
    <row r="886" spans="1:4" x14ac:dyDescent="0.2">
      <c r="A886" s="73"/>
      <c r="B886" s="337" t="s">
        <v>35</v>
      </c>
      <c r="C886">
        <v>2199.5241339999998</v>
      </c>
      <c r="D886">
        <v>826.90762292916816</v>
      </c>
    </row>
    <row r="887" spans="1:4" x14ac:dyDescent="0.2">
      <c r="A887" s="73"/>
      <c r="B887" s="337" t="s">
        <v>40</v>
      </c>
      <c r="C887">
        <v>1.4450574199999999</v>
      </c>
      <c r="D887">
        <v>2734.161608113593</v>
      </c>
    </row>
    <row r="888" spans="1:4" x14ac:dyDescent="0.2">
      <c r="A888" s="73">
        <v>45079</v>
      </c>
      <c r="B888" s="337" t="s">
        <v>16</v>
      </c>
      <c r="C888">
        <v>36572.399698799993</v>
      </c>
      <c r="D888">
        <v>1866.7423229380349</v>
      </c>
    </row>
    <row r="889" spans="1:4" x14ac:dyDescent="0.2">
      <c r="A889" s="73"/>
      <c r="B889" s="337" t="s">
        <v>15</v>
      </c>
      <c r="C889">
        <v>4404.4075869999997</v>
      </c>
      <c r="D889">
        <v>2316.335295390083</v>
      </c>
    </row>
    <row r="890" spans="1:4" x14ac:dyDescent="0.2">
      <c r="A890" s="73"/>
      <c r="B890" s="337" t="s">
        <v>42</v>
      </c>
      <c r="C890">
        <v>105.2927045</v>
      </c>
      <c r="D890">
        <v>679.77196930978198</v>
      </c>
    </row>
    <row r="891" spans="1:4" x14ac:dyDescent="0.2">
      <c r="A891" s="73"/>
      <c r="B891" s="337" t="s">
        <v>35</v>
      </c>
      <c r="C891">
        <v>2199.5241339999998</v>
      </c>
      <c r="D891">
        <v>832.49784548717719</v>
      </c>
    </row>
    <row r="892" spans="1:4" x14ac:dyDescent="0.2">
      <c r="A892" s="73"/>
      <c r="B892" s="337" t="s">
        <v>40</v>
      </c>
      <c r="C892">
        <v>1.4450574199999999</v>
      </c>
      <c r="D892">
        <v>2756.0313172047709</v>
      </c>
    </row>
    <row r="893" spans="1:4" x14ac:dyDescent="0.2">
      <c r="A893" s="73">
        <v>45078</v>
      </c>
      <c r="B893" s="337" t="s">
        <v>16</v>
      </c>
      <c r="C893">
        <v>36572.399698799993</v>
      </c>
      <c r="D893">
        <v>1845.835344926219</v>
      </c>
    </row>
    <row r="894" spans="1:4" x14ac:dyDescent="0.2">
      <c r="A894" s="73"/>
      <c r="B894" s="337" t="s">
        <v>15</v>
      </c>
      <c r="C894">
        <v>4404.4075869999997</v>
      </c>
      <c r="D894">
        <v>2239.466226831993</v>
      </c>
    </row>
    <row r="895" spans="1:4" x14ac:dyDescent="0.2">
      <c r="A895" s="73"/>
      <c r="B895" s="337" t="s">
        <v>42</v>
      </c>
      <c r="C895">
        <v>105.2927045</v>
      </c>
      <c r="D895">
        <v>667.87703563558432</v>
      </c>
    </row>
    <row r="896" spans="1:4" x14ac:dyDescent="0.2">
      <c r="A896" s="73"/>
      <c r="B896" s="337" t="s">
        <v>35</v>
      </c>
      <c r="C896">
        <v>2199.5241339999998</v>
      </c>
      <c r="D896">
        <v>803.21107166676052</v>
      </c>
    </row>
    <row r="897" spans="1:4" x14ac:dyDescent="0.2">
      <c r="A897" s="73"/>
      <c r="B897" s="337" t="s">
        <v>40</v>
      </c>
      <c r="C897">
        <v>1.4450574199999999</v>
      </c>
      <c r="D897">
        <v>2690.300084414469</v>
      </c>
    </row>
    <row r="898" spans="1:4" x14ac:dyDescent="0.2">
      <c r="A898" s="73">
        <v>45077</v>
      </c>
      <c r="B898" s="337" t="s">
        <v>16</v>
      </c>
      <c r="C898">
        <v>36572.399698799993</v>
      </c>
      <c r="D898">
        <v>1887.923959671589</v>
      </c>
    </row>
    <row r="899" spans="1:4" x14ac:dyDescent="0.2">
      <c r="A899" s="73"/>
      <c r="B899" s="337" t="s">
        <v>15</v>
      </c>
      <c r="C899">
        <v>4404.4075869999997</v>
      </c>
      <c r="D899">
        <v>2287.4169241435102</v>
      </c>
    </row>
    <row r="900" spans="1:4" x14ac:dyDescent="0.2">
      <c r="A900" s="73"/>
      <c r="B900" s="337" t="s">
        <v>42</v>
      </c>
      <c r="C900">
        <v>105.2927045</v>
      </c>
      <c r="D900">
        <v>682.95431074034093</v>
      </c>
    </row>
    <row r="901" spans="1:4" x14ac:dyDescent="0.2">
      <c r="A901" s="73"/>
      <c r="B901" s="337" t="s">
        <v>35</v>
      </c>
      <c r="C901">
        <v>2199.5241339999998</v>
      </c>
      <c r="D901">
        <v>825.00982951587036</v>
      </c>
    </row>
    <row r="902" spans="1:4" x14ac:dyDescent="0.2">
      <c r="A902" s="73"/>
      <c r="B902" s="337" t="s">
        <v>40</v>
      </c>
      <c r="C902">
        <v>1.4450574199999999</v>
      </c>
      <c r="D902">
        <v>2709.041753848649</v>
      </c>
    </row>
    <row r="903" spans="1:4" x14ac:dyDescent="0.2">
      <c r="A903" s="73">
        <v>45076</v>
      </c>
      <c r="B903" s="337" t="s">
        <v>16</v>
      </c>
      <c r="C903">
        <v>36572.399698799993</v>
      </c>
      <c r="D903">
        <v>1939.3897376997311</v>
      </c>
    </row>
    <row r="904" spans="1:4" x14ac:dyDescent="0.2">
      <c r="A904" s="73"/>
      <c r="B904" s="337" t="s">
        <v>15</v>
      </c>
      <c r="C904">
        <v>4404.4075869999997</v>
      </c>
      <c r="D904">
        <v>2300.5065151835429</v>
      </c>
    </row>
    <row r="905" spans="1:4" x14ac:dyDescent="0.2">
      <c r="A905" s="73"/>
      <c r="B905" s="337" t="s">
        <v>42</v>
      </c>
      <c r="C905">
        <v>105.2927045</v>
      </c>
      <c r="D905">
        <v>696.15325981317869</v>
      </c>
    </row>
    <row r="906" spans="1:4" x14ac:dyDescent="0.2">
      <c r="A906" s="73"/>
      <c r="B906" s="337" t="s">
        <v>35</v>
      </c>
      <c r="C906">
        <v>2199.5241339999998</v>
      </c>
      <c r="D906">
        <v>831.37778181242038</v>
      </c>
    </row>
    <row r="907" spans="1:4" x14ac:dyDescent="0.2">
      <c r="A907" s="73"/>
      <c r="B907" s="337" t="s">
        <v>40</v>
      </c>
      <c r="C907">
        <v>1.4450574199999999</v>
      </c>
      <c r="D907">
        <v>2747.16731809777</v>
      </c>
    </row>
    <row r="908" spans="1:4" x14ac:dyDescent="0.2">
      <c r="A908" s="73">
        <v>45075</v>
      </c>
      <c r="B908" s="337" t="s">
        <v>16</v>
      </c>
      <c r="C908">
        <v>36572.399698799993</v>
      </c>
      <c r="D908">
        <v>1937.652182990041</v>
      </c>
    </row>
    <row r="909" spans="1:4" x14ac:dyDescent="0.2">
      <c r="A909" s="73"/>
      <c r="B909" s="337" t="s">
        <v>15</v>
      </c>
      <c r="C909">
        <v>4404.4075869999997</v>
      </c>
      <c r="D909">
        <v>2174.741739622069</v>
      </c>
    </row>
    <row r="910" spans="1:4" x14ac:dyDescent="0.2">
      <c r="A910" s="73"/>
      <c r="B910" s="337" t="s">
        <v>42</v>
      </c>
      <c r="C910">
        <v>105.2927045</v>
      </c>
      <c r="D910">
        <v>699.16430580742178</v>
      </c>
    </row>
    <row r="911" spans="1:4" x14ac:dyDescent="0.2">
      <c r="A911" s="73"/>
      <c r="B911" s="337" t="s">
        <v>35</v>
      </c>
      <c r="C911">
        <v>2199.5241339999998</v>
      </c>
      <c r="D911">
        <v>833.62633333936731</v>
      </c>
    </row>
    <row r="912" spans="1:4" x14ac:dyDescent="0.2">
      <c r="A912" s="73"/>
      <c r="B912" s="337" t="s">
        <v>40</v>
      </c>
      <c r="C912">
        <v>1.4450574199999999</v>
      </c>
      <c r="D912">
        <v>2736.5258631336692</v>
      </c>
    </row>
    <row r="913" spans="1:4" x14ac:dyDescent="0.2">
      <c r="A913" s="73">
        <v>45074</v>
      </c>
      <c r="B913" s="337" t="s">
        <v>16</v>
      </c>
      <c r="C913">
        <v>36572.399698799993</v>
      </c>
      <c r="D913">
        <v>1960.71400679211</v>
      </c>
    </row>
    <row r="914" spans="1:4" x14ac:dyDescent="0.2">
      <c r="A914" s="73"/>
      <c r="B914" s="337" t="s">
        <v>15</v>
      </c>
      <c r="C914">
        <v>4404.4075869999997</v>
      </c>
      <c r="D914">
        <v>2129.6336910112768</v>
      </c>
    </row>
    <row r="915" spans="1:4" x14ac:dyDescent="0.2">
      <c r="A915" s="73"/>
      <c r="B915" s="337" t="s">
        <v>42</v>
      </c>
      <c r="C915">
        <v>105.2927045</v>
      </c>
      <c r="D915">
        <v>699.60466095618165</v>
      </c>
    </row>
    <row r="916" spans="1:4" x14ac:dyDescent="0.2">
      <c r="A916" s="73"/>
      <c r="B916" s="337" t="s">
        <v>35</v>
      </c>
      <c r="C916">
        <v>2199.5241339999998</v>
      </c>
      <c r="D916">
        <v>843.20350132363001</v>
      </c>
    </row>
    <row r="917" spans="1:4" x14ac:dyDescent="0.2">
      <c r="A917" s="73"/>
      <c r="B917" s="337" t="s">
        <v>40</v>
      </c>
      <c r="C917">
        <v>1.4450574199999999</v>
      </c>
      <c r="D917">
        <v>2765.5743715964368</v>
      </c>
    </row>
    <row r="918" spans="1:4" x14ac:dyDescent="0.2">
      <c r="A918" s="73">
        <v>45073</v>
      </c>
      <c r="B918" s="337" t="s">
        <v>16</v>
      </c>
      <c r="C918">
        <v>36572.399698799993</v>
      </c>
      <c r="D918">
        <v>1912.2903209709141</v>
      </c>
    </row>
    <row r="919" spans="1:4" x14ac:dyDescent="0.2">
      <c r="A919" s="73"/>
      <c r="B919" s="337" t="s">
        <v>15</v>
      </c>
      <c r="C919">
        <v>4404.4075869999997</v>
      </c>
      <c r="D919">
        <v>2079.833538909902</v>
      </c>
    </row>
    <row r="920" spans="1:4" x14ac:dyDescent="0.2">
      <c r="A920" s="73"/>
      <c r="B920" s="337" t="s">
        <v>42</v>
      </c>
      <c r="C920">
        <v>105.2927045</v>
      </c>
      <c r="D920">
        <v>677.88839233068973</v>
      </c>
    </row>
    <row r="921" spans="1:4" x14ac:dyDescent="0.2">
      <c r="A921" s="73"/>
      <c r="B921" s="337" t="s">
        <v>35</v>
      </c>
      <c r="C921">
        <v>2199.5241339999998</v>
      </c>
      <c r="D921">
        <v>807.3406782283455</v>
      </c>
    </row>
    <row r="922" spans="1:4" x14ac:dyDescent="0.2">
      <c r="A922" s="73"/>
      <c r="B922" s="337" t="s">
        <v>40</v>
      </c>
      <c r="C922">
        <v>1.4450574199999999</v>
      </c>
      <c r="D922">
        <v>2644.8982073653192</v>
      </c>
    </row>
    <row r="923" spans="1:4" x14ac:dyDescent="0.2">
      <c r="A923" s="73">
        <v>45072</v>
      </c>
      <c r="B923" s="337" t="s">
        <v>16</v>
      </c>
      <c r="C923">
        <v>36572.399698799993</v>
      </c>
      <c r="D923">
        <v>1914.5526896162819</v>
      </c>
    </row>
    <row r="924" spans="1:4" x14ac:dyDescent="0.2">
      <c r="A924" s="73"/>
      <c r="B924" s="337" t="s">
        <v>15</v>
      </c>
      <c r="C924">
        <v>4404.4075869999997</v>
      </c>
      <c r="D924">
        <v>2068.949190704604</v>
      </c>
    </row>
    <row r="925" spans="1:4" x14ac:dyDescent="0.2">
      <c r="A925" s="73"/>
      <c r="B925" s="337" t="s">
        <v>42</v>
      </c>
      <c r="C925">
        <v>105.2927045</v>
      </c>
      <c r="D925">
        <v>668.73708013399187</v>
      </c>
    </row>
    <row r="926" spans="1:4" x14ac:dyDescent="0.2">
      <c r="A926" s="73"/>
      <c r="B926" s="337" t="s">
        <v>35</v>
      </c>
      <c r="C926">
        <v>2199.5241339999998</v>
      </c>
      <c r="D926">
        <v>798.42367541766157</v>
      </c>
    </row>
    <row r="927" spans="1:4" x14ac:dyDescent="0.2">
      <c r="A927" s="73"/>
      <c r="B927" s="337" t="s">
        <v>40</v>
      </c>
      <c r="C927">
        <v>1.4450574199999999</v>
      </c>
      <c r="D927">
        <v>2642.9472141002329</v>
      </c>
    </row>
    <row r="928" spans="1:4" x14ac:dyDescent="0.2">
      <c r="A928" s="73">
        <v>45071</v>
      </c>
      <c r="B928" s="337" t="s">
        <v>16</v>
      </c>
      <c r="C928">
        <v>36572.399698799993</v>
      </c>
      <c r="D928">
        <v>1857.456590654509</v>
      </c>
    </row>
    <row r="929" spans="1:4" x14ac:dyDescent="0.2">
      <c r="A929" s="73"/>
      <c r="B929" s="337" t="s">
        <v>15</v>
      </c>
      <c r="C929">
        <v>4404.4075869999997</v>
      </c>
      <c r="D929">
        <v>2000.1083001197951</v>
      </c>
    </row>
    <row r="930" spans="1:4" x14ac:dyDescent="0.2">
      <c r="A930" s="73"/>
      <c r="B930" s="337" t="s">
        <v>42</v>
      </c>
      <c r="C930">
        <v>105.2927045</v>
      </c>
      <c r="D930">
        <v>660.8443032051523</v>
      </c>
    </row>
    <row r="931" spans="1:4" x14ac:dyDescent="0.2">
      <c r="A931" s="73"/>
      <c r="B931" s="337" t="s">
        <v>35</v>
      </c>
      <c r="C931">
        <v>2199.5241339999998</v>
      </c>
      <c r="D931">
        <v>788.65391710022561</v>
      </c>
    </row>
    <row r="932" spans="1:4" x14ac:dyDescent="0.2">
      <c r="A932" s="73"/>
      <c r="B932" s="337" t="s">
        <v>40</v>
      </c>
      <c r="C932">
        <v>1.4450574199999999</v>
      </c>
      <c r="D932">
        <v>2609.4930131592132</v>
      </c>
    </row>
    <row r="933" spans="1:4" x14ac:dyDescent="0.2">
      <c r="A933" s="73">
        <v>45070</v>
      </c>
      <c r="B933" s="337" t="s">
        <v>16</v>
      </c>
      <c r="C933">
        <v>36572.399698799993</v>
      </c>
      <c r="D933">
        <v>1867.223615718071</v>
      </c>
    </row>
    <row r="934" spans="1:4" x14ac:dyDescent="0.2">
      <c r="A934" s="73"/>
      <c r="B934" s="337" t="s">
        <v>15</v>
      </c>
      <c r="C934">
        <v>4404.4075869999997</v>
      </c>
      <c r="D934">
        <v>2001.2080806942679</v>
      </c>
    </row>
    <row r="935" spans="1:4" x14ac:dyDescent="0.2">
      <c r="A935" s="73"/>
      <c r="B935" s="337" t="s">
        <v>42</v>
      </c>
      <c r="C935">
        <v>105.2927045</v>
      </c>
      <c r="D935">
        <v>666.04919113791084</v>
      </c>
    </row>
    <row r="936" spans="1:4" x14ac:dyDescent="0.2">
      <c r="A936" s="73"/>
      <c r="B936" s="337" t="s">
        <v>35</v>
      </c>
      <c r="C936">
        <v>2199.5241339999998</v>
      </c>
      <c r="D936">
        <v>801.69621540519199</v>
      </c>
    </row>
    <row r="937" spans="1:4" x14ac:dyDescent="0.2">
      <c r="A937" s="73"/>
      <c r="B937" s="337" t="s">
        <v>40</v>
      </c>
      <c r="C937">
        <v>1.4450574199999999</v>
      </c>
      <c r="D937">
        <v>2602.1669331596631</v>
      </c>
    </row>
    <row r="938" spans="1:4" x14ac:dyDescent="0.2">
      <c r="A938" s="73">
        <v>45069</v>
      </c>
      <c r="B938" s="337" t="s">
        <v>16</v>
      </c>
      <c r="C938">
        <v>36572.399698799993</v>
      </c>
      <c r="D938">
        <v>1919.6713626781259</v>
      </c>
    </row>
    <row r="939" spans="1:4" x14ac:dyDescent="0.2">
      <c r="A939" s="73"/>
      <c r="B939" s="337" t="s">
        <v>15</v>
      </c>
      <c r="C939">
        <v>4404.4075869999997</v>
      </c>
      <c r="D939">
        <v>2052.6235933222511</v>
      </c>
    </row>
    <row r="940" spans="1:4" x14ac:dyDescent="0.2">
      <c r="A940" s="73"/>
      <c r="B940" s="337" t="s">
        <v>42</v>
      </c>
      <c r="C940">
        <v>105.2927045</v>
      </c>
      <c r="D940">
        <v>684.9057899316382</v>
      </c>
    </row>
    <row r="941" spans="1:4" x14ac:dyDescent="0.2">
      <c r="A941" s="73"/>
      <c r="B941" s="337" t="s">
        <v>35</v>
      </c>
      <c r="C941">
        <v>2199.5241339999998</v>
      </c>
      <c r="D941">
        <v>815.1051963785377</v>
      </c>
    </row>
    <row r="942" spans="1:4" x14ac:dyDescent="0.2">
      <c r="A942" s="73"/>
      <c r="B942" s="337" t="s">
        <v>40</v>
      </c>
      <c r="C942">
        <v>1.4450574199999999</v>
      </c>
      <c r="D942">
        <v>2679.4155236690021</v>
      </c>
    </row>
    <row r="943" spans="1:4" x14ac:dyDescent="0.2">
      <c r="A943" s="73">
        <v>45068</v>
      </c>
      <c r="B943" s="337" t="s">
        <v>16</v>
      </c>
      <c r="C943">
        <v>36572.399698799993</v>
      </c>
      <c r="D943">
        <v>1914.780901390403</v>
      </c>
    </row>
    <row r="944" spans="1:4" x14ac:dyDescent="0.2">
      <c r="A944" s="73"/>
      <c r="B944" s="337" t="s">
        <v>15</v>
      </c>
      <c r="C944">
        <v>4404.4075869999997</v>
      </c>
      <c r="D944">
        <v>2036.385291298272</v>
      </c>
    </row>
    <row r="945" spans="1:4" x14ac:dyDescent="0.2">
      <c r="A945" s="73"/>
      <c r="B945" s="337" t="s">
        <v>42</v>
      </c>
      <c r="C945">
        <v>105.2927045</v>
      </c>
      <c r="D945">
        <v>687.55365085317658</v>
      </c>
    </row>
    <row r="946" spans="1:4" x14ac:dyDescent="0.2">
      <c r="A946" s="73"/>
      <c r="B946" s="337" t="s">
        <v>35</v>
      </c>
      <c r="C946">
        <v>2199.5241339999998</v>
      </c>
      <c r="D946">
        <v>809.96673408241077</v>
      </c>
    </row>
    <row r="947" spans="1:4" x14ac:dyDescent="0.2">
      <c r="A947" s="73"/>
      <c r="B947" s="337" t="s">
        <v>40</v>
      </c>
      <c r="C947">
        <v>1.4450574199999999</v>
      </c>
      <c r="D947">
        <v>2627.6945288145921</v>
      </c>
    </row>
    <row r="948" spans="1:4" x14ac:dyDescent="0.2">
      <c r="A948" s="73">
        <v>45067</v>
      </c>
      <c r="B948" s="337" t="s">
        <v>16</v>
      </c>
      <c r="C948">
        <v>36513.931897809998</v>
      </c>
      <c r="D948">
        <v>1923.8595539866151</v>
      </c>
    </row>
    <row r="949" spans="1:4" x14ac:dyDescent="0.2">
      <c r="A949" s="73"/>
      <c r="B949" s="337" t="s">
        <v>15</v>
      </c>
      <c r="C949">
        <v>4404.4075869999997</v>
      </c>
      <c r="D949">
        <v>2020.0430452552389</v>
      </c>
    </row>
    <row r="950" spans="1:4" x14ac:dyDescent="0.2">
      <c r="A950" s="73"/>
      <c r="B950" s="337" t="s">
        <v>42</v>
      </c>
      <c r="C950">
        <v>105.2927045</v>
      </c>
      <c r="D950">
        <v>677.41841202659157</v>
      </c>
    </row>
    <row r="951" spans="1:4" x14ac:dyDescent="0.2">
      <c r="A951" s="73"/>
      <c r="B951" s="337" t="s">
        <v>35</v>
      </c>
      <c r="C951">
        <v>2199.5241339999998</v>
      </c>
      <c r="D951">
        <v>794.23580346176686</v>
      </c>
    </row>
    <row r="952" spans="1:4" x14ac:dyDescent="0.2">
      <c r="A952" s="73"/>
      <c r="B952" s="337" t="s">
        <v>40</v>
      </c>
      <c r="C952">
        <v>1.4450574199999999</v>
      </c>
      <c r="D952">
        <v>2608.2261410009842</v>
      </c>
    </row>
    <row r="953" spans="1:4" x14ac:dyDescent="0.2">
      <c r="A953" s="73">
        <v>45066</v>
      </c>
      <c r="B953" s="337" t="s">
        <v>16</v>
      </c>
      <c r="C953">
        <v>36513.931897809998</v>
      </c>
      <c r="D953">
        <v>1951.319491331044</v>
      </c>
    </row>
    <row r="954" spans="1:4" x14ac:dyDescent="0.2">
      <c r="A954" s="73"/>
      <c r="B954" s="337" t="s">
        <v>15</v>
      </c>
      <c r="C954">
        <v>4404.4075869999997</v>
      </c>
      <c r="D954">
        <v>2068.2837287622851</v>
      </c>
    </row>
    <row r="955" spans="1:4" x14ac:dyDescent="0.2">
      <c r="A955" s="73"/>
      <c r="B955" s="337" t="s">
        <v>42</v>
      </c>
      <c r="C955">
        <v>105.2927045</v>
      </c>
      <c r="D955">
        <v>684.91826079955911</v>
      </c>
    </row>
    <row r="956" spans="1:4" x14ac:dyDescent="0.2">
      <c r="A956" s="73"/>
      <c r="B956" s="337" t="s">
        <v>35</v>
      </c>
      <c r="C956">
        <v>2199.5241339999998</v>
      </c>
      <c r="D956">
        <v>806.05430853381699</v>
      </c>
    </row>
    <row r="957" spans="1:4" x14ac:dyDescent="0.2">
      <c r="A957" s="73"/>
      <c r="B957" s="337" t="s">
        <v>40</v>
      </c>
      <c r="C957">
        <v>1.4450574199999999</v>
      </c>
      <c r="D957">
        <v>2628.5154153578851</v>
      </c>
    </row>
    <row r="958" spans="1:4" x14ac:dyDescent="0.2">
      <c r="A958" s="73">
        <v>45065</v>
      </c>
      <c r="B958" s="337" t="s">
        <v>16</v>
      </c>
      <c r="C958">
        <v>36513.931897809998</v>
      </c>
      <c r="D958">
        <v>1940.724243712257</v>
      </c>
    </row>
    <row r="959" spans="1:4" x14ac:dyDescent="0.2">
      <c r="A959" s="73"/>
      <c r="B959" s="337" t="s">
        <v>15</v>
      </c>
      <c r="C959">
        <v>4404.4075869999997</v>
      </c>
      <c r="D959">
        <v>2065.124535288282</v>
      </c>
    </row>
    <row r="960" spans="1:4" x14ac:dyDescent="0.2">
      <c r="A960" s="73"/>
      <c r="B960" s="337" t="s">
        <v>42</v>
      </c>
      <c r="C960">
        <v>105.2927045</v>
      </c>
      <c r="D960">
        <v>685.31503950963474</v>
      </c>
    </row>
    <row r="961" spans="1:4" x14ac:dyDescent="0.2">
      <c r="A961" s="73"/>
      <c r="B961" s="337" t="s">
        <v>35</v>
      </c>
      <c r="C961">
        <v>2199.5241339999998</v>
      </c>
      <c r="D961">
        <v>810.74294614929943</v>
      </c>
    </row>
    <row r="962" spans="1:4" x14ac:dyDescent="0.2">
      <c r="A962" s="73"/>
      <c r="B962" s="337" t="s">
        <v>40</v>
      </c>
      <c r="C962">
        <v>1.4450574199999999</v>
      </c>
      <c r="D962">
        <v>2618.634364246619</v>
      </c>
    </row>
    <row r="963" spans="1:4" x14ac:dyDescent="0.2">
      <c r="A963" s="73">
        <v>45064</v>
      </c>
      <c r="B963" s="337" t="s">
        <v>16</v>
      </c>
      <c r="C963">
        <v>36513.931897809998</v>
      </c>
      <c r="D963">
        <v>1922.6542290946691</v>
      </c>
    </row>
    <row r="964" spans="1:4" x14ac:dyDescent="0.2">
      <c r="A964" s="73"/>
      <c r="B964" s="337" t="s">
        <v>15</v>
      </c>
      <c r="C964">
        <v>4404.4075869999997</v>
      </c>
      <c r="D964">
        <v>2029.392941901302</v>
      </c>
    </row>
    <row r="965" spans="1:4" x14ac:dyDescent="0.2">
      <c r="A965" s="73"/>
      <c r="B965" s="337" t="s">
        <v>42</v>
      </c>
      <c r="C965">
        <v>105.2927045</v>
      </c>
      <c r="D965">
        <v>687.80730940173339</v>
      </c>
    </row>
    <row r="966" spans="1:4" x14ac:dyDescent="0.2">
      <c r="A966" s="73"/>
      <c r="B966" s="337" t="s">
        <v>35</v>
      </c>
      <c r="C966">
        <v>2199.5241339999998</v>
      </c>
      <c r="D966">
        <v>819.84781031626846</v>
      </c>
    </row>
    <row r="967" spans="1:4" x14ac:dyDescent="0.2">
      <c r="A967" s="73"/>
      <c r="B967" s="337" t="s">
        <v>40</v>
      </c>
      <c r="C967">
        <v>1.4450574199999999</v>
      </c>
      <c r="D967">
        <v>2604.558423957264</v>
      </c>
    </row>
    <row r="968" spans="1:4" x14ac:dyDescent="0.2">
      <c r="A968" s="73">
        <v>45063</v>
      </c>
      <c r="B968" s="337" t="s">
        <v>16</v>
      </c>
      <c r="C968">
        <v>36513.931897809998</v>
      </c>
      <c r="D968">
        <v>1952.8384708979929</v>
      </c>
    </row>
    <row r="969" spans="1:4" x14ac:dyDescent="0.2">
      <c r="A969" s="73"/>
      <c r="B969" s="337" t="s">
        <v>15</v>
      </c>
      <c r="C969">
        <v>4404.4075869999997</v>
      </c>
      <c r="D969">
        <v>1976.401664370919</v>
      </c>
    </row>
    <row r="970" spans="1:4" x14ac:dyDescent="0.2">
      <c r="A970" s="73"/>
      <c r="B970" s="337" t="s">
        <v>42</v>
      </c>
      <c r="C970">
        <v>105.2927045</v>
      </c>
      <c r="D970">
        <v>710.37737445654795</v>
      </c>
    </row>
    <row r="971" spans="1:4" x14ac:dyDescent="0.2">
      <c r="A971" s="73"/>
      <c r="B971" s="337" t="s">
        <v>35</v>
      </c>
      <c r="C971">
        <v>2199.5241339999998</v>
      </c>
      <c r="D971">
        <v>825.24964363220033</v>
      </c>
    </row>
    <row r="972" spans="1:4" x14ac:dyDescent="0.2">
      <c r="A972" s="73"/>
      <c r="B972" s="337" t="s">
        <v>40</v>
      </c>
      <c r="C972">
        <v>1.4450574199999999</v>
      </c>
      <c r="D972">
        <v>2631.522731883395</v>
      </c>
    </row>
    <row r="973" spans="1:4" x14ac:dyDescent="0.2">
      <c r="A973" s="73">
        <v>45062</v>
      </c>
      <c r="B973" s="337" t="s">
        <v>16</v>
      </c>
      <c r="C973">
        <v>36513.931897809998</v>
      </c>
      <c r="D973">
        <v>1918.695388598308</v>
      </c>
    </row>
    <row r="974" spans="1:4" x14ac:dyDescent="0.2">
      <c r="A974" s="73"/>
      <c r="B974" s="337" t="s">
        <v>15</v>
      </c>
      <c r="C974">
        <v>4404.4075869999997</v>
      </c>
      <c r="D974">
        <v>1941.5066001169389</v>
      </c>
    </row>
    <row r="975" spans="1:4" x14ac:dyDescent="0.2">
      <c r="A975" s="73"/>
      <c r="B975" s="337" t="s">
        <v>42</v>
      </c>
      <c r="C975">
        <v>105.2927045</v>
      </c>
      <c r="D975">
        <v>701.19515042766295</v>
      </c>
    </row>
    <row r="976" spans="1:4" x14ac:dyDescent="0.2">
      <c r="A976" s="73"/>
      <c r="B976" s="337" t="s">
        <v>35</v>
      </c>
      <c r="C976">
        <v>2199.5241339999998</v>
      </c>
      <c r="D976">
        <v>809.61593197827915</v>
      </c>
    </row>
    <row r="977" spans="1:4" x14ac:dyDescent="0.2">
      <c r="A977" s="73"/>
      <c r="B977" s="337" t="s">
        <v>40</v>
      </c>
      <c r="C977">
        <v>1.4450574199999999</v>
      </c>
      <c r="D977">
        <v>2635.2977762462642</v>
      </c>
    </row>
    <row r="978" spans="1:4" x14ac:dyDescent="0.2">
      <c r="A978" s="73">
        <v>45061</v>
      </c>
      <c r="B978" s="337" t="s">
        <v>16</v>
      </c>
      <c r="C978">
        <v>36513.931897809998</v>
      </c>
      <c r="D978">
        <v>1922.618810580728</v>
      </c>
    </row>
    <row r="979" spans="1:4" x14ac:dyDescent="0.2">
      <c r="A979" s="73"/>
      <c r="B979" s="337" t="s">
        <v>15</v>
      </c>
      <c r="C979">
        <v>4404.4075869999997</v>
      </c>
      <c r="D979">
        <v>1886.872170248073</v>
      </c>
    </row>
    <row r="980" spans="1:4" x14ac:dyDescent="0.2">
      <c r="A980" s="73"/>
      <c r="B980" s="337" t="s">
        <v>42</v>
      </c>
      <c r="C980">
        <v>105.2927045</v>
      </c>
      <c r="D980">
        <v>700.19451068679064</v>
      </c>
    </row>
    <row r="981" spans="1:4" x14ac:dyDescent="0.2">
      <c r="A981" s="73"/>
      <c r="B981" s="337" t="s">
        <v>35</v>
      </c>
      <c r="C981">
        <v>2199.5241339999998</v>
      </c>
      <c r="D981">
        <v>809.61203882056202</v>
      </c>
    </row>
    <row r="982" spans="1:4" x14ac:dyDescent="0.2">
      <c r="A982" s="73"/>
      <c r="B982" s="337" t="s">
        <v>40</v>
      </c>
      <c r="C982">
        <v>1.4450574199999999</v>
      </c>
      <c r="D982">
        <v>2630.069184505393</v>
      </c>
    </row>
    <row r="983" spans="1:4" x14ac:dyDescent="0.2">
      <c r="A983" s="73">
        <v>45060</v>
      </c>
      <c r="B983" s="337" t="s">
        <v>16</v>
      </c>
      <c r="C983">
        <v>36513.931897809998</v>
      </c>
      <c r="D983">
        <v>1901.281164197605</v>
      </c>
    </row>
    <row r="984" spans="1:4" x14ac:dyDescent="0.2">
      <c r="A984" s="73"/>
      <c r="B984" s="337" t="s">
        <v>15</v>
      </c>
      <c r="C984">
        <v>4404.4075869999997</v>
      </c>
      <c r="D984">
        <v>1877.822918463899</v>
      </c>
    </row>
    <row r="985" spans="1:4" x14ac:dyDescent="0.2">
      <c r="A985" s="73"/>
      <c r="B985" s="337" t="s">
        <v>42</v>
      </c>
      <c r="C985">
        <v>105.2927045</v>
      </c>
      <c r="D985">
        <v>688.51286423239037</v>
      </c>
    </row>
    <row r="986" spans="1:4" x14ac:dyDescent="0.2">
      <c r="A986" s="73"/>
      <c r="B986" s="337" t="s">
        <v>35</v>
      </c>
      <c r="C986">
        <v>2199.5241339999998</v>
      </c>
      <c r="D986">
        <v>815.62465799326435</v>
      </c>
    </row>
    <row r="987" spans="1:4" x14ac:dyDescent="0.2">
      <c r="A987" s="73"/>
      <c r="B987" s="337" t="s">
        <v>40</v>
      </c>
      <c r="C987">
        <v>1.4450574199999999</v>
      </c>
      <c r="D987">
        <v>2599.6708107830791</v>
      </c>
    </row>
    <row r="988" spans="1:4" x14ac:dyDescent="0.2">
      <c r="A988" s="73">
        <v>45059</v>
      </c>
      <c r="B988" s="337" t="s">
        <v>16</v>
      </c>
      <c r="C988">
        <v>36513.931897809998</v>
      </c>
      <c r="D988">
        <v>1885.9248649986621</v>
      </c>
    </row>
    <row r="989" spans="1:4" x14ac:dyDescent="0.2">
      <c r="A989" s="73"/>
      <c r="B989" s="337" t="s">
        <v>15</v>
      </c>
      <c r="C989">
        <v>4404.4075869999997</v>
      </c>
      <c r="D989">
        <v>1874.346343379176</v>
      </c>
    </row>
    <row r="990" spans="1:4" x14ac:dyDescent="0.2">
      <c r="A990" s="73"/>
      <c r="B990" s="337" t="s">
        <v>42</v>
      </c>
      <c r="C990">
        <v>105.2927045</v>
      </c>
      <c r="D990">
        <v>684.01681310388813</v>
      </c>
    </row>
    <row r="991" spans="1:4" x14ac:dyDescent="0.2">
      <c r="A991" s="73"/>
      <c r="B991" s="337" t="s">
        <v>35</v>
      </c>
      <c r="C991">
        <v>2199.5241339999998</v>
      </c>
      <c r="D991">
        <v>803.03055672108314</v>
      </c>
    </row>
    <row r="992" spans="1:4" x14ac:dyDescent="0.2">
      <c r="A992" s="73"/>
      <c r="B992" s="337" t="s">
        <v>40</v>
      </c>
      <c r="C992">
        <v>1.4450574199999999</v>
      </c>
      <c r="D992">
        <v>2597.0564295458762</v>
      </c>
    </row>
    <row r="993" spans="1:4" x14ac:dyDescent="0.2">
      <c r="A993" s="73">
        <v>45058</v>
      </c>
      <c r="B993" s="337" t="s">
        <v>15</v>
      </c>
      <c r="C993">
        <v>4357.7849999999999</v>
      </c>
      <c r="D993">
        <v>1880.96481519555</v>
      </c>
    </row>
    <row r="994" spans="1:4" x14ac:dyDescent="0.2">
      <c r="A994" s="73"/>
      <c r="B994" s="337" t="s">
        <v>42</v>
      </c>
      <c r="C994">
        <v>105.2927045</v>
      </c>
      <c r="D994">
        <v>697.61694843941177</v>
      </c>
    </row>
    <row r="995" spans="1:4" x14ac:dyDescent="0.2">
      <c r="A995" s="73"/>
      <c r="B995" s="337" t="s">
        <v>16</v>
      </c>
      <c r="C995">
        <v>36230.054252109992</v>
      </c>
      <c r="D995">
        <v>1901.5659175691919</v>
      </c>
    </row>
    <row r="996" spans="1:4" x14ac:dyDescent="0.2">
      <c r="A996" s="73"/>
      <c r="B996" s="337" t="s">
        <v>35</v>
      </c>
      <c r="C996">
        <v>2199.5241339999998</v>
      </c>
      <c r="D996">
        <v>815.61022911494535</v>
      </c>
    </row>
    <row r="997" spans="1:4" x14ac:dyDescent="0.2">
      <c r="A997" s="73"/>
      <c r="B997" s="337" t="s">
        <v>40</v>
      </c>
      <c r="C997">
        <v>1.4450574199999999</v>
      </c>
      <c r="D997">
        <v>2613.6681301223948</v>
      </c>
    </row>
    <row r="998" spans="1:4" x14ac:dyDescent="0.2">
      <c r="A998" s="73">
        <v>45057</v>
      </c>
      <c r="B998" s="337" t="s">
        <v>15</v>
      </c>
      <c r="C998">
        <v>4357.7849999999999</v>
      </c>
      <c r="D998">
        <v>1843.15118172645</v>
      </c>
    </row>
    <row r="999" spans="1:4" x14ac:dyDescent="0.2">
      <c r="A999" s="73"/>
      <c r="B999" s="337" t="s">
        <v>42</v>
      </c>
      <c r="C999">
        <v>105.2927045</v>
      </c>
      <c r="D999">
        <v>670.76263484875903</v>
      </c>
    </row>
    <row r="1000" spans="1:4" x14ac:dyDescent="0.2">
      <c r="A1000" s="73"/>
      <c r="B1000" s="337" t="s">
        <v>16</v>
      </c>
      <c r="C1000">
        <v>36230.054252109992</v>
      </c>
      <c r="D1000">
        <v>1867.6357471610061</v>
      </c>
    </row>
    <row r="1001" spans="1:4" x14ac:dyDescent="0.2">
      <c r="A1001" s="73"/>
      <c r="B1001" s="337" t="s">
        <v>35</v>
      </c>
      <c r="C1001">
        <v>2199.5241339999998</v>
      </c>
      <c r="D1001">
        <v>793.21256283938874</v>
      </c>
    </row>
    <row r="1002" spans="1:4" x14ac:dyDescent="0.2">
      <c r="A1002" s="73"/>
      <c r="B1002" s="337" t="s">
        <v>40</v>
      </c>
      <c r="C1002">
        <v>1.4450574199999999</v>
      </c>
      <c r="D1002">
        <v>2598.3172065819631</v>
      </c>
    </row>
    <row r="1003" spans="1:4" x14ac:dyDescent="0.2">
      <c r="A1003" s="73">
        <v>45056</v>
      </c>
      <c r="B1003" s="337" t="s">
        <v>15</v>
      </c>
      <c r="C1003">
        <v>4357.7849999999999</v>
      </c>
      <c r="D1003">
        <v>1883.63169245985</v>
      </c>
    </row>
    <row r="1004" spans="1:4" x14ac:dyDescent="0.2">
      <c r="A1004" s="73"/>
      <c r="B1004" s="337" t="s">
        <v>42</v>
      </c>
      <c r="C1004">
        <v>105.2927045</v>
      </c>
      <c r="D1004">
        <v>695.03080904832427</v>
      </c>
    </row>
    <row r="1005" spans="1:4" x14ac:dyDescent="0.2">
      <c r="A1005" s="73"/>
      <c r="B1005" s="337" t="s">
        <v>16</v>
      </c>
      <c r="C1005">
        <v>36230.054252109992</v>
      </c>
      <c r="D1005">
        <v>1977.817501250895</v>
      </c>
    </row>
    <row r="1006" spans="1:4" x14ac:dyDescent="0.2">
      <c r="A1006" s="73"/>
      <c r="B1006" s="337" t="s">
        <v>35</v>
      </c>
      <c r="C1006">
        <v>2199.5241339999998</v>
      </c>
      <c r="D1006">
        <v>815.1624939822284</v>
      </c>
    </row>
    <row r="1007" spans="1:4" x14ac:dyDescent="0.2">
      <c r="A1007" s="73"/>
      <c r="B1007" s="337" t="s">
        <v>40</v>
      </c>
      <c r="C1007">
        <v>1.4450574199999999</v>
      </c>
      <c r="D1007">
        <v>2663.0465498497392</v>
      </c>
    </row>
    <row r="1008" spans="1:4" x14ac:dyDescent="0.2">
      <c r="A1008" s="73">
        <v>45055</v>
      </c>
      <c r="B1008" s="337" t="s">
        <v>15</v>
      </c>
      <c r="C1008">
        <v>4357.7849999999999</v>
      </c>
      <c r="D1008">
        <v>1874.12413861395</v>
      </c>
    </row>
    <row r="1009" spans="1:4" x14ac:dyDescent="0.2">
      <c r="A1009" s="73"/>
      <c r="B1009" s="337" t="s">
        <v>42</v>
      </c>
      <c r="C1009">
        <v>105.2927045</v>
      </c>
      <c r="D1009">
        <v>686.19147492335173</v>
      </c>
    </row>
    <row r="1010" spans="1:4" x14ac:dyDescent="0.2">
      <c r="A1010" s="73"/>
      <c r="B1010" s="337" t="s">
        <v>16</v>
      </c>
      <c r="C1010">
        <v>36230.054252109992</v>
      </c>
      <c r="D1010">
        <v>1968.648036820229</v>
      </c>
    </row>
    <row r="1011" spans="1:4" x14ac:dyDescent="0.2">
      <c r="A1011" s="73"/>
      <c r="B1011" s="337" t="s">
        <v>35</v>
      </c>
      <c r="C1011">
        <v>2199.5241339999998</v>
      </c>
      <c r="D1011">
        <v>799.69939941538144</v>
      </c>
    </row>
    <row r="1012" spans="1:4" x14ac:dyDescent="0.2">
      <c r="A1012" s="73"/>
      <c r="B1012" s="337" t="s">
        <v>40</v>
      </c>
      <c r="C1012">
        <v>1.4450574199999999</v>
      </c>
      <c r="D1012">
        <v>2667.6688625189408</v>
      </c>
    </row>
    <row r="1013" spans="1:4" x14ac:dyDescent="0.2">
      <c r="A1013" s="73">
        <v>45054</v>
      </c>
      <c r="B1013" s="337" t="s">
        <v>42</v>
      </c>
      <c r="C1013">
        <v>105.2927045</v>
      </c>
      <c r="D1013">
        <v>694.25622326767007</v>
      </c>
    </row>
    <row r="1014" spans="1:4" x14ac:dyDescent="0.2">
      <c r="A1014" s="73"/>
      <c r="B1014" s="337" t="s">
        <v>15</v>
      </c>
      <c r="C1014">
        <v>4244.4980000000014</v>
      </c>
      <c r="D1014">
        <v>1823.7525559010001</v>
      </c>
    </row>
    <row r="1015" spans="1:4" x14ac:dyDescent="0.2">
      <c r="A1015" s="73"/>
      <c r="B1015" s="337" t="s">
        <v>16</v>
      </c>
      <c r="C1015">
        <v>36230.054252109992</v>
      </c>
      <c r="D1015">
        <v>1982.818697939857</v>
      </c>
    </row>
    <row r="1016" spans="1:4" x14ac:dyDescent="0.2">
      <c r="A1016" s="73"/>
      <c r="B1016" s="337" t="s">
        <v>35</v>
      </c>
      <c r="C1016">
        <v>2199.5241339999998</v>
      </c>
      <c r="D1016">
        <v>805.34625971984099</v>
      </c>
    </row>
    <row r="1017" spans="1:4" x14ac:dyDescent="0.2">
      <c r="A1017" s="73"/>
      <c r="B1017" s="337" t="s">
        <v>40</v>
      </c>
      <c r="C1017">
        <v>1.4450574199999999</v>
      </c>
      <c r="D1017">
        <v>2672.32825586731</v>
      </c>
    </row>
    <row r="1018" spans="1:4" x14ac:dyDescent="0.2">
      <c r="A1018" s="73">
        <v>45053</v>
      </c>
      <c r="B1018" s="337" t="s">
        <v>42</v>
      </c>
      <c r="C1018">
        <v>105.2927045</v>
      </c>
      <c r="D1018">
        <v>731.06623477690243</v>
      </c>
    </row>
    <row r="1019" spans="1:4" x14ac:dyDescent="0.2">
      <c r="A1019" s="73"/>
      <c r="B1019" s="337" t="s">
        <v>15</v>
      </c>
      <c r="C1019">
        <v>4244.4980000000014</v>
      </c>
      <c r="D1019">
        <v>1922.5818717827999</v>
      </c>
    </row>
    <row r="1020" spans="1:4" x14ac:dyDescent="0.2">
      <c r="A1020" s="73"/>
      <c r="B1020" s="337" t="s">
        <v>16</v>
      </c>
      <c r="C1020">
        <v>36230.054252109992</v>
      </c>
      <c r="D1020">
        <v>2067.2079141071272</v>
      </c>
    </row>
    <row r="1021" spans="1:4" x14ac:dyDescent="0.2">
      <c r="A1021" s="73"/>
      <c r="B1021" s="337" t="s">
        <v>35</v>
      </c>
      <c r="C1021">
        <v>2199.5241339999998</v>
      </c>
      <c r="D1021">
        <v>831.62056528633138</v>
      </c>
    </row>
    <row r="1022" spans="1:4" x14ac:dyDescent="0.2">
      <c r="A1022" s="73"/>
      <c r="B1022" s="337" t="s">
        <v>40</v>
      </c>
      <c r="C1022">
        <v>1.4450574199999999</v>
      </c>
      <c r="D1022">
        <v>2738.7163880473522</v>
      </c>
    </row>
    <row r="1023" spans="1:4" x14ac:dyDescent="0.2">
      <c r="A1023" s="73">
        <v>45052</v>
      </c>
      <c r="B1023" s="337" t="s">
        <v>42</v>
      </c>
      <c r="C1023">
        <v>105.2927045</v>
      </c>
      <c r="D1023">
        <v>730.74615127278469</v>
      </c>
    </row>
    <row r="1024" spans="1:4" x14ac:dyDescent="0.2">
      <c r="A1024" s="73"/>
      <c r="B1024" s="337" t="s">
        <v>15</v>
      </c>
      <c r="C1024">
        <v>4244.4980000000014</v>
      </c>
      <c r="D1024">
        <v>1952.74344435072</v>
      </c>
    </row>
    <row r="1025" spans="1:4" x14ac:dyDescent="0.2">
      <c r="A1025" s="73"/>
      <c r="B1025" s="337" t="s">
        <v>16</v>
      </c>
      <c r="C1025">
        <v>36230.054252109992</v>
      </c>
      <c r="D1025">
        <v>2076.507806733101</v>
      </c>
    </row>
    <row r="1026" spans="1:4" x14ac:dyDescent="0.2">
      <c r="A1026" s="73"/>
      <c r="B1026" s="337" t="s">
        <v>35</v>
      </c>
      <c r="C1026">
        <v>2199.5241339999998</v>
      </c>
      <c r="D1026">
        <v>836.39282880938845</v>
      </c>
    </row>
    <row r="1027" spans="1:4" x14ac:dyDescent="0.2">
      <c r="A1027" s="73"/>
      <c r="B1027" s="337" t="s">
        <v>40</v>
      </c>
      <c r="C1027">
        <v>1.4450574199999999</v>
      </c>
      <c r="D1027">
        <v>2746.2024371749471</v>
      </c>
    </row>
    <row r="1028" spans="1:4" x14ac:dyDescent="0.2">
      <c r="A1028" s="73">
        <v>45051</v>
      </c>
      <c r="B1028" s="337" t="s">
        <v>42</v>
      </c>
      <c r="C1028">
        <v>105.2927045</v>
      </c>
      <c r="D1028">
        <v>761.03268483446175</v>
      </c>
    </row>
    <row r="1029" spans="1:4" x14ac:dyDescent="0.2">
      <c r="A1029" s="73"/>
      <c r="B1029" s="337" t="s">
        <v>15</v>
      </c>
      <c r="C1029">
        <v>4244.4980000000014</v>
      </c>
      <c r="D1029">
        <v>1985.68762491748</v>
      </c>
    </row>
    <row r="1030" spans="1:4" x14ac:dyDescent="0.2">
      <c r="A1030" s="73"/>
      <c r="B1030" s="337" t="s">
        <v>16</v>
      </c>
      <c r="C1030">
        <v>36230.054252109992</v>
      </c>
      <c r="D1030">
        <v>2119.8853260880669</v>
      </c>
    </row>
    <row r="1031" spans="1:4" x14ac:dyDescent="0.2">
      <c r="A1031" s="73"/>
      <c r="B1031" s="337" t="s">
        <v>35</v>
      </c>
      <c r="C1031">
        <v>2199.5241339999998</v>
      </c>
      <c r="D1031">
        <v>867.788352402795</v>
      </c>
    </row>
    <row r="1032" spans="1:4" x14ac:dyDescent="0.2">
      <c r="A1032" s="73"/>
      <c r="B1032" s="337" t="s">
        <v>40</v>
      </c>
      <c r="C1032">
        <v>1.4450574199999999</v>
      </c>
      <c r="D1032">
        <v>2880.885208765244</v>
      </c>
    </row>
    <row r="1033" spans="1:4" x14ac:dyDescent="0.2">
      <c r="A1033" s="73">
        <v>45050</v>
      </c>
      <c r="B1033" s="337" t="s">
        <v>42</v>
      </c>
      <c r="C1033">
        <v>105.2927045</v>
      </c>
      <c r="D1033">
        <v>736.99753181337132</v>
      </c>
    </row>
    <row r="1034" spans="1:4" x14ac:dyDescent="0.2">
      <c r="A1034" s="73"/>
      <c r="B1034" s="337" t="s">
        <v>15</v>
      </c>
      <c r="C1034">
        <v>4244.4980000000014</v>
      </c>
      <c r="D1034">
        <v>1962.2490400667</v>
      </c>
    </row>
    <row r="1035" spans="1:4" x14ac:dyDescent="0.2">
      <c r="A1035" s="73"/>
      <c r="B1035" s="337" t="s">
        <v>16</v>
      </c>
      <c r="C1035">
        <v>36230.054252109992</v>
      </c>
      <c r="D1035">
        <v>2092.5954000232082</v>
      </c>
    </row>
    <row r="1036" spans="1:4" x14ac:dyDescent="0.2">
      <c r="A1036" s="73"/>
      <c r="B1036" s="337" t="s">
        <v>35</v>
      </c>
      <c r="C1036">
        <v>2199.5241339999998</v>
      </c>
      <c r="D1036">
        <v>852.77820584086282</v>
      </c>
    </row>
    <row r="1037" spans="1:4" x14ac:dyDescent="0.2">
      <c r="A1037" s="73"/>
      <c r="B1037" s="337" t="s">
        <v>40</v>
      </c>
      <c r="C1037">
        <v>1.4450574199999999</v>
      </c>
      <c r="D1037">
        <v>2712.9525272238711</v>
      </c>
    </row>
    <row r="1038" spans="1:4" x14ac:dyDescent="0.2">
      <c r="A1038" s="73">
        <v>45049</v>
      </c>
      <c r="B1038" s="337" t="s">
        <v>42</v>
      </c>
      <c r="C1038">
        <v>105.2927045</v>
      </c>
      <c r="D1038">
        <v>749.92984185304147</v>
      </c>
    </row>
    <row r="1039" spans="1:4" x14ac:dyDescent="0.2">
      <c r="A1039" s="73"/>
      <c r="B1039" s="337" t="s">
        <v>15</v>
      </c>
      <c r="C1039">
        <v>4244.4980000000014</v>
      </c>
      <c r="D1039">
        <v>1966.75253733466</v>
      </c>
    </row>
    <row r="1040" spans="1:4" x14ac:dyDescent="0.2">
      <c r="A1040" s="73"/>
      <c r="B1040" s="337" t="s">
        <v>16</v>
      </c>
      <c r="C1040">
        <v>36230.054252109992</v>
      </c>
      <c r="D1040">
        <v>2125.3372246519239</v>
      </c>
    </row>
    <row r="1041" spans="1:4" x14ac:dyDescent="0.2">
      <c r="A1041" s="73"/>
      <c r="B1041" s="337" t="s">
        <v>35</v>
      </c>
      <c r="C1041">
        <v>2199.5241339999998</v>
      </c>
      <c r="D1041">
        <v>866.25526208615565</v>
      </c>
    </row>
    <row r="1042" spans="1:4" x14ac:dyDescent="0.2">
      <c r="A1042" s="73"/>
      <c r="B1042" s="337" t="s">
        <v>40</v>
      </c>
      <c r="C1042">
        <v>1.4450574199999999</v>
      </c>
      <c r="D1042">
        <v>2750.9965765931611</v>
      </c>
    </row>
    <row r="1043" spans="1:4" x14ac:dyDescent="0.2">
      <c r="A1043" s="73">
        <v>45048</v>
      </c>
      <c r="B1043" s="337" t="s">
        <v>42</v>
      </c>
      <c r="C1043">
        <v>105.2927045</v>
      </c>
      <c r="D1043">
        <v>735.48044504497796</v>
      </c>
    </row>
    <row r="1044" spans="1:4" x14ac:dyDescent="0.2">
      <c r="A1044" s="73"/>
      <c r="B1044" s="337" t="s">
        <v>15</v>
      </c>
      <c r="C1044">
        <v>4244.4980000000014</v>
      </c>
      <c r="D1044">
        <v>1973.84216478904</v>
      </c>
    </row>
    <row r="1045" spans="1:4" x14ac:dyDescent="0.2">
      <c r="A1045" s="73"/>
      <c r="B1045" s="337" t="s">
        <v>16</v>
      </c>
      <c r="C1045">
        <v>36230.054252109992</v>
      </c>
      <c r="D1045">
        <v>2136.3421036310028</v>
      </c>
    </row>
    <row r="1046" spans="1:4" x14ac:dyDescent="0.2">
      <c r="A1046" s="73"/>
      <c r="B1046" s="337" t="s">
        <v>35</v>
      </c>
      <c r="C1046">
        <v>2199.5241339999998</v>
      </c>
      <c r="D1046">
        <v>861.25558976288426</v>
      </c>
    </row>
    <row r="1047" spans="1:4" x14ac:dyDescent="0.2">
      <c r="A1047" s="73"/>
      <c r="B1047" s="337" t="s">
        <v>40</v>
      </c>
      <c r="C1047">
        <v>1.4450574199999999</v>
      </c>
      <c r="D1047">
        <v>2703.4547106581999</v>
      </c>
    </row>
    <row r="1048" spans="1:4" x14ac:dyDescent="0.2">
      <c r="A1048" s="73">
        <v>45047</v>
      </c>
      <c r="B1048" s="337" t="s">
        <v>42</v>
      </c>
      <c r="C1048">
        <v>105.2927045</v>
      </c>
      <c r="D1048">
        <v>727.21090976089658</v>
      </c>
    </row>
    <row r="1049" spans="1:4" x14ac:dyDescent="0.2">
      <c r="A1049" s="73"/>
      <c r="B1049" s="337" t="s">
        <v>15</v>
      </c>
      <c r="C1049">
        <v>4244.4980000000014</v>
      </c>
      <c r="D1049">
        <v>1974.67209148298</v>
      </c>
    </row>
    <row r="1050" spans="1:4" x14ac:dyDescent="0.2">
      <c r="A1050" s="73"/>
      <c r="B1050" s="337" t="s">
        <v>16</v>
      </c>
      <c r="C1050">
        <v>36230.054252109992</v>
      </c>
      <c r="D1050">
        <v>2155.5650458160871</v>
      </c>
    </row>
    <row r="1051" spans="1:4" x14ac:dyDescent="0.2">
      <c r="A1051" s="73"/>
      <c r="B1051" s="337" t="s">
        <v>35</v>
      </c>
      <c r="C1051">
        <v>2199.5241339999998</v>
      </c>
      <c r="D1051">
        <v>851.87409144558205</v>
      </c>
    </row>
    <row r="1052" spans="1:4" x14ac:dyDescent="0.2">
      <c r="A1052" s="73"/>
      <c r="B1052" s="337" t="s">
        <v>40</v>
      </c>
      <c r="C1052">
        <v>1.4450574199999999</v>
      </c>
      <c r="D1052">
        <v>2648.3940152628529</v>
      </c>
    </row>
    <row r="1053" spans="1:4" x14ac:dyDescent="0.2">
      <c r="A1053" s="73">
        <v>45046</v>
      </c>
      <c r="B1053" s="337" t="s">
        <v>42</v>
      </c>
      <c r="C1053">
        <v>105.2927045</v>
      </c>
      <c r="D1053">
        <v>743.91832230501404</v>
      </c>
    </row>
    <row r="1054" spans="1:4" x14ac:dyDescent="0.2">
      <c r="A1054" s="73"/>
      <c r="B1054" s="337" t="s">
        <v>15</v>
      </c>
      <c r="C1054">
        <v>4244.4980000000014</v>
      </c>
      <c r="D1054">
        <v>2007.93117135636</v>
      </c>
    </row>
    <row r="1055" spans="1:4" x14ac:dyDescent="0.2">
      <c r="A1055" s="73"/>
      <c r="B1055" s="337" t="s">
        <v>16</v>
      </c>
      <c r="C1055">
        <v>36230.054252109992</v>
      </c>
      <c r="D1055">
        <v>2315.2906744946522</v>
      </c>
    </row>
    <row r="1056" spans="1:4" x14ac:dyDescent="0.2">
      <c r="A1056" s="73"/>
      <c r="B1056" s="337" t="s">
        <v>35</v>
      </c>
      <c r="C1056">
        <v>2199.5241339999998</v>
      </c>
      <c r="D1056">
        <v>875.98076597801548</v>
      </c>
    </row>
    <row r="1057" spans="1:4" x14ac:dyDescent="0.2">
      <c r="A1057" s="73"/>
      <c r="B1057" s="337" t="s">
        <v>40</v>
      </c>
      <c r="C1057">
        <v>1.4450574199999999</v>
      </c>
      <c r="D1057">
        <v>2724.4996057712278</v>
      </c>
    </row>
    <row r="1058" spans="1:4" x14ac:dyDescent="0.2">
      <c r="A1058" s="73">
        <v>45045</v>
      </c>
      <c r="B1058" s="337" t="s">
        <v>42</v>
      </c>
      <c r="C1058">
        <v>105.2927045</v>
      </c>
      <c r="D1058">
        <v>756.02129962232516</v>
      </c>
    </row>
    <row r="1059" spans="1:4" x14ac:dyDescent="0.2">
      <c r="A1059" s="73"/>
      <c r="B1059" s="337" t="s">
        <v>15</v>
      </c>
      <c r="C1059">
        <v>4244.4980000000014</v>
      </c>
      <c r="D1059">
        <v>2027.8489875611201</v>
      </c>
    </row>
    <row r="1060" spans="1:4" x14ac:dyDescent="0.2">
      <c r="A1060" s="73"/>
      <c r="B1060" s="337" t="s">
        <v>16</v>
      </c>
      <c r="C1060">
        <v>36230.054252109992</v>
      </c>
      <c r="D1060">
        <v>2206.2077779502288</v>
      </c>
    </row>
    <row r="1061" spans="1:4" x14ac:dyDescent="0.2">
      <c r="A1061" s="73"/>
      <c r="B1061" s="337" t="s">
        <v>35</v>
      </c>
      <c r="C1061">
        <v>2199.5241339999998</v>
      </c>
      <c r="D1061">
        <v>885.56649011115951</v>
      </c>
    </row>
    <row r="1062" spans="1:4" x14ac:dyDescent="0.2">
      <c r="A1062" s="73"/>
      <c r="B1062" s="337" t="s">
        <v>40</v>
      </c>
      <c r="C1062">
        <v>1.4450574199999999</v>
      </c>
      <c r="D1062">
        <v>2753.230117354748</v>
      </c>
    </row>
    <row r="1063" spans="1:4" x14ac:dyDescent="0.2">
      <c r="A1063" s="73">
        <v>45044</v>
      </c>
      <c r="B1063" s="337" t="s">
        <v>42</v>
      </c>
      <c r="C1063">
        <v>105.2927045</v>
      </c>
      <c r="D1063">
        <v>742.66947712475098</v>
      </c>
    </row>
    <row r="1064" spans="1:4" x14ac:dyDescent="0.2">
      <c r="A1064" s="73"/>
      <c r="B1064" s="337" t="s">
        <v>15</v>
      </c>
      <c r="C1064">
        <v>4244.4980000000014</v>
      </c>
      <c r="D1064">
        <v>2038.13463711954</v>
      </c>
    </row>
    <row r="1065" spans="1:4" x14ac:dyDescent="0.2">
      <c r="A1065" s="73"/>
      <c r="B1065" s="337" t="s">
        <v>16</v>
      </c>
      <c r="C1065">
        <v>36230.054252109992</v>
      </c>
      <c r="D1065">
        <v>2207.044692203453</v>
      </c>
    </row>
    <row r="1066" spans="1:4" x14ac:dyDescent="0.2">
      <c r="A1066" s="73"/>
      <c r="B1066" s="337" t="s">
        <v>35</v>
      </c>
      <c r="C1066">
        <v>2199.5241339999998</v>
      </c>
      <c r="D1066">
        <v>891.3106573633072</v>
      </c>
    </row>
    <row r="1067" spans="1:4" x14ac:dyDescent="0.2">
      <c r="A1067" s="73"/>
      <c r="B1067" s="337" t="s">
        <v>40</v>
      </c>
      <c r="C1067">
        <v>1.4450574199999999</v>
      </c>
      <c r="D1067">
        <v>2737.5573593683312</v>
      </c>
    </row>
    <row r="1068" spans="1:4" x14ac:dyDescent="0.2">
      <c r="A1068" s="73">
        <v>45043</v>
      </c>
      <c r="B1068" s="337" t="s">
        <v>42</v>
      </c>
      <c r="C1068">
        <v>105.2927045</v>
      </c>
      <c r="D1068">
        <v>755.93091952356349</v>
      </c>
    </row>
    <row r="1069" spans="1:4" x14ac:dyDescent="0.2">
      <c r="A1069" s="73"/>
      <c r="B1069" s="337" t="s">
        <v>15</v>
      </c>
      <c r="C1069">
        <v>4244.4980000000014</v>
      </c>
      <c r="D1069">
        <v>1982.70527084276</v>
      </c>
    </row>
    <row r="1070" spans="1:4" x14ac:dyDescent="0.2">
      <c r="A1070" s="73"/>
      <c r="B1070" s="337" t="s">
        <v>16</v>
      </c>
      <c r="C1070">
        <v>36230.054252109992</v>
      </c>
      <c r="D1070">
        <v>2224.2452727601849</v>
      </c>
    </row>
    <row r="1071" spans="1:4" x14ac:dyDescent="0.2">
      <c r="A1071" s="73"/>
      <c r="B1071" s="337" t="s">
        <v>35</v>
      </c>
      <c r="C1071">
        <v>2199.5241339999998</v>
      </c>
      <c r="D1071">
        <v>902.50680708164191</v>
      </c>
    </row>
    <row r="1072" spans="1:4" x14ac:dyDescent="0.2">
      <c r="A1072" s="73"/>
      <c r="B1072" s="337" t="s">
        <v>40</v>
      </c>
      <c r="C1072">
        <v>1.4450574199999999</v>
      </c>
      <c r="D1072">
        <v>2760.719744227757</v>
      </c>
    </row>
    <row r="1073" spans="1:4" x14ac:dyDescent="0.2">
      <c r="A1073" s="73">
        <v>45042</v>
      </c>
      <c r="B1073" s="337" t="s">
        <v>42</v>
      </c>
      <c r="C1073">
        <v>105.2927045</v>
      </c>
      <c r="D1073">
        <v>736.86341312516038</v>
      </c>
    </row>
    <row r="1074" spans="1:4" x14ac:dyDescent="0.2">
      <c r="A1074" s="73"/>
      <c r="B1074" s="337" t="s">
        <v>15</v>
      </c>
      <c r="C1074">
        <v>4244.4980000000014</v>
      </c>
      <c r="D1074">
        <v>1959.9672828318601</v>
      </c>
    </row>
    <row r="1075" spans="1:4" x14ac:dyDescent="0.2">
      <c r="A1075" s="73"/>
      <c r="B1075" s="337" t="s">
        <v>16</v>
      </c>
      <c r="C1075">
        <v>36230.054252109992</v>
      </c>
      <c r="D1075">
        <v>2187.7054515442192</v>
      </c>
    </row>
    <row r="1076" spans="1:4" x14ac:dyDescent="0.2">
      <c r="A1076" s="73"/>
      <c r="B1076" s="337" t="s">
        <v>35</v>
      </c>
      <c r="C1076">
        <v>2199.5241339999998</v>
      </c>
      <c r="D1076">
        <v>882.67178437936741</v>
      </c>
    </row>
    <row r="1077" spans="1:4" x14ac:dyDescent="0.2">
      <c r="A1077" s="73"/>
      <c r="B1077" s="337" t="s">
        <v>40</v>
      </c>
      <c r="C1077">
        <v>1.4450574199999999</v>
      </c>
      <c r="D1077">
        <v>2698.7738116184928</v>
      </c>
    </row>
    <row r="1078" spans="1:4" x14ac:dyDescent="0.2">
      <c r="A1078" s="73">
        <v>45041</v>
      </c>
      <c r="B1078" s="337" t="s">
        <v>42</v>
      </c>
      <c r="C1078">
        <v>105.2927045</v>
      </c>
      <c r="D1078">
        <v>766.03359236957351</v>
      </c>
    </row>
    <row r="1079" spans="1:4" x14ac:dyDescent="0.2">
      <c r="A1079" s="73"/>
      <c r="B1079" s="337" t="s">
        <v>15</v>
      </c>
      <c r="C1079">
        <v>4244.4980000000014</v>
      </c>
      <c r="D1079">
        <v>1995.3911840201799</v>
      </c>
    </row>
    <row r="1080" spans="1:4" x14ac:dyDescent="0.2">
      <c r="A1080" s="73"/>
      <c r="B1080" s="337" t="s">
        <v>16</v>
      </c>
      <c r="C1080">
        <v>36230.054252109992</v>
      </c>
      <c r="D1080">
        <v>2212.7121595901099</v>
      </c>
    </row>
    <row r="1081" spans="1:4" x14ac:dyDescent="0.2">
      <c r="A1081" s="73"/>
      <c r="B1081" s="337" t="s">
        <v>35</v>
      </c>
      <c r="C1081">
        <v>2199.5241339999998</v>
      </c>
      <c r="D1081">
        <v>868.99905846711397</v>
      </c>
    </row>
    <row r="1082" spans="1:4" x14ac:dyDescent="0.2">
      <c r="A1082" s="73"/>
      <c r="B1082" s="337" t="s">
        <v>40</v>
      </c>
      <c r="C1082">
        <v>1.4450574199999999</v>
      </c>
      <c r="D1082">
        <v>2703.0741552635118</v>
      </c>
    </row>
    <row r="1083" spans="1:4" x14ac:dyDescent="0.2">
      <c r="A1083" s="73">
        <v>45040</v>
      </c>
      <c r="B1083" s="337" t="s">
        <v>42</v>
      </c>
      <c r="C1083">
        <v>105.2927045</v>
      </c>
      <c r="D1083">
        <v>744.55620972619704</v>
      </c>
    </row>
    <row r="1084" spans="1:4" x14ac:dyDescent="0.2">
      <c r="A1084" s="73"/>
      <c r="B1084" s="337" t="s">
        <v>15</v>
      </c>
      <c r="C1084">
        <v>4244.4980000000014</v>
      </c>
      <c r="D1084">
        <v>1958.30178426164</v>
      </c>
    </row>
    <row r="1085" spans="1:4" x14ac:dyDescent="0.2">
      <c r="A1085" s="73"/>
      <c r="B1085" s="337" t="s">
        <v>16</v>
      </c>
      <c r="C1085">
        <v>36230.054252109992</v>
      </c>
      <c r="D1085">
        <v>2173.7789809902511</v>
      </c>
    </row>
    <row r="1086" spans="1:4" x14ac:dyDescent="0.2">
      <c r="A1086" s="73"/>
      <c r="B1086" s="337" t="s">
        <v>35</v>
      </c>
      <c r="C1086">
        <v>2199.5241339999998</v>
      </c>
      <c r="D1086">
        <v>844.72880532483509</v>
      </c>
    </row>
    <row r="1087" spans="1:4" x14ac:dyDescent="0.2">
      <c r="A1087" s="73"/>
      <c r="B1087" s="337" t="s">
        <v>40</v>
      </c>
      <c r="C1087">
        <v>1.4450574199999999</v>
      </c>
      <c r="D1087">
        <v>2662.7072984301331</v>
      </c>
    </row>
    <row r="1088" spans="1:4" x14ac:dyDescent="0.2">
      <c r="A1088" s="73">
        <v>45039</v>
      </c>
      <c r="B1088" s="337" t="s">
        <v>42</v>
      </c>
      <c r="C1088">
        <v>105.2927045</v>
      </c>
      <c r="D1088">
        <v>746.41839754529735</v>
      </c>
    </row>
    <row r="1089" spans="1:4" x14ac:dyDescent="0.2">
      <c r="A1089" s="73"/>
      <c r="B1089" s="337" t="s">
        <v>15</v>
      </c>
      <c r="C1089">
        <v>4244.4980000000014</v>
      </c>
      <c r="D1089">
        <v>1975.27969137168</v>
      </c>
    </row>
    <row r="1090" spans="1:4" x14ac:dyDescent="0.2">
      <c r="A1090" s="73"/>
      <c r="B1090" s="337" t="s">
        <v>16</v>
      </c>
      <c r="C1090">
        <v>36230.054252109992</v>
      </c>
      <c r="D1090">
        <v>2191.523736961849</v>
      </c>
    </row>
    <row r="1091" spans="1:4" x14ac:dyDescent="0.2">
      <c r="A1091" s="73"/>
      <c r="B1091" s="337" t="s">
        <v>35</v>
      </c>
      <c r="C1091">
        <v>2199.5241339999998</v>
      </c>
      <c r="D1091">
        <v>855.82560253803706</v>
      </c>
    </row>
    <row r="1092" spans="1:4" x14ac:dyDescent="0.2">
      <c r="A1092" s="73"/>
      <c r="B1092" s="337" t="s">
        <v>40</v>
      </c>
      <c r="C1092">
        <v>1.4450574199999999</v>
      </c>
      <c r="D1092">
        <v>2693.065570652996</v>
      </c>
    </row>
    <row r="1093" spans="1:4" x14ac:dyDescent="0.2">
      <c r="A1093" s="73">
        <v>45038</v>
      </c>
      <c r="B1093" s="337" t="s">
        <v>42</v>
      </c>
      <c r="C1093">
        <v>105.2927045</v>
      </c>
      <c r="D1093">
        <v>758.26934098048196</v>
      </c>
    </row>
    <row r="1094" spans="1:4" x14ac:dyDescent="0.2">
      <c r="A1094" s="73"/>
      <c r="B1094" s="337" t="s">
        <v>15</v>
      </c>
      <c r="C1094">
        <v>4244.4980000000014</v>
      </c>
      <c r="D1094">
        <v>2011.9629351166</v>
      </c>
    </row>
    <row r="1095" spans="1:4" x14ac:dyDescent="0.2">
      <c r="A1095" s="73"/>
      <c r="B1095" s="337" t="s">
        <v>16</v>
      </c>
      <c r="C1095">
        <v>36230.054252109992</v>
      </c>
      <c r="D1095">
        <v>2223.6572589796729</v>
      </c>
    </row>
    <row r="1096" spans="1:4" x14ac:dyDescent="0.2">
      <c r="A1096" s="73"/>
      <c r="B1096" s="337" t="s">
        <v>35</v>
      </c>
      <c r="C1096">
        <v>2199.5241339999998</v>
      </c>
      <c r="D1096">
        <v>873.04466520202141</v>
      </c>
    </row>
    <row r="1097" spans="1:4" x14ac:dyDescent="0.2">
      <c r="A1097" s="73"/>
      <c r="B1097" s="337" t="s">
        <v>40</v>
      </c>
      <c r="C1097">
        <v>1.4450574199999999</v>
      </c>
      <c r="D1097">
        <v>2713.1550274697579</v>
      </c>
    </row>
    <row r="1098" spans="1:4" x14ac:dyDescent="0.2">
      <c r="A1098" s="73">
        <v>45037</v>
      </c>
      <c r="B1098" s="337" t="s">
        <v>42</v>
      </c>
      <c r="C1098">
        <v>105.2927045</v>
      </c>
      <c r="D1098">
        <v>749.47693160219694</v>
      </c>
    </row>
    <row r="1099" spans="1:4" x14ac:dyDescent="0.2">
      <c r="A1099" s="73"/>
      <c r="B1099" s="337" t="s">
        <v>15</v>
      </c>
      <c r="C1099">
        <v>4244.4980000000014</v>
      </c>
      <c r="D1099">
        <v>1909.08339190826</v>
      </c>
    </row>
    <row r="1100" spans="1:4" x14ac:dyDescent="0.2">
      <c r="A1100" s="73"/>
      <c r="B1100" s="337" t="s">
        <v>16</v>
      </c>
      <c r="C1100">
        <v>36230.054252109992</v>
      </c>
      <c r="D1100">
        <v>2163.6204360785009</v>
      </c>
    </row>
    <row r="1101" spans="1:4" x14ac:dyDescent="0.2">
      <c r="A1101" s="73"/>
      <c r="B1101" s="337" t="s">
        <v>35</v>
      </c>
      <c r="C1101">
        <v>2199.5241339999998</v>
      </c>
      <c r="D1101">
        <v>842.3810992499275</v>
      </c>
    </row>
    <row r="1102" spans="1:4" x14ac:dyDescent="0.2">
      <c r="A1102" s="73"/>
      <c r="B1102" s="337" t="s">
        <v>40</v>
      </c>
      <c r="C1102">
        <v>1.4450574199999999</v>
      </c>
      <c r="D1102">
        <v>2673.5726076148808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E270A0-7791-914B-98CE-C419969826B8}">
  <sheetPr codeName="Sheet7"/>
  <dimension ref="A1:D377"/>
  <sheetViews>
    <sheetView workbookViewId="0">
      <selection activeCell="T4" sqref="T4:U4"/>
    </sheetView>
  </sheetViews>
  <sheetFormatPr baseColWidth="10" defaultRowHeight="16" x14ac:dyDescent="0.2"/>
  <cols>
    <col min="1" max="1" width="8.42578125" bestFit="1" customWidth="1"/>
    <col min="2" max="2" width="15.28515625" bestFit="1" customWidth="1"/>
    <col min="3" max="3" width="11.28515625" bestFit="1" customWidth="1"/>
    <col min="4" max="4" width="17.85546875" bestFit="1" customWidth="1"/>
  </cols>
  <sheetData>
    <row r="1" spans="1:4" x14ac:dyDescent="0.2">
      <c r="A1" t="s">
        <v>17</v>
      </c>
      <c r="B1" t="s">
        <v>83</v>
      </c>
      <c r="C1" t="s">
        <v>82</v>
      </c>
      <c r="D1" t="s">
        <v>85</v>
      </c>
    </row>
    <row r="2" spans="1:4" x14ac:dyDescent="0.2">
      <c r="A2" s="73">
        <v>45401</v>
      </c>
      <c r="B2">
        <v>12849.548302088469</v>
      </c>
      <c r="C2">
        <v>12084.38</v>
      </c>
      <c r="D2">
        <v>765.16830208847023</v>
      </c>
    </row>
    <row r="3" spans="1:4" x14ac:dyDescent="0.2">
      <c r="A3" s="73">
        <v>45400</v>
      </c>
      <c r="B3">
        <v>12174.560308548191</v>
      </c>
      <c r="C3">
        <v>12084.38</v>
      </c>
      <c r="D3">
        <v>90.180308548193366</v>
      </c>
    </row>
    <row r="4" spans="1:4" x14ac:dyDescent="0.2">
      <c r="A4" s="73">
        <v>45399</v>
      </c>
      <c r="B4">
        <v>12441.53653356299</v>
      </c>
      <c r="C4">
        <v>12084.38</v>
      </c>
      <c r="D4">
        <v>357.15653356299299</v>
      </c>
    </row>
    <row r="5" spans="1:4" x14ac:dyDescent="0.2">
      <c r="A5" s="73">
        <v>45398</v>
      </c>
      <c r="B5">
        <v>12603.069567948791</v>
      </c>
      <c r="C5">
        <v>12084.38</v>
      </c>
      <c r="D5">
        <v>518.68956794878432</v>
      </c>
    </row>
    <row r="6" spans="1:4" x14ac:dyDescent="0.2">
      <c r="A6" s="73">
        <v>45397</v>
      </c>
      <c r="B6">
        <v>12591.433373951</v>
      </c>
      <c r="C6">
        <v>12084.38</v>
      </c>
      <c r="D6">
        <v>507.05337395099917</v>
      </c>
    </row>
    <row r="7" spans="1:4" x14ac:dyDescent="0.2">
      <c r="A7" s="73">
        <v>45396</v>
      </c>
      <c r="B7">
        <v>13016.507162003651</v>
      </c>
      <c r="C7">
        <v>12084.38</v>
      </c>
      <c r="D7">
        <v>932.12716200364775</v>
      </c>
    </row>
    <row r="8" spans="1:4" x14ac:dyDescent="0.2">
      <c r="A8" s="73">
        <v>45395</v>
      </c>
      <c r="B8">
        <v>12360.264909336411</v>
      </c>
      <c r="C8">
        <v>12084.38</v>
      </c>
      <c r="D8">
        <v>275.88490933640787</v>
      </c>
    </row>
    <row r="9" spans="1:4" x14ac:dyDescent="0.2">
      <c r="A9" s="73">
        <v>45394</v>
      </c>
      <c r="B9">
        <v>13886.68416236974</v>
      </c>
      <c r="C9">
        <v>12084.38</v>
      </c>
      <c r="D9">
        <v>1802.304162369735</v>
      </c>
    </row>
    <row r="10" spans="1:4" x14ac:dyDescent="0.2">
      <c r="A10" s="73">
        <v>45393</v>
      </c>
      <c r="B10">
        <v>15615.14354384155</v>
      </c>
      <c r="C10">
        <v>12084.38</v>
      </c>
      <c r="D10">
        <v>3530.7635438415509</v>
      </c>
    </row>
    <row r="11" spans="1:4" x14ac:dyDescent="0.2">
      <c r="A11" s="73">
        <v>45392</v>
      </c>
      <c r="B11">
        <v>15903.5310853049</v>
      </c>
      <c r="C11">
        <v>12084.38</v>
      </c>
      <c r="D11">
        <v>3819.151085304904</v>
      </c>
    </row>
    <row r="12" spans="1:4" x14ac:dyDescent="0.2">
      <c r="A12" s="73">
        <v>45391</v>
      </c>
      <c r="B12">
        <v>15967.64412229779</v>
      </c>
      <c r="C12">
        <v>12084.38</v>
      </c>
      <c r="D12">
        <v>3883.2641222977909</v>
      </c>
    </row>
    <row r="13" spans="1:4" x14ac:dyDescent="0.2">
      <c r="A13" s="73">
        <v>45390</v>
      </c>
      <c r="B13">
        <v>16477.391104747039</v>
      </c>
      <c r="C13">
        <v>12084.38</v>
      </c>
      <c r="D13">
        <v>4393.0111047470418</v>
      </c>
    </row>
    <row r="14" spans="1:4" x14ac:dyDescent="0.2">
      <c r="A14" s="73">
        <v>45389</v>
      </c>
      <c r="B14">
        <v>15922.128083149941</v>
      </c>
      <c r="C14">
        <v>12084.38</v>
      </c>
      <c r="D14">
        <v>3837.7480831499379</v>
      </c>
    </row>
    <row r="15" spans="1:4" x14ac:dyDescent="0.2">
      <c r="A15" s="73">
        <v>45388</v>
      </c>
      <c r="B15">
        <v>15923.414353000629</v>
      </c>
      <c r="C15">
        <v>12084.38</v>
      </c>
      <c r="D15">
        <v>3839.0343530006321</v>
      </c>
    </row>
    <row r="16" spans="1:4" x14ac:dyDescent="0.2">
      <c r="A16" s="73">
        <v>45387</v>
      </c>
      <c r="B16">
        <v>15766.353115084979</v>
      </c>
      <c r="C16">
        <v>12084.38</v>
      </c>
      <c r="D16">
        <v>3681.9731150849839</v>
      </c>
    </row>
    <row r="17" spans="1:4" x14ac:dyDescent="0.2">
      <c r="A17" s="73">
        <v>45386</v>
      </c>
      <c r="B17">
        <v>15865.293281397901</v>
      </c>
      <c r="C17">
        <v>12084.38</v>
      </c>
      <c r="D17">
        <v>3780.9132813978958</v>
      </c>
    </row>
    <row r="18" spans="1:4" x14ac:dyDescent="0.2">
      <c r="A18" s="73">
        <v>45385</v>
      </c>
      <c r="B18">
        <v>15454.691850456171</v>
      </c>
      <c r="C18">
        <v>12084.38</v>
      </c>
      <c r="D18">
        <v>3370.311850456168</v>
      </c>
    </row>
    <row r="19" spans="1:4" x14ac:dyDescent="0.2">
      <c r="A19" s="73">
        <v>45384</v>
      </c>
      <c r="B19">
        <v>15628.39592822707</v>
      </c>
      <c r="C19">
        <v>12084.38</v>
      </c>
      <c r="D19">
        <v>3544.015928227072</v>
      </c>
    </row>
    <row r="20" spans="1:4" x14ac:dyDescent="0.2">
      <c r="A20" s="73">
        <v>45383</v>
      </c>
      <c r="B20">
        <v>16480.621473743031</v>
      </c>
      <c r="C20">
        <v>12084.38</v>
      </c>
      <c r="D20">
        <v>4396.2414737430336</v>
      </c>
    </row>
    <row r="21" spans="1:4" x14ac:dyDescent="0.2">
      <c r="A21" s="73">
        <v>45382</v>
      </c>
      <c r="B21">
        <v>17152.75965003555</v>
      </c>
      <c r="C21">
        <v>12084.38</v>
      </c>
      <c r="D21">
        <v>5068.3796500355493</v>
      </c>
    </row>
    <row r="22" spans="1:4" x14ac:dyDescent="0.2">
      <c r="A22" s="73">
        <v>45381</v>
      </c>
      <c r="B22">
        <v>16885.294168204469</v>
      </c>
      <c r="C22">
        <v>12084.38</v>
      </c>
      <c r="D22">
        <v>4800.9141682044719</v>
      </c>
    </row>
    <row r="23" spans="1:4" x14ac:dyDescent="0.2">
      <c r="A23" s="73">
        <v>45380</v>
      </c>
      <c r="B23">
        <v>17218.471402921248</v>
      </c>
      <c r="C23">
        <v>12084.38</v>
      </c>
      <c r="D23">
        <v>5134.0914029212508</v>
      </c>
    </row>
    <row r="24" spans="1:4" x14ac:dyDescent="0.2">
      <c r="A24" s="73">
        <v>45379</v>
      </c>
      <c r="B24">
        <v>17130.414550736768</v>
      </c>
      <c r="C24">
        <v>12084.38</v>
      </c>
      <c r="D24">
        <v>5046.0345507367711</v>
      </c>
    </row>
    <row r="25" spans="1:4" x14ac:dyDescent="0.2">
      <c r="A25" s="73">
        <v>45378</v>
      </c>
      <c r="B25">
        <v>16782.47822208485</v>
      </c>
      <c r="C25">
        <v>12084.38</v>
      </c>
      <c r="D25">
        <v>4698.0982220848446</v>
      </c>
    </row>
    <row r="26" spans="1:4" x14ac:dyDescent="0.2">
      <c r="A26" s="73">
        <v>45377</v>
      </c>
      <c r="B26">
        <v>17562.387656364779</v>
      </c>
      <c r="C26">
        <v>12084.38</v>
      </c>
      <c r="D26">
        <v>5478.0076563647781</v>
      </c>
    </row>
    <row r="27" spans="1:4" x14ac:dyDescent="0.2">
      <c r="A27" s="73">
        <v>45376</v>
      </c>
      <c r="B27">
        <v>17380.77704715055</v>
      </c>
      <c r="C27">
        <v>12084.38</v>
      </c>
      <c r="D27">
        <v>5296.397047150549</v>
      </c>
    </row>
    <row r="28" spans="1:4" x14ac:dyDescent="0.2">
      <c r="A28" s="73">
        <v>45375</v>
      </c>
      <c r="B28">
        <v>16732.179677034779</v>
      </c>
      <c r="C28">
        <v>12084.38</v>
      </c>
      <c r="D28">
        <v>4647.7996770347754</v>
      </c>
    </row>
    <row r="29" spans="1:4" x14ac:dyDescent="0.2">
      <c r="A29" s="73">
        <v>45374</v>
      </c>
      <c r="B29">
        <v>16302.038591817231</v>
      </c>
      <c r="C29">
        <v>12084.38</v>
      </c>
      <c r="D29">
        <v>4217.6585918172277</v>
      </c>
    </row>
    <row r="30" spans="1:4" x14ac:dyDescent="0.2">
      <c r="A30" s="73">
        <v>45373</v>
      </c>
      <c r="B30">
        <v>16147.3063083257</v>
      </c>
      <c r="C30">
        <v>12084.38</v>
      </c>
      <c r="D30">
        <v>4062.926308325696</v>
      </c>
    </row>
    <row r="31" spans="1:4" x14ac:dyDescent="0.2">
      <c r="A31" s="73">
        <v>45372</v>
      </c>
      <c r="B31">
        <v>16836.62087441286</v>
      </c>
      <c r="C31">
        <v>12084.38</v>
      </c>
      <c r="D31">
        <v>4752.2408744128588</v>
      </c>
    </row>
    <row r="32" spans="1:4" x14ac:dyDescent="0.2">
      <c r="A32" s="73">
        <v>45371</v>
      </c>
      <c r="B32">
        <v>16588.789790804662</v>
      </c>
      <c r="C32">
        <v>12084.38</v>
      </c>
      <c r="D32">
        <v>4504.4097908046606</v>
      </c>
    </row>
    <row r="33" spans="1:4" x14ac:dyDescent="0.2">
      <c r="A33" s="73">
        <v>45370</v>
      </c>
      <c r="B33">
        <v>15444.61691712735</v>
      </c>
      <c r="C33">
        <v>12084.38</v>
      </c>
      <c r="D33">
        <v>3360.2369171273481</v>
      </c>
    </row>
    <row r="34" spans="1:4" x14ac:dyDescent="0.2">
      <c r="A34" s="73">
        <v>45369</v>
      </c>
      <c r="B34">
        <v>17145.48051589328</v>
      </c>
      <c r="C34">
        <v>12084.38</v>
      </c>
      <c r="D34">
        <v>5061.1005158932749</v>
      </c>
    </row>
    <row r="35" spans="1:4" x14ac:dyDescent="0.2">
      <c r="A35" s="73">
        <v>45368</v>
      </c>
      <c r="B35">
        <v>17089.592187954731</v>
      </c>
      <c r="C35">
        <v>12084.38</v>
      </c>
      <c r="D35">
        <v>5005.2121879547303</v>
      </c>
    </row>
    <row r="36" spans="1:4" x14ac:dyDescent="0.2">
      <c r="A36" s="73">
        <v>45367</v>
      </c>
      <c r="B36">
        <v>16395.949765043672</v>
      </c>
      <c r="C36">
        <v>12084.38</v>
      </c>
      <c r="D36">
        <v>4311.5697650436696</v>
      </c>
    </row>
    <row r="37" spans="1:4" x14ac:dyDescent="0.2">
      <c r="A37" s="73">
        <v>45366</v>
      </c>
      <c r="B37">
        <v>17597.46511288944</v>
      </c>
      <c r="C37">
        <v>12084.38</v>
      </c>
      <c r="D37">
        <v>5513.0851128894392</v>
      </c>
    </row>
    <row r="38" spans="1:4" x14ac:dyDescent="0.2">
      <c r="A38" s="73">
        <v>45365</v>
      </c>
      <c r="B38">
        <v>18567.383130602509</v>
      </c>
      <c r="C38">
        <v>12084.38</v>
      </c>
      <c r="D38">
        <v>6483.0031306025076</v>
      </c>
    </row>
    <row r="39" spans="1:4" x14ac:dyDescent="0.2">
      <c r="A39" s="73">
        <v>45364</v>
      </c>
      <c r="B39">
        <v>19257.31695295528</v>
      </c>
      <c r="C39">
        <v>12084.38</v>
      </c>
      <c r="D39">
        <v>7172.9369529552823</v>
      </c>
    </row>
    <row r="40" spans="1:4" x14ac:dyDescent="0.2">
      <c r="A40" s="73">
        <v>45363</v>
      </c>
      <c r="B40">
        <v>19291.2571991121</v>
      </c>
      <c r="C40">
        <v>12084.38</v>
      </c>
      <c r="D40">
        <v>7206.8771991120957</v>
      </c>
    </row>
    <row r="41" spans="1:4" x14ac:dyDescent="0.2">
      <c r="A41" s="73">
        <v>45362</v>
      </c>
      <c r="B41">
        <v>19612.843270664569</v>
      </c>
      <c r="C41">
        <v>12084.38</v>
      </c>
      <c r="D41">
        <v>7528.4632706645716</v>
      </c>
    </row>
    <row r="42" spans="1:4" x14ac:dyDescent="0.2">
      <c r="A42" s="73">
        <v>45361</v>
      </c>
      <c r="B42">
        <v>17730.58766639583</v>
      </c>
      <c r="C42">
        <v>12084.38</v>
      </c>
      <c r="D42">
        <v>5646.2076663958251</v>
      </c>
    </row>
    <row r="43" spans="1:4" x14ac:dyDescent="0.2">
      <c r="A43" s="73">
        <v>45360</v>
      </c>
      <c r="B43">
        <v>18285.781809238691</v>
      </c>
      <c r="C43">
        <v>12084.38</v>
      </c>
      <c r="D43">
        <v>6201.4018092386896</v>
      </c>
    </row>
    <row r="44" spans="1:4" x14ac:dyDescent="0.2">
      <c r="A44" s="73">
        <v>45359</v>
      </c>
      <c r="B44">
        <v>18275.18309604314</v>
      </c>
      <c r="C44">
        <v>12084.38</v>
      </c>
      <c r="D44">
        <v>6190.8030960431388</v>
      </c>
    </row>
    <row r="45" spans="1:4" x14ac:dyDescent="0.2">
      <c r="A45" s="73">
        <v>45358</v>
      </c>
      <c r="B45">
        <v>18630.100979451399</v>
      </c>
      <c r="C45">
        <v>12084.38</v>
      </c>
      <c r="D45">
        <v>6545.7209794513983</v>
      </c>
    </row>
    <row r="46" spans="1:4" x14ac:dyDescent="0.2">
      <c r="A46" s="73">
        <v>45357</v>
      </c>
      <c r="B46">
        <v>17789.341222581199</v>
      </c>
      <c r="C46">
        <v>12084.38</v>
      </c>
      <c r="D46">
        <v>5704.9612225811943</v>
      </c>
    </row>
    <row r="47" spans="1:4" x14ac:dyDescent="0.2">
      <c r="A47" s="73">
        <v>45356</v>
      </c>
      <c r="B47">
        <v>16444.294929952968</v>
      </c>
      <c r="C47">
        <v>12084.38</v>
      </c>
      <c r="D47">
        <v>4359.9149299529672</v>
      </c>
    </row>
    <row r="48" spans="1:4" x14ac:dyDescent="0.2">
      <c r="A48" s="73">
        <v>45355</v>
      </c>
      <c r="B48">
        <v>17591.332205708699</v>
      </c>
      <c r="C48">
        <v>12084.38</v>
      </c>
      <c r="D48">
        <v>5506.9522057086979</v>
      </c>
    </row>
    <row r="49" spans="1:4" x14ac:dyDescent="0.2">
      <c r="A49" s="73">
        <v>45354</v>
      </c>
      <c r="B49">
        <v>16893.951771701541</v>
      </c>
      <c r="C49">
        <v>12084.38</v>
      </c>
      <c r="D49">
        <v>4809.5717717015359</v>
      </c>
    </row>
    <row r="50" spans="1:4" x14ac:dyDescent="0.2">
      <c r="A50" s="73">
        <v>45353</v>
      </c>
      <c r="B50">
        <v>17306.03140143189</v>
      </c>
      <c r="C50">
        <v>12084.38</v>
      </c>
      <c r="D50">
        <v>5221.6514014318846</v>
      </c>
    </row>
    <row r="51" spans="1:4" x14ac:dyDescent="0.2">
      <c r="A51" s="73">
        <v>45352</v>
      </c>
      <c r="B51">
        <v>16879.717475913589</v>
      </c>
      <c r="C51">
        <v>12084.38</v>
      </c>
      <c r="D51">
        <v>4795.3374759135877</v>
      </c>
    </row>
    <row r="52" spans="1:4" x14ac:dyDescent="0.2">
      <c r="A52" s="73">
        <v>45351</v>
      </c>
      <c r="B52">
        <v>16515.674111174249</v>
      </c>
      <c r="C52">
        <v>12084.38</v>
      </c>
      <c r="D52">
        <v>4431.2941111742512</v>
      </c>
    </row>
    <row r="53" spans="1:4" x14ac:dyDescent="0.2">
      <c r="A53" s="73">
        <v>45350</v>
      </c>
      <c r="B53">
        <v>16295.60891480912</v>
      </c>
      <c r="C53">
        <v>12084.38</v>
      </c>
      <c r="D53">
        <v>4211.2289148091222</v>
      </c>
    </row>
    <row r="54" spans="1:4" x14ac:dyDescent="0.2">
      <c r="A54" s="73">
        <v>45349</v>
      </c>
      <c r="B54">
        <v>16027.4065023444</v>
      </c>
      <c r="C54">
        <v>12084.38</v>
      </c>
      <c r="D54">
        <v>3943.0265023443972</v>
      </c>
    </row>
    <row r="55" spans="1:4" x14ac:dyDescent="0.2">
      <c r="A55" s="73">
        <v>45348</v>
      </c>
      <c r="B55">
        <v>15876.700055517251</v>
      </c>
      <c r="C55">
        <v>12084.38</v>
      </c>
      <c r="D55">
        <v>3792.3200555172521</v>
      </c>
    </row>
    <row r="56" spans="1:4" x14ac:dyDescent="0.2">
      <c r="A56" s="73">
        <v>45347</v>
      </c>
      <c r="B56">
        <v>15583.072359455349</v>
      </c>
      <c r="C56">
        <v>12084.38</v>
      </c>
      <c r="D56">
        <v>3498.692359455345</v>
      </c>
    </row>
    <row r="57" spans="1:4" x14ac:dyDescent="0.2">
      <c r="A57" s="73">
        <v>45346</v>
      </c>
      <c r="B57">
        <v>15649.49181156128</v>
      </c>
      <c r="C57">
        <v>12084.38</v>
      </c>
      <c r="D57">
        <v>3565.1118115612808</v>
      </c>
    </row>
    <row r="58" spans="1:4" x14ac:dyDescent="0.2">
      <c r="A58" s="73">
        <v>45345</v>
      </c>
      <c r="B58">
        <v>13561.782471925861</v>
      </c>
      <c r="C58">
        <v>10113.74</v>
      </c>
      <c r="D58">
        <v>3448.0424719258658</v>
      </c>
    </row>
    <row r="59" spans="1:4" x14ac:dyDescent="0.2">
      <c r="A59" s="73">
        <v>45344</v>
      </c>
      <c r="B59">
        <v>14263.24546925888</v>
      </c>
      <c r="C59">
        <v>10113.74</v>
      </c>
      <c r="D59">
        <v>4149.5054692588819</v>
      </c>
    </row>
    <row r="60" spans="1:4" x14ac:dyDescent="0.2">
      <c r="A60" s="73">
        <v>45343</v>
      </c>
      <c r="B60">
        <v>13284.16035359389</v>
      </c>
      <c r="C60">
        <v>10113.74</v>
      </c>
      <c r="D60">
        <v>3170.42035359389</v>
      </c>
    </row>
    <row r="61" spans="1:4" x14ac:dyDescent="0.2">
      <c r="A61" s="73">
        <v>45342</v>
      </c>
      <c r="B61">
        <v>13643.81172449971</v>
      </c>
      <c r="C61">
        <v>10113.74</v>
      </c>
      <c r="D61">
        <v>3530.0717244997159</v>
      </c>
    </row>
    <row r="62" spans="1:4" x14ac:dyDescent="0.2">
      <c r="A62" s="73">
        <v>45341</v>
      </c>
      <c r="B62">
        <v>13895.873277314309</v>
      </c>
      <c r="C62">
        <v>10113.74</v>
      </c>
      <c r="D62">
        <v>3782.1332773143081</v>
      </c>
    </row>
    <row r="63" spans="1:4" x14ac:dyDescent="0.2">
      <c r="A63" s="73">
        <v>45340</v>
      </c>
      <c r="B63">
        <v>12137.43328218663</v>
      </c>
      <c r="C63">
        <v>10113.74</v>
      </c>
      <c r="D63">
        <v>2023.693282186636</v>
      </c>
    </row>
    <row r="64" spans="1:4" x14ac:dyDescent="0.2">
      <c r="A64" s="73">
        <v>45339</v>
      </c>
      <c r="B64">
        <v>11563.20843205476</v>
      </c>
      <c r="C64">
        <v>10113.74</v>
      </c>
      <c r="D64">
        <v>1449.468432054766</v>
      </c>
    </row>
    <row r="65" spans="1:4" x14ac:dyDescent="0.2">
      <c r="A65" s="73">
        <v>45338</v>
      </c>
      <c r="B65">
        <v>11863.65126588734</v>
      </c>
      <c r="C65">
        <v>10113.74</v>
      </c>
      <c r="D65">
        <v>1749.9112658873421</v>
      </c>
    </row>
    <row r="66" spans="1:4" x14ac:dyDescent="0.2">
      <c r="A66" s="73">
        <v>45337</v>
      </c>
      <c r="B66">
        <v>11613.818656762231</v>
      </c>
      <c r="C66">
        <v>10113.74</v>
      </c>
      <c r="D66">
        <v>1500.078656762231</v>
      </c>
    </row>
    <row r="67" spans="1:4" x14ac:dyDescent="0.2">
      <c r="A67" s="73">
        <v>45336</v>
      </c>
      <c r="B67">
        <v>11371.637394588261</v>
      </c>
      <c r="C67">
        <v>10113.74</v>
      </c>
      <c r="D67">
        <v>1257.8973945882569</v>
      </c>
    </row>
    <row r="68" spans="1:4" x14ac:dyDescent="0.2">
      <c r="A68" s="73">
        <v>45335</v>
      </c>
      <c r="B68">
        <v>11193.701416061551</v>
      </c>
      <c r="C68">
        <v>10113.74</v>
      </c>
      <c r="D68">
        <v>1079.9614160615531</v>
      </c>
    </row>
    <row r="69" spans="1:4" x14ac:dyDescent="0.2">
      <c r="A69" s="73">
        <v>45334</v>
      </c>
      <c r="B69">
        <v>11120.22968209853</v>
      </c>
      <c r="C69">
        <v>10113.74</v>
      </c>
      <c r="D69">
        <v>1006.48968209853</v>
      </c>
    </row>
    <row r="70" spans="1:4" x14ac:dyDescent="0.2">
      <c r="A70" s="73">
        <v>45333</v>
      </c>
      <c r="B70">
        <v>10926.58711992184</v>
      </c>
      <c r="C70">
        <v>10113.74</v>
      </c>
      <c r="D70">
        <v>812.84711992184384</v>
      </c>
    </row>
    <row r="71" spans="1:4" x14ac:dyDescent="0.2">
      <c r="A71" s="73">
        <v>45332</v>
      </c>
      <c r="B71">
        <v>10961.034809831821</v>
      </c>
      <c r="C71">
        <v>10113.74</v>
      </c>
      <c r="D71">
        <v>847.29480983182657</v>
      </c>
    </row>
    <row r="72" spans="1:4" x14ac:dyDescent="0.2">
      <c r="A72" s="73">
        <v>45331</v>
      </c>
      <c r="B72">
        <v>11025.37085685381</v>
      </c>
      <c r="C72">
        <v>10113.74</v>
      </c>
      <c r="D72">
        <v>911.63085685380804</v>
      </c>
    </row>
    <row r="73" spans="1:4" x14ac:dyDescent="0.2">
      <c r="A73" s="73">
        <v>45330</v>
      </c>
      <c r="B73">
        <v>10651.412460070391</v>
      </c>
      <c r="C73">
        <v>10113.74</v>
      </c>
      <c r="D73">
        <v>537.67246007038739</v>
      </c>
    </row>
    <row r="74" spans="1:4" x14ac:dyDescent="0.2">
      <c r="A74" s="73">
        <v>45329</v>
      </c>
      <c r="B74">
        <v>10636.0469685633</v>
      </c>
      <c r="C74">
        <v>10113.74</v>
      </c>
      <c r="D74">
        <v>522.30696856330542</v>
      </c>
    </row>
    <row r="75" spans="1:4" x14ac:dyDescent="0.2">
      <c r="A75" s="73">
        <v>45328</v>
      </c>
      <c r="B75">
        <v>10478.15153579369</v>
      </c>
      <c r="C75">
        <v>10113.74</v>
      </c>
      <c r="D75">
        <v>364.41153579369171</v>
      </c>
    </row>
    <row r="76" spans="1:4" x14ac:dyDescent="0.2">
      <c r="A76" s="73">
        <v>45327</v>
      </c>
      <c r="B76">
        <v>10034.14543548085</v>
      </c>
      <c r="C76">
        <v>10113</v>
      </c>
      <c r="D76">
        <v>-78.854564519147971</v>
      </c>
    </row>
    <row r="77" spans="1:4" x14ac:dyDescent="0.2">
      <c r="A77" s="73">
        <v>45326</v>
      </c>
      <c r="B77">
        <v>9938.0793912179543</v>
      </c>
      <c r="C77">
        <v>10113</v>
      </c>
      <c r="D77">
        <v>-174.92060878204569</v>
      </c>
    </row>
    <row r="78" spans="1:4" x14ac:dyDescent="0.2">
      <c r="A78" s="73">
        <v>45325</v>
      </c>
      <c r="B78">
        <v>10143.033866931821</v>
      </c>
      <c r="C78">
        <v>10113</v>
      </c>
      <c r="D78">
        <v>30.033866931815279</v>
      </c>
    </row>
    <row r="79" spans="1:4" x14ac:dyDescent="0.2">
      <c r="A79" s="73">
        <v>45324</v>
      </c>
      <c r="B79">
        <v>10055.326241896641</v>
      </c>
      <c r="C79">
        <v>10113</v>
      </c>
      <c r="D79">
        <v>-57.673758103359432</v>
      </c>
    </row>
    <row r="80" spans="1:4" x14ac:dyDescent="0.2">
      <c r="A80" s="73">
        <v>45323</v>
      </c>
      <c r="B80">
        <v>10105.16881367773</v>
      </c>
      <c r="C80">
        <v>10113</v>
      </c>
      <c r="D80">
        <v>-7.8311863222697866</v>
      </c>
    </row>
    <row r="81" spans="1:4" x14ac:dyDescent="0.2">
      <c r="A81" s="73">
        <v>45322</v>
      </c>
      <c r="B81">
        <v>10016.30727916656</v>
      </c>
      <c r="C81">
        <v>10113</v>
      </c>
      <c r="D81">
        <v>-96.69272083344184</v>
      </c>
    </row>
    <row r="82" spans="1:4" x14ac:dyDescent="0.2">
      <c r="A82" s="73">
        <v>45321</v>
      </c>
      <c r="B82">
        <v>10364.34015468112</v>
      </c>
      <c r="C82">
        <v>10113</v>
      </c>
      <c r="D82">
        <v>251.34015468111829</v>
      </c>
    </row>
    <row r="83" spans="1:4" x14ac:dyDescent="0.2">
      <c r="A83" s="73">
        <v>45320</v>
      </c>
      <c r="B83">
        <v>10691.1761218925</v>
      </c>
      <c r="C83">
        <v>10107.67</v>
      </c>
      <c r="D83">
        <v>583.50612189250387</v>
      </c>
    </row>
    <row r="84" spans="1:4" x14ac:dyDescent="0.2">
      <c r="A84" s="73">
        <v>45319</v>
      </c>
      <c r="B84">
        <v>10510.16920993928</v>
      </c>
      <c r="C84">
        <v>10107.67</v>
      </c>
      <c r="D84">
        <v>402.49920993928032</v>
      </c>
    </row>
    <row r="85" spans="1:4" x14ac:dyDescent="0.2">
      <c r="A85" s="73">
        <v>45318</v>
      </c>
      <c r="B85">
        <v>10649.391593845021</v>
      </c>
      <c r="C85">
        <v>10107.67</v>
      </c>
      <c r="D85">
        <v>541.7215938450172</v>
      </c>
    </row>
    <row r="86" spans="1:4" x14ac:dyDescent="0.2">
      <c r="A86" s="73">
        <v>45317</v>
      </c>
      <c r="B86">
        <v>10667.646585194179</v>
      </c>
      <c r="C86">
        <v>10107.67</v>
      </c>
      <c r="D86">
        <v>559.9765851941811</v>
      </c>
    </row>
    <row r="87" spans="1:4" x14ac:dyDescent="0.2">
      <c r="A87" s="73">
        <v>45316</v>
      </c>
      <c r="B87">
        <v>10258.940591199889</v>
      </c>
      <c r="C87">
        <v>10107.67</v>
      </c>
      <c r="D87">
        <v>151.27059119988729</v>
      </c>
    </row>
    <row r="88" spans="1:4" x14ac:dyDescent="0.2">
      <c r="A88" s="73">
        <v>45315</v>
      </c>
      <c r="B88">
        <v>10370.933511508259</v>
      </c>
      <c r="C88">
        <v>10107.67</v>
      </c>
      <c r="D88">
        <v>263.2635115082594</v>
      </c>
    </row>
    <row r="89" spans="1:4" x14ac:dyDescent="0.2">
      <c r="A89" s="73">
        <v>45314</v>
      </c>
      <c r="B89">
        <v>10234.87300467814</v>
      </c>
      <c r="C89">
        <v>10107.67</v>
      </c>
      <c r="D89">
        <v>127.2030046781383</v>
      </c>
    </row>
    <row r="90" spans="1:4" x14ac:dyDescent="0.2">
      <c r="A90" s="73">
        <v>45313</v>
      </c>
      <c r="B90">
        <v>10323.10400177199</v>
      </c>
      <c r="C90">
        <v>10107.67</v>
      </c>
      <c r="D90">
        <v>215.43400177199149</v>
      </c>
    </row>
    <row r="91" spans="1:4" x14ac:dyDescent="0.2">
      <c r="A91" s="73">
        <v>45312</v>
      </c>
      <c r="B91">
        <v>10885.323843478431</v>
      </c>
      <c r="C91">
        <v>10107.67</v>
      </c>
      <c r="D91">
        <v>777.65384347842701</v>
      </c>
    </row>
    <row r="92" spans="1:4" x14ac:dyDescent="0.2">
      <c r="A92" s="73">
        <v>45311</v>
      </c>
      <c r="B92">
        <v>10998.77938722225</v>
      </c>
      <c r="C92">
        <v>10107.67</v>
      </c>
      <c r="D92">
        <v>891.10938722225546</v>
      </c>
    </row>
    <row r="93" spans="1:4" x14ac:dyDescent="0.2">
      <c r="A93" s="73">
        <v>45310</v>
      </c>
      <c r="B93">
        <v>10868.277651179371</v>
      </c>
      <c r="C93">
        <v>10107.67</v>
      </c>
      <c r="D93">
        <v>760.60765117936899</v>
      </c>
    </row>
    <row r="94" spans="1:4" x14ac:dyDescent="0.2">
      <c r="A94" s="73">
        <v>45309</v>
      </c>
      <c r="B94">
        <v>10898.59473036851</v>
      </c>
      <c r="C94">
        <v>10107.67</v>
      </c>
      <c r="D94">
        <v>790.92473036851516</v>
      </c>
    </row>
    <row r="95" spans="1:4" x14ac:dyDescent="0.2">
      <c r="A95" s="73">
        <v>45308</v>
      </c>
      <c r="B95">
        <v>11334.293298374039</v>
      </c>
      <c r="C95">
        <v>10107.67</v>
      </c>
      <c r="D95">
        <v>1226.6232983740369</v>
      </c>
    </row>
    <row r="96" spans="1:4" x14ac:dyDescent="0.2">
      <c r="A96" s="73">
        <v>45307</v>
      </c>
      <c r="B96">
        <v>11549.591594518721</v>
      </c>
      <c r="C96">
        <v>10107.67</v>
      </c>
      <c r="D96">
        <v>1441.921594518722</v>
      </c>
    </row>
    <row r="97" spans="1:4" x14ac:dyDescent="0.2">
      <c r="A97" s="73">
        <v>45306</v>
      </c>
      <c r="B97">
        <v>11316.305705637409</v>
      </c>
      <c r="C97">
        <v>10107.67</v>
      </c>
      <c r="D97">
        <v>1208.635705637409</v>
      </c>
    </row>
    <row r="98" spans="1:4" x14ac:dyDescent="0.2">
      <c r="A98" s="73">
        <v>45305</v>
      </c>
      <c r="B98">
        <v>11258.909096567961</v>
      </c>
      <c r="C98">
        <v>10107.67</v>
      </c>
      <c r="D98">
        <v>1151.239096567959</v>
      </c>
    </row>
    <row r="99" spans="1:4" x14ac:dyDescent="0.2">
      <c r="A99" s="73">
        <v>45304</v>
      </c>
      <c r="B99">
        <v>11594.80878521291</v>
      </c>
      <c r="C99">
        <v>10107.67</v>
      </c>
      <c r="D99">
        <v>1487.1387852129119</v>
      </c>
    </row>
    <row r="100" spans="1:4" x14ac:dyDescent="0.2">
      <c r="A100" s="73">
        <v>45303</v>
      </c>
      <c r="B100">
        <v>11472.1837554957</v>
      </c>
      <c r="C100">
        <v>10107.67</v>
      </c>
      <c r="D100">
        <v>1364.5137554957</v>
      </c>
    </row>
    <row r="101" spans="1:4" x14ac:dyDescent="0.2">
      <c r="A101" s="73">
        <v>45302</v>
      </c>
      <c r="B101">
        <v>12050.385866039031</v>
      </c>
      <c r="C101">
        <v>10107.67</v>
      </c>
      <c r="D101">
        <v>1942.7158660390339</v>
      </c>
    </row>
    <row r="102" spans="1:4" x14ac:dyDescent="0.2">
      <c r="A102" s="73">
        <v>45301</v>
      </c>
      <c r="B102">
        <v>12017.543972990339</v>
      </c>
      <c r="C102">
        <v>10107.67</v>
      </c>
      <c r="D102">
        <v>1909.8739729903459</v>
      </c>
    </row>
    <row r="103" spans="1:4" x14ac:dyDescent="0.2">
      <c r="A103" s="73">
        <v>45300</v>
      </c>
      <c r="B103">
        <v>11200.19391363105</v>
      </c>
      <c r="C103">
        <v>10107.67</v>
      </c>
      <c r="D103">
        <v>1092.523913631052</v>
      </c>
    </row>
    <row r="104" spans="1:4" x14ac:dyDescent="0.2">
      <c r="A104" s="73">
        <v>45299</v>
      </c>
      <c r="B104">
        <v>11648.34864640766</v>
      </c>
      <c r="C104">
        <v>10107.67</v>
      </c>
      <c r="D104">
        <v>1540.678646407659</v>
      </c>
    </row>
    <row r="105" spans="1:4" x14ac:dyDescent="0.2">
      <c r="A105" s="73">
        <v>45298</v>
      </c>
      <c r="B105">
        <v>10904.296130439991</v>
      </c>
      <c r="C105">
        <v>10107.67</v>
      </c>
      <c r="D105">
        <v>796.62613043998863</v>
      </c>
    </row>
    <row r="106" spans="1:4" x14ac:dyDescent="0.2">
      <c r="A106" s="73">
        <v>45297</v>
      </c>
      <c r="B106">
        <v>11393.19303462634</v>
      </c>
      <c r="C106">
        <v>10107.67</v>
      </c>
      <c r="D106">
        <v>1285.5230346263399</v>
      </c>
    </row>
    <row r="107" spans="1:4" x14ac:dyDescent="0.2">
      <c r="A107" s="73">
        <v>45296</v>
      </c>
      <c r="B107">
        <v>11879.299762819441</v>
      </c>
      <c r="C107">
        <v>10107.67</v>
      </c>
      <c r="D107">
        <v>1771.629762819437</v>
      </c>
    </row>
    <row r="108" spans="1:4" x14ac:dyDescent="0.2">
      <c r="A108" s="73">
        <v>45295</v>
      </c>
      <c r="B108">
        <v>12260.64380262154</v>
      </c>
      <c r="C108">
        <v>10107.67</v>
      </c>
      <c r="D108">
        <v>2152.973802621545</v>
      </c>
    </row>
    <row r="109" spans="1:4" x14ac:dyDescent="0.2">
      <c r="A109" s="73">
        <v>45294</v>
      </c>
      <c r="B109">
        <v>12245.13383786062</v>
      </c>
      <c r="C109">
        <v>10107.67</v>
      </c>
      <c r="D109">
        <v>2137.463837860621</v>
      </c>
    </row>
    <row r="110" spans="1:4" x14ac:dyDescent="0.2">
      <c r="A110" s="73">
        <v>45293</v>
      </c>
      <c r="B110">
        <v>13347.16501940245</v>
      </c>
      <c r="C110">
        <v>10107.67</v>
      </c>
      <c r="D110">
        <v>3239.49501940245</v>
      </c>
    </row>
    <row r="111" spans="1:4" x14ac:dyDescent="0.2">
      <c r="A111" s="73">
        <v>45292</v>
      </c>
      <c r="B111">
        <v>12947.83007908254</v>
      </c>
      <c r="C111">
        <v>10107.67</v>
      </c>
      <c r="D111">
        <v>2840.1600790825401</v>
      </c>
    </row>
    <row r="112" spans="1:4" x14ac:dyDescent="0.2">
      <c r="A112" s="73">
        <v>45291</v>
      </c>
      <c r="B112">
        <v>12290.362082772919</v>
      </c>
      <c r="C112">
        <v>10107.67</v>
      </c>
      <c r="D112">
        <v>2182.6920827729259</v>
      </c>
    </row>
    <row r="113" spans="1:4" x14ac:dyDescent="0.2">
      <c r="A113" s="73">
        <v>45290</v>
      </c>
      <c r="B113">
        <v>12481.769861201659</v>
      </c>
      <c r="C113">
        <v>10107.67</v>
      </c>
      <c r="D113">
        <v>2374.0998612016629</v>
      </c>
    </row>
    <row r="114" spans="1:4" x14ac:dyDescent="0.2">
      <c r="A114" s="73">
        <v>45289</v>
      </c>
      <c r="B114">
        <v>12649.83927396639</v>
      </c>
      <c r="C114">
        <v>10107.67</v>
      </c>
      <c r="D114">
        <v>2542.169273966389</v>
      </c>
    </row>
    <row r="115" spans="1:4" x14ac:dyDescent="0.2">
      <c r="A115" s="73">
        <v>45288</v>
      </c>
      <c r="B115">
        <v>12774.881816162009</v>
      </c>
      <c r="C115">
        <v>10107.67</v>
      </c>
      <c r="D115">
        <v>2667.2118161620151</v>
      </c>
    </row>
    <row r="116" spans="1:4" x14ac:dyDescent="0.2">
      <c r="A116" s="73">
        <v>45287</v>
      </c>
      <c r="B116">
        <v>13006.60806487115</v>
      </c>
      <c r="C116">
        <v>10107.67</v>
      </c>
      <c r="D116">
        <v>2898.9380648711522</v>
      </c>
    </row>
    <row r="117" spans="1:4" x14ac:dyDescent="0.2">
      <c r="A117" s="73">
        <v>45286</v>
      </c>
      <c r="B117">
        <v>12672.522174734209</v>
      </c>
      <c r="C117">
        <v>10107.67</v>
      </c>
      <c r="D117">
        <v>2564.852174734217</v>
      </c>
    </row>
    <row r="118" spans="1:4" x14ac:dyDescent="0.2">
      <c r="A118" s="73">
        <v>45285</v>
      </c>
      <c r="B118">
        <v>13142.746239323251</v>
      </c>
      <c r="C118">
        <v>10107.67</v>
      </c>
      <c r="D118">
        <v>3035.076239323254</v>
      </c>
    </row>
    <row r="119" spans="1:4" x14ac:dyDescent="0.2">
      <c r="A119" s="73">
        <v>45284</v>
      </c>
      <c r="B119">
        <v>12657.45403680088</v>
      </c>
      <c r="C119">
        <v>10107.67</v>
      </c>
      <c r="D119">
        <v>2549.7840368008801</v>
      </c>
    </row>
    <row r="120" spans="1:4" x14ac:dyDescent="0.2">
      <c r="A120" s="73">
        <v>45283</v>
      </c>
      <c r="B120">
        <v>12815.150111431731</v>
      </c>
      <c r="C120">
        <v>10107.67</v>
      </c>
      <c r="D120">
        <v>2707.4801114317361</v>
      </c>
    </row>
    <row r="121" spans="1:4" x14ac:dyDescent="0.2">
      <c r="A121" s="73">
        <v>45282</v>
      </c>
      <c r="B121">
        <v>12825.28771257796</v>
      </c>
      <c r="C121">
        <v>10107.67</v>
      </c>
      <c r="D121">
        <v>2717.6177125779609</v>
      </c>
    </row>
    <row r="122" spans="1:4" x14ac:dyDescent="0.2">
      <c r="A122" s="73">
        <v>45281</v>
      </c>
      <c r="B122">
        <v>12822.636072947271</v>
      </c>
      <c r="C122">
        <v>10104.700000000001</v>
      </c>
      <c r="D122">
        <v>2717.9360729472742</v>
      </c>
    </row>
    <row r="123" spans="1:4" x14ac:dyDescent="0.2">
      <c r="A123" s="73">
        <v>45280</v>
      </c>
      <c r="B123">
        <v>12433.37057334973</v>
      </c>
      <c r="C123">
        <v>10104.700000000001</v>
      </c>
      <c r="D123">
        <v>2328.6705733497352</v>
      </c>
    </row>
    <row r="124" spans="1:4" x14ac:dyDescent="0.2">
      <c r="A124" s="73">
        <v>45279</v>
      </c>
      <c r="B124">
        <v>11858.97661647687</v>
      </c>
      <c r="C124">
        <v>10104.700000000001</v>
      </c>
      <c r="D124">
        <v>1754.2766164768709</v>
      </c>
    </row>
    <row r="125" spans="1:4" x14ac:dyDescent="0.2">
      <c r="A125" s="73">
        <v>45278</v>
      </c>
      <c r="B125">
        <v>11760.411637300151</v>
      </c>
      <c r="C125">
        <v>10104.700000000001</v>
      </c>
      <c r="D125">
        <v>1655.71163730015</v>
      </c>
    </row>
    <row r="126" spans="1:4" x14ac:dyDescent="0.2">
      <c r="A126" s="73">
        <v>45277</v>
      </c>
      <c r="B126">
        <v>11663.423132235421</v>
      </c>
      <c r="C126">
        <v>10104.700000000001</v>
      </c>
      <c r="D126">
        <v>1558.7231322354201</v>
      </c>
    </row>
    <row r="127" spans="1:4" x14ac:dyDescent="0.2">
      <c r="A127" s="73">
        <v>45276</v>
      </c>
      <c r="B127">
        <v>11861.11292038148</v>
      </c>
      <c r="C127">
        <v>10104.700000000001</v>
      </c>
      <c r="D127">
        <v>1756.4129203814809</v>
      </c>
    </row>
    <row r="128" spans="1:4" x14ac:dyDescent="0.2">
      <c r="A128" s="73">
        <v>45275</v>
      </c>
      <c r="B128">
        <v>11835.709963896839</v>
      </c>
      <c r="C128">
        <v>10104.700000000001</v>
      </c>
      <c r="D128">
        <v>1731.0099638968441</v>
      </c>
    </row>
    <row r="129" spans="1:4" x14ac:dyDescent="0.2">
      <c r="A129" s="73">
        <v>45274</v>
      </c>
      <c r="B129">
        <v>12282.92479743255</v>
      </c>
      <c r="C129">
        <v>10104.700000000001</v>
      </c>
      <c r="D129">
        <v>2178.2247974325492</v>
      </c>
    </row>
    <row r="130" spans="1:4" x14ac:dyDescent="0.2">
      <c r="A130" s="73">
        <v>45273</v>
      </c>
      <c r="B130">
        <v>11683.926183295889</v>
      </c>
      <c r="C130">
        <v>10104.700000000001</v>
      </c>
      <c r="D130">
        <v>1579.226183295892</v>
      </c>
    </row>
    <row r="131" spans="1:4" x14ac:dyDescent="0.2">
      <c r="A131" s="73">
        <v>45272</v>
      </c>
      <c r="B131">
        <v>11508.474862555389</v>
      </c>
      <c r="C131">
        <v>10104.700000000001</v>
      </c>
      <c r="D131">
        <v>1403.774862555392</v>
      </c>
    </row>
    <row r="132" spans="1:4" x14ac:dyDescent="0.2">
      <c r="A132" s="73">
        <v>45271</v>
      </c>
      <c r="B132">
        <v>11142.806863884371</v>
      </c>
      <c r="C132">
        <v>10104.700000000001</v>
      </c>
      <c r="D132">
        <v>1038.106863884366</v>
      </c>
    </row>
    <row r="133" spans="1:4" x14ac:dyDescent="0.2">
      <c r="A133" s="73">
        <v>45270</v>
      </c>
      <c r="B133">
        <v>11836.837317052359</v>
      </c>
      <c r="C133">
        <v>10104.700000000001</v>
      </c>
      <c r="D133">
        <v>1732.137317052357</v>
      </c>
    </row>
    <row r="134" spans="1:4" x14ac:dyDescent="0.2">
      <c r="A134" s="73">
        <v>45269</v>
      </c>
      <c r="B134">
        <v>11764.85487427043</v>
      </c>
      <c r="C134">
        <v>10104.700000000001</v>
      </c>
      <c r="D134">
        <v>1660.1548742704269</v>
      </c>
    </row>
    <row r="135" spans="1:4" x14ac:dyDescent="0.2">
      <c r="A135" s="73">
        <v>45268</v>
      </c>
      <c r="B135">
        <v>11876.13907076065</v>
      </c>
      <c r="C135">
        <v>10104.700000000001</v>
      </c>
      <c r="D135">
        <v>1771.4390707606531</v>
      </c>
    </row>
    <row r="136" spans="1:4" x14ac:dyDescent="0.2">
      <c r="A136" s="73">
        <v>45267</v>
      </c>
      <c r="B136">
        <v>11198.50020851601</v>
      </c>
      <c r="C136">
        <v>10104.700000000001</v>
      </c>
      <c r="D136">
        <v>1093.8002085160081</v>
      </c>
    </row>
    <row r="137" spans="1:4" x14ac:dyDescent="0.2">
      <c r="A137" s="73">
        <v>45266</v>
      </c>
      <c r="B137">
        <v>11140.41804568555</v>
      </c>
      <c r="C137">
        <v>10101.52</v>
      </c>
      <c r="D137">
        <v>1038.89804568555</v>
      </c>
    </row>
    <row r="138" spans="1:4" x14ac:dyDescent="0.2">
      <c r="A138" s="73">
        <v>45265</v>
      </c>
      <c r="B138">
        <v>10738.02817676457</v>
      </c>
      <c r="C138">
        <v>10101.52</v>
      </c>
      <c r="D138">
        <v>636.50817676456609</v>
      </c>
    </row>
    <row r="139" spans="1:4" x14ac:dyDescent="0.2">
      <c r="A139" s="73">
        <v>45264</v>
      </c>
      <c r="B139">
        <v>10604.88062856559</v>
      </c>
      <c r="C139">
        <v>10101.52</v>
      </c>
      <c r="D139">
        <v>503.36062856558959</v>
      </c>
    </row>
    <row r="140" spans="1:4" x14ac:dyDescent="0.2">
      <c r="A140" s="73">
        <v>45263</v>
      </c>
      <c r="B140">
        <v>10453.732481992811</v>
      </c>
      <c r="C140">
        <v>10101.52</v>
      </c>
      <c r="D140">
        <v>352.21248199281041</v>
      </c>
    </row>
    <row r="141" spans="1:4" x14ac:dyDescent="0.2">
      <c r="A141" s="73">
        <v>45262</v>
      </c>
      <c r="B141">
        <v>10446.18299241199</v>
      </c>
      <c r="C141">
        <v>10101.52</v>
      </c>
      <c r="D141">
        <v>344.66299241198982</v>
      </c>
    </row>
    <row r="142" spans="1:4" x14ac:dyDescent="0.2">
      <c r="A142" s="73">
        <v>45261</v>
      </c>
      <c r="B142">
        <v>10249.65975068158</v>
      </c>
      <c r="C142">
        <v>10101.52</v>
      </c>
      <c r="D142">
        <v>148.13975068157919</v>
      </c>
    </row>
    <row r="143" spans="1:4" x14ac:dyDescent="0.2">
      <c r="A143" s="73">
        <v>45260</v>
      </c>
      <c r="B143">
        <v>10136.19096233995</v>
      </c>
      <c r="C143">
        <v>10101.52</v>
      </c>
      <c r="D143">
        <v>34.670962339949263</v>
      </c>
    </row>
    <row r="144" spans="1:4" x14ac:dyDescent="0.2">
      <c r="A144" s="73">
        <v>45259</v>
      </c>
      <c r="B144">
        <v>10154.976982975781</v>
      </c>
      <c r="C144">
        <v>10101.52</v>
      </c>
      <c r="D144">
        <v>53.456982975778367</v>
      </c>
    </row>
    <row r="145" spans="1:4" x14ac:dyDescent="0.2">
      <c r="A145" s="73">
        <v>45258</v>
      </c>
      <c r="B145">
        <v>10252.933484462121</v>
      </c>
      <c r="C145">
        <v>10101.52</v>
      </c>
      <c r="D145">
        <v>151.41348446211489</v>
      </c>
    </row>
    <row r="146" spans="1:4" x14ac:dyDescent="0.2">
      <c r="A146" s="73">
        <v>45257</v>
      </c>
      <c r="B146">
        <v>10240.342007749499</v>
      </c>
      <c r="C146">
        <v>10101.52</v>
      </c>
      <c r="D146">
        <v>138.82200774950431</v>
      </c>
    </row>
    <row r="147" spans="1:4" x14ac:dyDescent="0.2">
      <c r="A147" s="73">
        <v>45256</v>
      </c>
      <c r="B147">
        <v>10456.61645257977</v>
      </c>
      <c r="C147">
        <v>10101.52</v>
      </c>
      <c r="D147">
        <v>355.0964525797699</v>
      </c>
    </row>
    <row r="148" spans="1:4" x14ac:dyDescent="0.2">
      <c r="A148" s="73">
        <v>45255</v>
      </c>
      <c r="B148">
        <v>10563.93995438009</v>
      </c>
      <c r="C148">
        <v>10101.52</v>
      </c>
      <c r="D148">
        <v>462.41995438008962</v>
      </c>
    </row>
    <row r="149" spans="1:4" x14ac:dyDescent="0.2">
      <c r="A149" s="73">
        <v>45254</v>
      </c>
      <c r="B149">
        <v>10453.935564153269</v>
      </c>
      <c r="C149">
        <v>10101.52</v>
      </c>
      <c r="D149">
        <v>352.41556415327432</v>
      </c>
    </row>
    <row r="150" spans="1:4" x14ac:dyDescent="0.2">
      <c r="A150" s="73">
        <v>45253</v>
      </c>
      <c r="B150">
        <v>10370.558405331451</v>
      </c>
      <c r="C150">
        <v>10101.52</v>
      </c>
      <c r="D150">
        <v>269.0384053314483</v>
      </c>
    </row>
    <row r="151" spans="1:4" x14ac:dyDescent="0.2">
      <c r="A151" s="73">
        <v>45252</v>
      </c>
      <c r="B151">
        <v>10377.209684921751</v>
      </c>
      <c r="C151">
        <v>10101.52</v>
      </c>
      <c r="D151">
        <v>275.68968492175372</v>
      </c>
    </row>
    <row r="152" spans="1:4" x14ac:dyDescent="0.2">
      <c r="A152" s="73">
        <v>45251</v>
      </c>
      <c r="B152">
        <v>9800.3433959968752</v>
      </c>
      <c r="C152">
        <v>10101.52</v>
      </c>
      <c r="D152">
        <v>-301.17660400312519</v>
      </c>
    </row>
    <row r="153" spans="1:4" x14ac:dyDescent="0.2">
      <c r="A153" s="73">
        <v>45250</v>
      </c>
      <c r="B153">
        <v>10666.69194580202</v>
      </c>
      <c r="C153">
        <v>10101.52</v>
      </c>
      <c r="D153">
        <v>565.17194580201976</v>
      </c>
    </row>
    <row r="154" spans="1:4" x14ac:dyDescent="0.2">
      <c r="A154" s="73">
        <v>45249</v>
      </c>
      <c r="B154">
        <v>10519.64265596577</v>
      </c>
      <c r="C154">
        <v>10101.52</v>
      </c>
      <c r="D154">
        <v>418.12265596576981</v>
      </c>
    </row>
    <row r="155" spans="1:4" x14ac:dyDescent="0.2">
      <c r="A155" s="73">
        <v>45248</v>
      </c>
      <c r="B155">
        <v>10299.01993628986</v>
      </c>
      <c r="C155">
        <v>10101.52</v>
      </c>
      <c r="D155">
        <v>197.49993628985609</v>
      </c>
    </row>
    <row r="156" spans="1:4" x14ac:dyDescent="0.2">
      <c r="A156" s="73">
        <v>45247</v>
      </c>
      <c r="B156">
        <v>10480.65410897804</v>
      </c>
      <c r="C156">
        <v>10100.85</v>
      </c>
      <c r="D156">
        <v>379.80410897804541</v>
      </c>
    </row>
    <row r="157" spans="1:4" x14ac:dyDescent="0.2">
      <c r="A157" s="73">
        <v>45246</v>
      </c>
      <c r="B157">
        <v>10244.094157626179</v>
      </c>
      <c r="C157">
        <v>10100.85</v>
      </c>
      <c r="D157">
        <v>143.24415762618261</v>
      </c>
    </row>
    <row r="158" spans="1:4" x14ac:dyDescent="0.2">
      <c r="A158" s="73">
        <v>45245</v>
      </c>
      <c r="B158">
        <v>10657.063583724859</v>
      </c>
      <c r="C158">
        <v>10100.85</v>
      </c>
      <c r="D158">
        <v>556.21358372486429</v>
      </c>
    </row>
    <row r="159" spans="1:4" x14ac:dyDescent="0.2">
      <c r="A159" s="73">
        <v>45244</v>
      </c>
      <c r="B159">
        <v>10214.06939839362</v>
      </c>
      <c r="C159">
        <v>10100.85</v>
      </c>
      <c r="D159">
        <v>113.2193983936195</v>
      </c>
    </row>
    <row r="160" spans="1:4" x14ac:dyDescent="0.2">
      <c r="A160" s="73">
        <v>45243</v>
      </c>
      <c r="B160">
        <v>10621.61662867511</v>
      </c>
      <c r="C160">
        <v>10097.379999999999</v>
      </c>
      <c r="D160">
        <v>524.23662867510939</v>
      </c>
    </row>
    <row r="161" spans="1:4" x14ac:dyDescent="0.2">
      <c r="A161" s="73">
        <v>45242</v>
      </c>
      <c r="B161">
        <v>10791.683633547171</v>
      </c>
      <c r="C161">
        <v>10097.379999999999</v>
      </c>
      <c r="D161">
        <v>694.3036335471661</v>
      </c>
    </row>
    <row r="162" spans="1:4" x14ac:dyDescent="0.2">
      <c r="A162" s="73">
        <v>45241</v>
      </c>
      <c r="B162">
        <v>10776.169425909209</v>
      </c>
      <c r="C162">
        <v>10097.379999999999</v>
      </c>
      <c r="D162">
        <v>678.78942590921179</v>
      </c>
    </row>
    <row r="163" spans="1:4" x14ac:dyDescent="0.2">
      <c r="A163" s="73">
        <v>45240</v>
      </c>
      <c r="B163">
        <v>10826.566100976541</v>
      </c>
      <c r="C163">
        <v>10097.379999999999</v>
      </c>
      <c r="D163">
        <v>729.18610097653618</v>
      </c>
    </row>
    <row r="164" spans="1:4" x14ac:dyDescent="0.2">
      <c r="A164" s="73">
        <v>45239</v>
      </c>
      <c r="B164">
        <v>10641.241772928541</v>
      </c>
      <c r="C164">
        <v>10097.379999999999</v>
      </c>
      <c r="D164">
        <v>543.86177292854518</v>
      </c>
    </row>
    <row r="165" spans="1:4" x14ac:dyDescent="0.2">
      <c r="A165" s="73">
        <v>45238</v>
      </c>
      <c r="B165">
        <v>10886.523136665401</v>
      </c>
      <c r="C165">
        <v>10097.379999999999</v>
      </c>
      <c r="D165">
        <v>789.14313666539601</v>
      </c>
    </row>
    <row r="166" spans="1:4" x14ac:dyDescent="0.2">
      <c r="A166" s="73">
        <v>45237</v>
      </c>
      <c r="B166">
        <v>10613.16634201649</v>
      </c>
      <c r="C166">
        <v>10097.379999999999</v>
      </c>
      <c r="D166">
        <v>515.78634201648856</v>
      </c>
    </row>
    <row r="167" spans="1:4" x14ac:dyDescent="0.2">
      <c r="A167" s="73">
        <v>45236</v>
      </c>
      <c r="B167">
        <v>10960.99645953356</v>
      </c>
      <c r="C167">
        <v>10097.379999999999</v>
      </c>
      <c r="D167">
        <v>863.61645953355583</v>
      </c>
    </row>
    <row r="168" spans="1:4" x14ac:dyDescent="0.2">
      <c r="A168" s="73">
        <v>45235</v>
      </c>
      <c r="B168">
        <v>10252.794616110439</v>
      </c>
      <c r="C168">
        <v>10097.379999999999</v>
      </c>
      <c r="D168">
        <v>155.4146161104363</v>
      </c>
    </row>
    <row r="169" spans="1:4" x14ac:dyDescent="0.2">
      <c r="A169" s="73">
        <v>45234</v>
      </c>
      <c r="B169">
        <v>9858.5995637323358</v>
      </c>
      <c r="C169">
        <v>10097.379999999999</v>
      </c>
      <c r="D169">
        <v>-238.78043626766339</v>
      </c>
    </row>
    <row r="170" spans="1:4" x14ac:dyDescent="0.2">
      <c r="A170" s="73">
        <v>45233</v>
      </c>
      <c r="B170">
        <v>9758.7423148428134</v>
      </c>
      <c r="C170">
        <v>10097.379999999999</v>
      </c>
      <c r="D170">
        <v>-338.63768515718579</v>
      </c>
    </row>
    <row r="171" spans="1:4" x14ac:dyDescent="0.2">
      <c r="A171" s="73">
        <v>45232</v>
      </c>
      <c r="B171">
        <v>9758.3019405593805</v>
      </c>
      <c r="C171">
        <v>10097.379999999999</v>
      </c>
      <c r="D171">
        <v>-339.07805944061869</v>
      </c>
    </row>
    <row r="172" spans="1:4" x14ac:dyDescent="0.2">
      <c r="A172" s="73">
        <v>45231</v>
      </c>
      <c r="B172">
        <v>9634.0383977521378</v>
      </c>
      <c r="C172">
        <v>10097.379999999999</v>
      </c>
      <c r="D172">
        <v>-463.34160224786137</v>
      </c>
    </row>
    <row r="173" spans="1:4" x14ac:dyDescent="0.2">
      <c r="A173" s="73">
        <v>45230</v>
      </c>
      <c r="B173">
        <v>9465.7439791246397</v>
      </c>
      <c r="C173">
        <v>10097.379999999999</v>
      </c>
      <c r="D173">
        <v>-631.63602087535946</v>
      </c>
    </row>
    <row r="174" spans="1:4" x14ac:dyDescent="0.2">
      <c r="A174" s="73">
        <v>45229</v>
      </c>
      <c r="B174">
        <v>9378.9117674783811</v>
      </c>
      <c r="C174">
        <v>10097.379999999999</v>
      </c>
      <c r="D174">
        <v>-718.46823252161812</v>
      </c>
    </row>
    <row r="175" spans="1:4" x14ac:dyDescent="0.2">
      <c r="A175" s="73">
        <v>45228</v>
      </c>
      <c r="B175">
        <v>9083.3971108411297</v>
      </c>
      <c r="C175">
        <v>10097.379999999999</v>
      </c>
      <c r="D175">
        <v>-1013.98288915887</v>
      </c>
    </row>
    <row r="176" spans="1:4" x14ac:dyDescent="0.2">
      <c r="A176" s="73">
        <v>45227</v>
      </c>
      <c r="B176">
        <v>8938.8474584105988</v>
      </c>
      <c r="C176">
        <v>10097.379999999999</v>
      </c>
      <c r="D176">
        <v>-1158.5325415893999</v>
      </c>
    </row>
    <row r="177" spans="1:4" x14ac:dyDescent="0.2">
      <c r="A177" s="73">
        <v>45226</v>
      </c>
      <c r="B177">
        <v>8869.7413743746183</v>
      </c>
      <c r="C177">
        <v>10097.379999999999</v>
      </c>
      <c r="D177">
        <v>-1227.6386256253811</v>
      </c>
    </row>
    <row r="178" spans="1:4" x14ac:dyDescent="0.2">
      <c r="A178" s="73">
        <v>45225</v>
      </c>
      <c r="B178">
        <v>9099.2806005458187</v>
      </c>
      <c r="C178">
        <v>10097.379999999999</v>
      </c>
      <c r="D178">
        <v>-998.09939945418046</v>
      </c>
    </row>
    <row r="179" spans="1:4" x14ac:dyDescent="0.2">
      <c r="A179" s="73">
        <v>45224</v>
      </c>
      <c r="B179">
        <v>9029.5615544221691</v>
      </c>
      <c r="C179">
        <v>10096.57</v>
      </c>
      <c r="D179">
        <v>-1067.008445577831</v>
      </c>
    </row>
    <row r="180" spans="1:4" x14ac:dyDescent="0.2">
      <c r="A180" s="73">
        <v>45223</v>
      </c>
      <c r="B180">
        <v>9007.4570817409185</v>
      </c>
      <c r="C180">
        <v>10096.57</v>
      </c>
      <c r="D180">
        <v>-1089.112918259081</v>
      </c>
    </row>
    <row r="181" spans="1:4" x14ac:dyDescent="0.2">
      <c r="A181" s="73">
        <v>45222</v>
      </c>
      <c r="B181">
        <v>8926.9152057755236</v>
      </c>
      <c r="C181">
        <v>10096.57</v>
      </c>
      <c r="D181">
        <v>-1169.6547942244761</v>
      </c>
    </row>
    <row r="182" spans="1:4" x14ac:dyDescent="0.2">
      <c r="A182" s="73">
        <v>45221</v>
      </c>
      <c r="B182">
        <v>8589.3607743606626</v>
      </c>
      <c r="C182">
        <v>10096.57</v>
      </c>
      <c r="D182">
        <v>-1507.2092256393371</v>
      </c>
    </row>
    <row r="183" spans="1:4" x14ac:dyDescent="0.2">
      <c r="A183" s="73">
        <v>45220</v>
      </c>
      <c r="B183">
        <v>8491.0099231596887</v>
      </c>
      <c r="C183">
        <v>10096.57</v>
      </c>
      <c r="D183">
        <v>-1605.560076840311</v>
      </c>
    </row>
    <row r="184" spans="1:4" x14ac:dyDescent="0.2">
      <c r="A184" s="73">
        <v>45219</v>
      </c>
      <c r="B184">
        <v>8314.1137890381833</v>
      </c>
      <c r="C184">
        <v>10082.94</v>
      </c>
      <c r="D184">
        <v>-1768.8262109618149</v>
      </c>
    </row>
    <row r="185" spans="1:4" x14ac:dyDescent="0.2">
      <c r="A185" s="73">
        <v>45218</v>
      </c>
      <c r="B185">
        <v>8212.5659704171721</v>
      </c>
      <c r="C185">
        <v>10082.94</v>
      </c>
      <c r="D185">
        <v>-1870.374029582827</v>
      </c>
    </row>
    <row r="186" spans="1:4" x14ac:dyDescent="0.2">
      <c r="A186" s="73">
        <v>45217</v>
      </c>
      <c r="B186">
        <v>8065.5234772560198</v>
      </c>
      <c r="C186">
        <v>10082.94</v>
      </c>
      <c r="D186">
        <v>-2017.4165227439789</v>
      </c>
    </row>
    <row r="187" spans="1:4" x14ac:dyDescent="0.2">
      <c r="A187" s="73">
        <v>45216</v>
      </c>
      <c r="B187">
        <v>8042.9933527495268</v>
      </c>
      <c r="C187">
        <v>10082.94</v>
      </c>
      <c r="D187">
        <v>-2039.9466472504721</v>
      </c>
    </row>
    <row r="188" spans="1:4" x14ac:dyDescent="0.2">
      <c r="A188" s="73">
        <v>45215</v>
      </c>
      <c r="B188">
        <v>8162.4918353675384</v>
      </c>
      <c r="C188">
        <v>10082.94</v>
      </c>
      <c r="D188">
        <v>-1920.44816463246</v>
      </c>
    </row>
    <row r="189" spans="1:4" x14ac:dyDescent="0.2">
      <c r="A189" s="73">
        <v>45214</v>
      </c>
      <c r="B189">
        <v>8008.8100985180681</v>
      </c>
      <c r="C189">
        <v>10082.94</v>
      </c>
      <c r="D189">
        <v>-2074.129901481931</v>
      </c>
    </row>
    <row r="190" spans="1:4" x14ac:dyDescent="0.2">
      <c r="A190" s="73">
        <v>45213</v>
      </c>
      <c r="B190">
        <v>8003.7048014559041</v>
      </c>
      <c r="C190">
        <v>10082.94</v>
      </c>
      <c r="D190">
        <v>-2079.2351985440951</v>
      </c>
    </row>
    <row r="191" spans="1:4" x14ac:dyDescent="0.2">
      <c r="A191" s="73">
        <v>45212</v>
      </c>
      <c r="B191">
        <v>7977.0830805758123</v>
      </c>
      <c r="C191">
        <v>10082.94</v>
      </c>
      <c r="D191">
        <v>-2105.8569194241859</v>
      </c>
    </row>
    <row r="192" spans="1:4" x14ac:dyDescent="0.2">
      <c r="A192" s="73">
        <v>45211</v>
      </c>
      <c r="B192">
        <v>7869.3672095141374</v>
      </c>
      <c r="C192">
        <v>10082.94</v>
      </c>
      <c r="D192">
        <v>-2213.5727904858609</v>
      </c>
    </row>
    <row r="193" spans="1:4" x14ac:dyDescent="0.2">
      <c r="A193" s="73">
        <v>45210</v>
      </c>
      <c r="B193">
        <v>8004.4115915315324</v>
      </c>
      <c r="C193">
        <v>10082.94</v>
      </c>
      <c r="D193">
        <v>-2078.5284084684658</v>
      </c>
    </row>
    <row r="194" spans="1:4" x14ac:dyDescent="0.2">
      <c r="A194" s="73">
        <v>45209</v>
      </c>
      <c r="B194">
        <v>8104.1763099658492</v>
      </c>
      <c r="C194">
        <v>10082.94</v>
      </c>
      <c r="D194">
        <v>-1978.763690034149</v>
      </c>
    </row>
    <row r="195" spans="1:4" x14ac:dyDescent="0.2">
      <c r="A195" s="73">
        <v>45208</v>
      </c>
      <c r="B195">
        <v>8118.6589940664308</v>
      </c>
      <c r="C195">
        <v>10082.94</v>
      </c>
      <c r="D195">
        <v>-1964.2810059335679</v>
      </c>
    </row>
    <row r="196" spans="1:4" x14ac:dyDescent="0.2">
      <c r="A196" s="73">
        <v>45207</v>
      </c>
      <c r="B196">
        <v>8376.1857224494979</v>
      </c>
      <c r="C196">
        <v>10082.94</v>
      </c>
      <c r="D196">
        <v>-1706.754277550501</v>
      </c>
    </row>
    <row r="197" spans="1:4" x14ac:dyDescent="0.2">
      <c r="A197" s="73">
        <v>45206</v>
      </c>
      <c r="B197">
        <v>8426.5909648566558</v>
      </c>
      <c r="C197">
        <v>10082.94</v>
      </c>
      <c r="D197">
        <v>-1656.3490351433429</v>
      </c>
    </row>
    <row r="198" spans="1:4" x14ac:dyDescent="0.2">
      <c r="A198" s="73">
        <v>45205</v>
      </c>
      <c r="B198">
        <v>8481.3141958619181</v>
      </c>
      <c r="C198">
        <v>10082.94</v>
      </c>
      <c r="D198">
        <v>-1601.6258041380811</v>
      </c>
    </row>
    <row r="199" spans="1:4" x14ac:dyDescent="0.2">
      <c r="A199" s="73">
        <v>45204</v>
      </c>
      <c r="B199">
        <v>8425.9616981367872</v>
      </c>
      <c r="C199">
        <v>10082.94</v>
      </c>
      <c r="D199">
        <v>-1656.978301863212</v>
      </c>
    </row>
    <row r="200" spans="1:4" x14ac:dyDescent="0.2">
      <c r="A200" s="73">
        <v>45203</v>
      </c>
      <c r="B200">
        <v>8568.7188784892223</v>
      </c>
      <c r="C200">
        <v>10082.94</v>
      </c>
      <c r="D200">
        <v>-1514.2211215107759</v>
      </c>
    </row>
    <row r="201" spans="1:4" x14ac:dyDescent="0.2">
      <c r="A201" s="73">
        <v>45202</v>
      </c>
      <c r="B201">
        <v>8650.2666680188177</v>
      </c>
      <c r="C201">
        <v>10082.94</v>
      </c>
      <c r="D201">
        <v>-1432.673331981181</v>
      </c>
    </row>
    <row r="202" spans="1:4" x14ac:dyDescent="0.2">
      <c r="A202" s="73">
        <v>45201</v>
      </c>
      <c r="B202">
        <v>8491.2583267891405</v>
      </c>
      <c r="C202">
        <v>10082.94</v>
      </c>
      <c r="D202">
        <v>-1591.681673210858</v>
      </c>
    </row>
    <row r="203" spans="1:4" x14ac:dyDescent="0.2">
      <c r="A203" s="73">
        <v>45200</v>
      </c>
      <c r="B203">
        <v>8648.3565462640472</v>
      </c>
      <c r="C203">
        <v>10082.94</v>
      </c>
      <c r="D203">
        <v>-1434.583453735951</v>
      </c>
    </row>
    <row r="204" spans="1:4" x14ac:dyDescent="0.2">
      <c r="A204" s="73">
        <v>45199</v>
      </c>
      <c r="B204">
        <v>8492.273675454082</v>
      </c>
      <c r="C204">
        <v>10082.94</v>
      </c>
      <c r="D204">
        <v>-1590.666324545917</v>
      </c>
    </row>
    <row r="205" spans="1:4" x14ac:dyDescent="0.2">
      <c r="A205" s="73">
        <v>45198</v>
      </c>
      <c r="B205">
        <v>8522.4216418009473</v>
      </c>
      <c r="C205">
        <v>10082.94</v>
      </c>
      <c r="D205">
        <v>-1560.5183581990509</v>
      </c>
    </row>
    <row r="206" spans="1:4" x14ac:dyDescent="0.2">
      <c r="A206" s="73">
        <v>45197</v>
      </c>
      <c r="B206">
        <v>8448.9560696732915</v>
      </c>
      <c r="C206">
        <v>10082.94</v>
      </c>
      <c r="D206">
        <v>-1633.983930326707</v>
      </c>
    </row>
    <row r="207" spans="1:4" x14ac:dyDescent="0.2">
      <c r="A207" s="73">
        <v>45196</v>
      </c>
      <c r="B207">
        <v>8324.8618331078123</v>
      </c>
      <c r="C207">
        <v>10082.94</v>
      </c>
      <c r="D207">
        <v>-1758.0781668921859</v>
      </c>
    </row>
    <row r="208" spans="1:4" x14ac:dyDescent="0.2">
      <c r="A208" s="73">
        <v>45195</v>
      </c>
      <c r="B208">
        <v>8342.0893013376717</v>
      </c>
      <c r="C208">
        <v>10082.94</v>
      </c>
      <c r="D208">
        <v>-1740.850698662327</v>
      </c>
    </row>
    <row r="209" spans="1:4" x14ac:dyDescent="0.2">
      <c r="A209" s="73">
        <v>45194</v>
      </c>
      <c r="B209">
        <v>8464.8736812821735</v>
      </c>
      <c r="C209">
        <v>10082.94</v>
      </c>
      <c r="D209">
        <v>-1618.066318717825</v>
      </c>
    </row>
    <row r="210" spans="1:4" x14ac:dyDescent="0.2">
      <c r="A210" s="73">
        <v>45193</v>
      </c>
      <c r="B210">
        <v>8382.0572599026436</v>
      </c>
      <c r="C210">
        <v>10082.94</v>
      </c>
      <c r="D210">
        <v>-1700.8827400973551</v>
      </c>
    </row>
    <row r="211" spans="1:4" x14ac:dyDescent="0.2">
      <c r="A211" s="73">
        <v>45192</v>
      </c>
      <c r="B211">
        <v>8595.6206728184043</v>
      </c>
      <c r="C211">
        <v>10082.94</v>
      </c>
      <c r="D211">
        <v>-1487.319327181594</v>
      </c>
    </row>
    <row r="212" spans="1:4" x14ac:dyDescent="0.2">
      <c r="A212" s="73">
        <v>45191</v>
      </c>
      <c r="B212">
        <v>8516.180888644285</v>
      </c>
      <c r="C212">
        <v>10082.94</v>
      </c>
      <c r="D212">
        <v>-1566.7591113557139</v>
      </c>
    </row>
    <row r="213" spans="1:4" x14ac:dyDescent="0.2">
      <c r="A213" s="73">
        <v>45190</v>
      </c>
      <c r="B213">
        <v>8468.4320929953792</v>
      </c>
      <c r="C213">
        <v>10082.94</v>
      </c>
      <c r="D213">
        <v>-1614.507907004619</v>
      </c>
    </row>
    <row r="214" spans="1:4" x14ac:dyDescent="0.2">
      <c r="A214" s="73">
        <v>45189</v>
      </c>
      <c r="B214">
        <v>8608.7763099441836</v>
      </c>
      <c r="C214">
        <v>10082.94</v>
      </c>
      <c r="D214">
        <v>-1474.1636900558151</v>
      </c>
    </row>
    <row r="215" spans="1:4" x14ac:dyDescent="0.2">
      <c r="A215" s="73">
        <v>45188</v>
      </c>
      <c r="B215">
        <v>8577.6484919235791</v>
      </c>
      <c r="C215">
        <v>10082.94</v>
      </c>
      <c r="D215">
        <v>-1505.2915080764201</v>
      </c>
    </row>
    <row r="216" spans="1:4" x14ac:dyDescent="0.2">
      <c r="A216" s="73">
        <v>45187</v>
      </c>
      <c r="B216">
        <v>8402.2141419593681</v>
      </c>
      <c r="C216">
        <v>10082.94</v>
      </c>
      <c r="D216">
        <v>-1680.725858040631</v>
      </c>
    </row>
    <row r="217" spans="1:4" x14ac:dyDescent="0.2">
      <c r="A217" s="73">
        <v>45186</v>
      </c>
      <c r="B217">
        <v>8284.6486405886753</v>
      </c>
      <c r="C217">
        <v>10082.94</v>
      </c>
      <c r="D217">
        <v>-1798.2913594113229</v>
      </c>
    </row>
    <row r="218" spans="1:4" x14ac:dyDescent="0.2">
      <c r="A218" s="73">
        <v>45185</v>
      </c>
      <c r="B218">
        <v>8506.4244249392359</v>
      </c>
      <c r="C218">
        <v>10082.94</v>
      </c>
      <c r="D218">
        <v>-1576.515575060763</v>
      </c>
    </row>
    <row r="219" spans="1:4" x14ac:dyDescent="0.2">
      <c r="A219" s="73">
        <v>45184</v>
      </c>
      <c r="B219">
        <v>8541.5816202143542</v>
      </c>
      <c r="C219">
        <v>10082.94</v>
      </c>
      <c r="D219">
        <v>-1541.358379785645</v>
      </c>
    </row>
    <row r="220" spans="1:4" x14ac:dyDescent="0.2">
      <c r="A220" s="73">
        <v>45183</v>
      </c>
      <c r="B220">
        <v>8403.1013799248885</v>
      </c>
      <c r="C220">
        <v>10082.94</v>
      </c>
      <c r="D220">
        <v>-1679.8386200751099</v>
      </c>
    </row>
    <row r="221" spans="1:4" x14ac:dyDescent="0.2">
      <c r="A221" s="73">
        <v>45182</v>
      </c>
      <c r="B221">
        <v>8212.687749576</v>
      </c>
      <c r="C221">
        <v>10082.94</v>
      </c>
      <c r="D221">
        <v>-1870.2522504239989</v>
      </c>
    </row>
    <row r="222" spans="1:4" x14ac:dyDescent="0.2">
      <c r="A222" s="73">
        <v>45181</v>
      </c>
      <c r="B222">
        <v>7972.7694829444426</v>
      </c>
      <c r="C222">
        <v>10082.94</v>
      </c>
      <c r="D222">
        <v>-2110.170517055556</v>
      </c>
    </row>
    <row r="223" spans="1:4" x14ac:dyDescent="0.2">
      <c r="A223" s="73">
        <v>45180</v>
      </c>
      <c r="B223">
        <v>7861.9185296123596</v>
      </c>
      <c r="C223">
        <v>10082.94</v>
      </c>
      <c r="D223">
        <v>-2221.0214703876391</v>
      </c>
    </row>
    <row r="224" spans="1:4" x14ac:dyDescent="0.2">
      <c r="A224" s="73">
        <v>45179</v>
      </c>
      <c r="B224">
        <v>8181.962855730686</v>
      </c>
      <c r="C224">
        <v>10082.94</v>
      </c>
      <c r="D224">
        <v>-1900.9771442693129</v>
      </c>
    </row>
    <row r="225" spans="1:4" x14ac:dyDescent="0.2">
      <c r="A225" s="73">
        <v>45178</v>
      </c>
      <c r="B225">
        <v>8327.3284263581136</v>
      </c>
      <c r="C225">
        <v>10082.94</v>
      </c>
      <c r="D225">
        <v>-1755.6115736418849</v>
      </c>
    </row>
    <row r="226" spans="1:4" x14ac:dyDescent="0.2">
      <c r="A226" s="73">
        <v>45177</v>
      </c>
      <c r="B226">
        <v>8407.548904174886</v>
      </c>
      <c r="C226">
        <v>10082.94</v>
      </c>
      <c r="D226">
        <v>-1675.3910958251131</v>
      </c>
    </row>
    <row r="227" spans="1:4" x14ac:dyDescent="0.2">
      <c r="A227" s="73">
        <v>45176</v>
      </c>
      <c r="B227">
        <v>8408.4211739302245</v>
      </c>
      <c r="C227">
        <v>10082.94</v>
      </c>
      <c r="D227">
        <v>-1674.5188260697739</v>
      </c>
    </row>
    <row r="228" spans="1:4" x14ac:dyDescent="0.2">
      <c r="A228" s="73">
        <v>45175</v>
      </c>
      <c r="B228">
        <v>8337.3450464198086</v>
      </c>
      <c r="C228">
        <v>10082.94</v>
      </c>
      <c r="D228">
        <v>-1745.5949535801899</v>
      </c>
    </row>
    <row r="229" spans="1:4" x14ac:dyDescent="0.2">
      <c r="A229" s="73">
        <v>45174</v>
      </c>
      <c r="B229">
        <v>8374.2577399467846</v>
      </c>
      <c r="C229">
        <v>10082.94</v>
      </c>
      <c r="D229">
        <v>-1708.6822600532139</v>
      </c>
    </row>
    <row r="230" spans="1:4" x14ac:dyDescent="0.2">
      <c r="A230" s="73">
        <v>45173</v>
      </c>
      <c r="B230">
        <v>8326.0139558691208</v>
      </c>
      <c r="C230">
        <v>10082.94</v>
      </c>
      <c r="D230">
        <v>-1756.9260441308779</v>
      </c>
    </row>
    <row r="231" spans="1:4" x14ac:dyDescent="0.2">
      <c r="A231" s="73">
        <v>45172</v>
      </c>
      <c r="B231">
        <v>8305.1953159387085</v>
      </c>
      <c r="C231">
        <v>10082.94</v>
      </c>
      <c r="D231">
        <v>-1777.7446840612899</v>
      </c>
    </row>
    <row r="232" spans="1:4" x14ac:dyDescent="0.2">
      <c r="A232" s="73">
        <v>45171</v>
      </c>
      <c r="B232">
        <v>8342.5997272485292</v>
      </c>
      <c r="C232">
        <v>10082.94</v>
      </c>
      <c r="D232">
        <v>-1740.340272751469</v>
      </c>
    </row>
    <row r="233" spans="1:4" x14ac:dyDescent="0.2">
      <c r="A233" s="73">
        <v>45170</v>
      </c>
      <c r="B233">
        <v>8354.3922592512154</v>
      </c>
      <c r="C233">
        <v>10082.94</v>
      </c>
      <c r="D233">
        <v>-1728.5477407487831</v>
      </c>
    </row>
    <row r="234" spans="1:4" x14ac:dyDescent="0.2">
      <c r="A234" s="73">
        <v>45169</v>
      </c>
      <c r="B234">
        <v>8662.0432460095581</v>
      </c>
      <c r="C234">
        <v>10082.94</v>
      </c>
      <c r="D234">
        <v>-1420.8967539904411</v>
      </c>
    </row>
    <row r="235" spans="1:4" x14ac:dyDescent="0.2">
      <c r="A235" s="73">
        <v>45168</v>
      </c>
      <c r="B235">
        <v>8910.7767296058228</v>
      </c>
      <c r="C235">
        <v>10082.94</v>
      </c>
      <c r="D235">
        <v>-1172.1632703941759</v>
      </c>
    </row>
    <row r="236" spans="1:4" x14ac:dyDescent="0.2">
      <c r="A236" s="73">
        <v>45167</v>
      </c>
      <c r="B236">
        <v>9231.1929611511077</v>
      </c>
      <c r="C236">
        <v>10082.94</v>
      </c>
      <c r="D236">
        <v>-851.74703884889095</v>
      </c>
    </row>
    <row r="237" spans="1:4" x14ac:dyDescent="0.2">
      <c r="A237" s="73">
        <v>45166</v>
      </c>
      <c r="B237">
        <v>9073.0713650416692</v>
      </c>
      <c r="C237">
        <v>10082.94</v>
      </c>
      <c r="D237">
        <v>-1009.868634958329</v>
      </c>
    </row>
    <row r="238" spans="1:4" x14ac:dyDescent="0.2">
      <c r="A238" s="73">
        <v>45165</v>
      </c>
      <c r="B238">
        <v>9240.4342236819648</v>
      </c>
      <c r="C238">
        <v>10082.94</v>
      </c>
      <c r="D238">
        <v>-842.5057763180339</v>
      </c>
    </row>
    <row r="239" spans="1:4" x14ac:dyDescent="0.2">
      <c r="A239" s="73">
        <v>45164</v>
      </c>
      <c r="B239">
        <v>9212.3657326176035</v>
      </c>
      <c r="C239">
        <v>10082.94</v>
      </c>
      <c r="D239">
        <v>-870.57426738239519</v>
      </c>
    </row>
    <row r="240" spans="1:4" x14ac:dyDescent="0.2">
      <c r="A240" s="73">
        <v>45163</v>
      </c>
      <c r="B240">
        <v>9326.2764293700548</v>
      </c>
      <c r="C240">
        <v>10082.94</v>
      </c>
      <c r="D240">
        <v>-756.66357062994393</v>
      </c>
    </row>
    <row r="241" spans="1:4" x14ac:dyDescent="0.2">
      <c r="A241" s="73">
        <v>45162</v>
      </c>
      <c r="B241">
        <v>9276.761917179967</v>
      </c>
      <c r="C241">
        <v>10082.94</v>
      </c>
      <c r="D241">
        <v>-806.1780828200317</v>
      </c>
    </row>
    <row r="242" spans="1:4" x14ac:dyDescent="0.2">
      <c r="A242" s="73">
        <v>45161</v>
      </c>
      <c r="B242">
        <v>9594.8482593820372</v>
      </c>
      <c r="C242">
        <v>10082.94</v>
      </c>
      <c r="D242">
        <v>-488.09174061796148</v>
      </c>
    </row>
    <row r="243" spans="1:4" x14ac:dyDescent="0.2">
      <c r="A243" s="73">
        <v>45160</v>
      </c>
      <c r="B243">
        <v>9278.3493998211088</v>
      </c>
      <c r="C243">
        <v>10082.94</v>
      </c>
      <c r="D243">
        <v>-804.59060017888987</v>
      </c>
    </row>
    <row r="244" spans="1:4" x14ac:dyDescent="0.2">
      <c r="A244" s="73">
        <v>45159</v>
      </c>
      <c r="B244">
        <v>9491.1415856114509</v>
      </c>
      <c r="C244">
        <v>10082.94</v>
      </c>
      <c r="D244">
        <v>-591.79841438854783</v>
      </c>
    </row>
    <row r="245" spans="1:4" x14ac:dyDescent="0.2">
      <c r="A245" s="73">
        <v>45158</v>
      </c>
      <c r="B245">
        <v>9633.7716393044866</v>
      </c>
      <c r="C245">
        <v>10082.94</v>
      </c>
      <c r="D245">
        <v>-449.16836069551209</v>
      </c>
    </row>
    <row r="246" spans="1:4" x14ac:dyDescent="0.2">
      <c r="A246" s="73">
        <v>45157</v>
      </c>
      <c r="B246">
        <v>9778.251438320096</v>
      </c>
      <c r="C246">
        <v>10082.94</v>
      </c>
      <c r="D246">
        <v>-304.6885616799027</v>
      </c>
    </row>
    <row r="247" spans="1:4" x14ac:dyDescent="0.2">
      <c r="A247" s="73">
        <v>45156</v>
      </c>
      <c r="B247">
        <v>9158.5272479019131</v>
      </c>
      <c r="C247">
        <v>10082.94</v>
      </c>
      <c r="D247">
        <v>-924.41275209808555</v>
      </c>
    </row>
    <row r="248" spans="1:4" x14ac:dyDescent="0.2">
      <c r="A248" s="73">
        <v>45155</v>
      </c>
      <c r="B248">
        <v>9034.1373808997378</v>
      </c>
      <c r="C248">
        <v>10082.94</v>
      </c>
      <c r="D248">
        <v>-1048.8026191002609</v>
      </c>
    </row>
    <row r="249" spans="1:4" x14ac:dyDescent="0.2">
      <c r="A249" s="73">
        <v>45154</v>
      </c>
      <c r="B249">
        <v>10211.561992499801</v>
      </c>
      <c r="C249">
        <v>10082.94</v>
      </c>
      <c r="D249">
        <v>128.62199249980401</v>
      </c>
    </row>
    <row r="250" spans="1:4" x14ac:dyDescent="0.2">
      <c r="A250" s="73">
        <v>45153</v>
      </c>
      <c r="B250">
        <v>10778.768347668451</v>
      </c>
      <c r="C250">
        <v>10082.94</v>
      </c>
      <c r="D250">
        <v>695.8283476684519</v>
      </c>
    </row>
    <row r="251" spans="1:4" x14ac:dyDescent="0.2">
      <c r="A251" s="73">
        <v>45152</v>
      </c>
      <c r="B251">
        <v>10810.24958790991</v>
      </c>
      <c r="C251">
        <v>10082.94</v>
      </c>
      <c r="D251">
        <v>727.30958790991281</v>
      </c>
    </row>
    <row r="252" spans="1:4" x14ac:dyDescent="0.2">
      <c r="A252" s="73">
        <v>45151</v>
      </c>
      <c r="B252">
        <v>10036.07217399173</v>
      </c>
      <c r="C252">
        <v>10082.94</v>
      </c>
      <c r="D252">
        <v>-46.867826008268821</v>
      </c>
    </row>
    <row r="253" spans="1:4" x14ac:dyDescent="0.2">
      <c r="A253" s="73">
        <v>45150</v>
      </c>
      <c r="B253">
        <v>9980.2845952989555</v>
      </c>
      <c r="C253">
        <v>10082.94</v>
      </c>
      <c r="D253">
        <v>-102.6554047010432</v>
      </c>
    </row>
    <row r="254" spans="1:4" x14ac:dyDescent="0.2">
      <c r="A254" s="73">
        <v>45149</v>
      </c>
      <c r="B254">
        <v>10048.34144669896</v>
      </c>
      <c r="C254">
        <v>10082.94</v>
      </c>
      <c r="D254">
        <v>-34.598553301038919</v>
      </c>
    </row>
    <row r="255" spans="1:4" x14ac:dyDescent="0.2">
      <c r="A255" s="73">
        <v>45148</v>
      </c>
      <c r="B255">
        <v>10149.43561119864</v>
      </c>
      <c r="C255">
        <v>10082.94</v>
      </c>
      <c r="D255">
        <v>66.495611198639381</v>
      </c>
    </row>
    <row r="256" spans="1:4" x14ac:dyDescent="0.2">
      <c r="A256" s="73">
        <v>45147</v>
      </c>
      <c r="B256">
        <v>10412.63593568634</v>
      </c>
      <c r="C256">
        <v>10082.94</v>
      </c>
      <c r="D256">
        <v>329.69593568634082</v>
      </c>
    </row>
    <row r="257" spans="1:4" x14ac:dyDescent="0.2">
      <c r="A257" s="73">
        <v>45146</v>
      </c>
      <c r="B257">
        <v>10510.37984993502</v>
      </c>
      <c r="C257">
        <v>9505.5399999999991</v>
      </c>
      <c r="D257">
        <v>1004.8398499350239</v>
      </c>
    </row>
    <row r="258" spans="1:4" x14ac:dyDescent="0.2">
      <c r="A258" s="73">
        <v>45145</v>
      </c>
      <c r="B258">
        <v>10081.055483912431</v>
      </c>
      <c r="C258">
        <v>9505.5399999999991</v>
      </c>
      <c r="D258">
        <v>575.51548391242795</v>
      </c>
    </row>
    <row r="259" spans="1:4" x14ac:dyDescent="0.2">
      <c r="A259" s="73">
        <v>45144</v>
      </c>
      <c r="B259">
        <v>10129.17211459518</v>
      </c>
      <c r="C259">
        <v>9505.5399999999991</v>
      </c>
      <c r="D259">
        <v>623.63211459518243</v>
      </c>
    </row>
    <row r="260" spans="1:4" x14ac:dyDescent="0.2">
      <c r="A260" s="73">
        <v>45143</v>
      </c>
      <c r="B260">
        <v>10017.074614403989</v>
      </c>
      <c r="C260">
        <v>9505.5399999999991</v>
      </c>
      <c r="D260">
        <v>511.53461440399587</v>
      </c>
    </row>
    <row r="261" spans="1:4" x14ac:dyDescent="0.2">
      <c r="A261" s="73">
        <v>45142</v>
      </c>
      <c r="B261">
        <v>10099.53796778721</v>
      </c>
      <c r="C261">
        <v>9505.5399999999991</v>
      </c>
      <c r="D261">
        <v>593.99796778721429</v>
      </c>
    </row>
    <row r="262" spans="1:4" x14ac:dyDescent="0.2">
      <c r="A262" s="73">
        <v>45141</v>
      </c>
      <c r="B262">
        <v>10360.71526881369</v>
      </c>
      <c r="C262">
        <v>9507.7099999999991</v>
      </c>
      <c r="D262">
        <v>853.00526881368751</v>
      </c>
    </row>
    <row r="263" spans="1:4" x14ac:dyDescent="0.2">
      <c r="A263" s="73">
        <v>45140</v>
      </c>
      <c r="B263">
        <v>10512.195814584709</v>
      </c>
      <c r="C263">
        <v>9505.5399999999991</v>
      </c>
      <c r="D263">
        <v>1006.6558145847069</v>
      </c>
    </row>
    <row r="264" spans="1:4" x14ac:dyDescent="0.2">
      <c r="A264" s="73">
        <v>45139</v>
      </c>
      <c r="B264">
        <v>10720.284995360311</v>
      </c>
      <c r="C264">
        <v>9505.5399999999991</v>
      </c>
      <c r="D264">
        <v>1214.7449953603141</v>
      </c>
    </row>
    <row r="265" spans="1:4" x14ac:dyDescent="0.2">
      <c r="A265" s="73">
        <v>45138</v>
      </c>
      <c r="B265">
        <v>10654.33024823601</v>
      </c>
      <c r="C265">
        <v>9505.5399999999991</v>
      </c>
      <c r="D265">
        <v>1148.79024823601</v>
      </c>
    </row>
    <row r="266" spans="1:4" x14ac:dyDescent="0.2">
      <c r="A266" s="73">
        <v>45137</v>
      </c>
      <c r="B266">
        <v>10733.58095100615</v>
      </c>
      <c r="C266">
        <v>9505.5399999999991</v>
      </c>
      <c r="D266">
        <v>1228.040951006155</v>
      </c>
    </row>
    <row r="267" spans="1:4" x14ac:dyDescent="0.2">
      <c r="A267" s="73">
        <v>45136</v>
      </c>
      <c r="B267">
        <v>10861.49669800383</v>
      </c>
      <c r="C267">
        <v>9505.5399999999991</v>
      </c>
      <c r="D267">
        <v>1355.956698003831</v>
      </c>
    </row>
    <row r="268" spans="1:4" x14ac:dyDescent="0.2">
      <c r="A268" s="73">
        <v>45135</v>
      </c>
      <c r="B268">
        <v>10805.16164848315</v>
      </c>
      <c r="C268">
        <v>9505.5399999999991</v>
      </c>
      <c r="D268">
        <v>1299.621648483153</v>
      </c>
    </row>
    <row r="269" spans="1:4" x14ac:dyDescent="0.2">
      <c r="A269" s="73">
        <v>45134</v>
      </c>
      <c r="B269">
        <v>10761.958862441979</v>
      </c>
      <c r="C269">
        <v>9505.5399999999991</v>
      </c>
      <c r="D269">
        <v>1256.4188624419839</v>
      </c>
    </row>
    <row r="270" spans="1:4" x14ac:dyDescent="0.2">
      <c r="A270" s="73">
        <v>45133</v>
      </c>
      <c r="B270">
        <v>10825.31922847221</v>
      </c>
      <c r="C270">
        <v>9505.5399999999991</v>
      </c>
      <c r="D270">
        <v>1319.779228472215</v>
      </c>
    </row>
    <row r="271" spans="1:4" x14ac:dyDescent="0.2">
      <c r="A271" s="73">
        <v>45132</v>
      </c>
      <c r="B271">
        <v>10749.31645161079</v>
      </c>
      <c r="C271">
        <v>9505.5399999999991</v>
      </c>
      <c r="D271">
        <v>1243.776451610795</v>
      </c>
    </row>
    <row r="272" spans="1:4" x14ac:dyDescent="0.2">
      <c r="A272" s="73">
        <v>45131</v>
      </c>
      <c r="B272">
        <v>9674.2427029689297</v>
      </c>
      <c r="C272">
        <v>8505.5399999999991</v>
      </c>
      <c r="D272">
        <v>1168.7027029689309</v>
      </c>
    </row>
    <row r="273" spans="1:4" x14ac:dyDescent="0.2">
      <c r="A273" s="73">
        <v>45130</v>
      </c>
      <c r="B273">
        <v>10028.545581642969</v>
      </c>
      <c r="C273">
        <v>8505.5399999999991</v>
      </c>
      <c r="D273">
        <v>1523.005581642974</v>
      </c>
    </row>
    <row r="274" spans="1:4" x14ac:dyDescent="0.2">
      <c r="A274" s="73">
        <v>45129</v>
      </c>
      <c r="B274">
        <v>9937.300940003528</v>
      </c>
      <c r="C274">
        <v>8505.5399999999991</v>
      </c>
      <c r="D274">
        <v>1431.760940003529</v>
      </c>
    </row>
    <row r="275" spans="1:4" x14ac:dyDescent="0.2">
      <c r="A275" s="73">
        <v>45128</v>
      </c>
      <c r="B275">
        <v>10360.684645860951</v>
      </c>
      <c r="C275">
        <v>8505.5399999999991</v>
      </c>
      <c r="D275">
        <v>1855.1446458609521</v>
      </c>
    </row>
    <row r="276" spans="1:4" x14ac:dyDescent="0.2">
      <c r="A276" s="73">
        <v>45127</v>
      </c>
      <c r="B276">
        <v>10571.646766448401</v>
      </c>
      <c r="C276">
        <v>8505.5399999999991</v>
      </c>
      <c r="D276">
        <v>2066.1067664483958</v>
      </c>
    </row>
    <row r="277" spans="1:4" x14ac:dyDescent="0.2">
      <c r="A277" s="73">
        <v>45126</v>
      </c>
      <c r="B277">
        <v>10738.624374690149</v>
      </c>
      <c r="C277">
        <v>8505.5399999999991</v>
      </c>
      <c r="D277">
        <v>2233.0843746901542</v>
      </c>
    </row>
    <row r="278" spans="1:4" x14ac:dyDescent="0.2">
      <c r="A278" s="73">
        <v>45125</v>
      </c>
      <c r="B278">
        <v>10324.396730505099</v>
      </c>
      <c r="C278">
        <v>8505.5399999999991</v>
      </c>
      <c r="D278">
        <v>1818.8567305050999</v>
      </c>
    </row>
    <row r="279" spans="1:4" x14ac:dyDescent="0.2">
      <c r="A279" s="73">
        <v>45124</v>
      </c>
      <c r="B279">
        <v>10089.11236686464</v>
      </c>
      <c r="C279">
        <v>8876.409999999998</v>
      </c>
      <c r="D279">
        <v>1212.702366864645</v>
      </c>
    </row>
    <row r="280" spans="1:4" x14ac:dyDescent="0.2">
      <c r="A280" s="73">
        <v>45123</v>
      </c>
      <c r="B280">
        <v>10041.6116913892</v>
      </c>
      <c r="C280">
        <v>8876.409999999998</v>
      </c>
      <c r="D280">
        <v>1165.2016913892039</v>
      </c>
    </row>
    <row r="281" spans="1:4" x14ac:dyDescent="0.2">
      <c r="A281" s="73">
        <v>45122</v>
      </c>
      <c r="B281">
        <v>10026.813439166959</v>
      </c>
      <c r="C281">
        <v>8876.409999999998</v>
      </c>
      <c r="D281">
        <v>1150.4034391669629</v>
      </c>
    </row>
    <row r="282" spans="1:4" x14ac:dyDescent="0.2">
      <c r="A282" s="73">
        <v>45121</v>
      </c>
      <c r="B282">
        <v>10038.01463198471</v>
      </c>
      <c r="C282">
        <v>8876.409999999998</v>
      </c>
      <c r="D282">
        <v>1161.6046319847101</v>
      </c>
    </row>
    <row r="283" spans="1:4" x14ac:dyDescent="0.2">
      <c r="A283" s="73">
        <v>45120</v>
      </c>
      <c r="B283">
        <v>10669.429924021781</v>
      </c>
      <c r="C283">
        <v>9003.6699999999983</v>
      </c>
      <c r="D283">
        <v>1665.759924021786</v>
      </c>
    </row>
    <row r="284" spans="1:4" x14ac:dyDescent="0.2">
      <c r="A284" s="73">
        <v>45119</v>
      </c>
      <c r="B284">
        <v>8557.0181329960033</v>
      </c>
      <c r="C284">
        <v>9003.6699999999983</v>
      </c>
      <c r="D284">
        <v>-446.65186700399499</v>
      </c>
    </row>
    <row r="285" spans="1:4" x14ac:dyDescent="0.2">
      <c r="A285" s="73">
        <v>45118</v>
      </c>
      <c r="B285">
        <v>8587.4105508715129</v>
      </c>
      <c r="C285">
        <v>9003.6699999999983</v>
      </c>
      <c r="D285">
        <v>-416.25944912848541</v>
      </c>
    </row>
    <row r="286" spans="1:4" x14ac:dyDescent="0.2">
      <c r="A286" s="73">
        <v>45117</v>
      </c>
      <c r="B286">
        <v>8552.3155039103549</v>
      </c>
      <c r="C286">
        <v>9003.6699999999983</v>
      </c>
      <c r="D286">
        <v>-451.35449608964342</v>
      </c>
    </row>
    <row r="287" spans="1:4" x14ac:dyDescent="0.2">
      <c r="A287" s="73">
        <v>45116</v>
      </c>
      <c r="B287">
        <v>8479.7718129479308</v>
      </c>
      <c r="C287">
        <v>9003.4999999999982</v>
      </c>
      <c r="D287">
        <v>-523.72818705206737</v>
      </c>
    </row>
    <row r="288" spans="1:4" x14ac:dyDescent="0.2">
      <c r="A288" s="73">
        <v>45115</v>
      </c>
      <c r="B288">
        <v>8512.2498522802452</v>
      </c>
      <c r="C288">
        <v>9003.4999999999982</v>
      </c>
      <c r="D288">
        <v>-491.25014771975287</v>
      </c>
    </row>
    <row r="289" spans="1:4" x14ac:dyDescent="0.2">
      <c r="A289" s="73">
        <v>45114</v>
      </c>
      <c r="B289">
        <v>8491.9994271439136</v>
      </c>
      <c r="C289">
        <v>9003.4999999999982</v>
      </c>
      <c r="D289">
        <v>-511.50057285608449</v>
      </c>
    </row>
    <row r="290" spans="1:4" x14ac:dyDescent="0.2">
      <c r="A290" s="73">
        <v>45113</v>
      </c>
      <c r="B290">
        <v>8396.4470933559223</v>
      </c>
      <c r="C290">
        <v>9003.4999999999982</v>
      </c>
      <c r="D290">
        <v>-607.05290664407585</v>
      </c>
    </row>
    <row r="291" spans="1:4" x14ac:dyDescent="0.2">
      <c r="A291" s="73">
        <v>45112</v>
      </c>
      <c r="B291">
        <v>8615.9700257796721</v>
      </c>
      <c r="C291">
        <v>9003.4999999999982</v>
      </c>
      <c r="D291">
        <v>-387.52997422032598</v>
      </c>
    </row>
    <row r="292" spans="1:4" x14ac:dyDescent="0.2">
      <c r="A292" s="73">
        <v>45111</v>
      </c>
      <c r="B292">
        <v>8810.8772705159445</v>
      </c>
      <c r="C292">
        <v>9003.4999999999982</v>
      </c>
      <c r="D292">
        <v>-192.62272948405371</v>
      </c>
    </row>
    <row r="293" spans="1:4" x14ac:dyDescent="0.2">
      <c r="A293" s="73">
        <v>45110</v>
      </c>
      <c r="B293">
        <v>8929.8899329355809</v>
      </c>
      <c r="C293">
        <v>9003.4999999999982</v>
      </c>
      <c r="D293">
        <v>-73.610067064417308</v>
      </c>
    </row>
    <row r="294" spans="1:4" x14ac:dyDescent="0.2">
      <c r="A294" s="73">
        <v>45109</v>
      </c>
      <c r="B294">
        <v>8845.1011240823937</v>
      </c>
      <c r="C294">
        <v>9003.4999999999982</v>
      </c>
      <c r="D294">
        <v>-158.3988759176045</v>
      </c>
    </row>
    <row r="295" spans="1:4" x14ac:dyDescent="0.2">
      <c r="A295" s="73">
        <v>45108</v>
      </c>
      <c r="B295">
        <v>8802.3688384427278</v>
      </c>
      <c r="C295">
        <v>9003.4999999999982</v>
      </c>
      <c r="D295">
        <v>-201.13116155727039</v>
      </c>
    </row>
    <row r="296" spans="1:4" x14ac:dyDescent="0.2">
      <c r="A296" s="73">
        <v>45107</v>
      </c>
      <c r="B296">
        <v>8752.4286890626918</v>
      </c>
      <c r="C296">
        <v>9003.4999999999982</v>
      </c>
      <c r="D296">
        <v>-251.07131093730641</v>
      </c>
    </row>
    <row r="297" spans="1:4" x14ac:dyDescent="0.2">
      <c r="A297" s="73">
        <v>45106</v>
      </c>
      <c r="B297">
        <v>8489.5913659972612</v>
      </c>
      <c r="C297">
        <v>9003.4999999999982</v>
      </c>
      <c r="D297">
        <v>-513.90863400273702</v>
      </c>
    </row>
    <row r="298" spans="1:4" x14ac:dyDescent="0.2">
      <c r="A298" s="73">
        <v>45105</v>
      </c>
      <c r="B298">
        <v>8355.915094720247</v>
      </c>
      <c r="C298">
        <v>9003.4999999999982</v>
      </c>
      <c r="D298">
        <v>-647.58490527975118</v>
      </c>
    </row>
    <row r="299" spans="1:4" x14ac:dyDescent="0.2">
      <c r="A299" s="73">
        <v>45104</v>
      </c>
      <c r="B299">
        <v>8754.3367183418704</v>
      </c>
      <c r="C299">
        <v>9003.4999999999982</v>
      </c>
      <c r="D299">
        <v>-249.16328165812769</v>
      </c>
    </row>
    <row r="300" spans="1:4" x14ac:dyDescent="0.2">
      <c r="A300" s="73">
        <v>45103</v>
      </c>
      <c r="B300">
        <v>8627.6731379835564</v>
      </c>
      <c r="C300">
        <v>9003.4999999999982</v>
      </c>
      <c r="D300">
        <v>-375.82686201644168</v>
      </c>
    </row>
    <row r="301" spans="1:4" x14ac:dyDescent="0.2">
      <c r="A301" s="73">
        <v>45102</v>
      </c>
      <c r="B301">
        <v>8854.5673784002884</v>
      </c>
      <c r="C301">
        <v>9003.4999999999982</v>
      </c>
      <c r="D301">
        <v>-148.93262159970979</v>
      </c>
    </row>
    <row r="302" spans="1:4" x14ac:dyDescent="0.2">
      <c r="A302" s="73">
        <v>45101</v>
      </c>
      <c r="B302">
        <v>8768.1142221048685</v>
      </c>
      <c r="C302">
        <v>9003.4999999999982</v>
      </c>
      <c r="D302">
        <v>-235.38577789512959</v>
      </c>
    </row>
    <row r="303" spans="1:4" x14ac:dyDescent="0.2">
      <c r="A303" s="73">
        <v>45100</v>
      </c>
      <c r="B303">
        <v>8877.5022805921108</v>
      </c>
      <c r="C303">
        <v>9003.4999999999982</v>
      </c>
      <c r="D303">
        <v>-125.9977194078874</v>
      </c>
    </row>
    <row r="304" spans="1:4" x14ac:dyDescent="0.2">
      <c r="A304" s="73">
        <v>45099</v>
      </c>
      <c r="B304">
        <v>8711.1484859102857</v>
      </c>
      <c r="C304">
        <v>9003.4999999999982</v>
      </c>
      <c r="D304">
        <v>-292.35151408971251</v>
      </c>
    </row>
    <row r="305" spans="1:4" x14ac:dyDescent="0.2">
      <c r="A305" s="73">
        <v>45098</v>
      </c>
      <c r="B305">
        <v>8763.3531025526427</v>
      </c>
      <c r="C305">
        <v>9003.4999999999982</v>
      </c>
      <c r="D305">
        <v>-240.14689744735551</v>
      </c>
    </row>
    <row r="306" spans="1:4" x14ac:dyDescent="0.2">
      <c r="A306" s="73">
        <v>45097</v>
      </c>
      <c r="B306">
        <v>8430.5134296292672</v>
      </c>
      <c r="C306">
        <v>9002.6299999999974</v>
      </c>
      <c r="D306">
        <v>-572.11657037073019</v>
      </c>
    </row>
    <row r="307" spans="1:4" x14ac:dyDescent="0.2">
      <c r="A307" s="73">
        <v>45096</v>
      </c>
      <c r="B307">
        <v>8262.7329907048206</v>
      </c>
      <c r="C307">
        <v>9129.0099999999984</v>
      </c>
      <c r="D307">
        <v>-866.27700929517778</v>
      </c>
    </row>
    <row r="308" spans="1:4" x14ac:dyDescent="0.2">
      <c r="A308" s="73">
        <v>45095</v>
      </c>
      <c r="B308">
        <v>8237.4546490582106</v>
      </c>
      <c r="C308">
        <v>9129.0099999999984</v>
      </c>
      <c r="D308">
        <v>-891.55535094178776</v>
      </c>
    </row>
    <row r="309" spans="1:4" x14ac:dyDescent="0.2">
      <c r="A309" s="73">
        <v>45094</v>
      </c>
      <c r="B309">
        <v>8266.501777715479</v>
      </c>
      <c r="C309">
        <v>9129.0099999999984</v>
      </c>
      <c r="D309">
        <v>-862.50822228451943</v>
      </c>
    </row>
    <row r="310" spans="1:4" x14ac:dyDescent="0.2">
      <c r="A310" s="73">
        <v>45093</v>
      </c>
      <c r="B310">
        <v>8195.8472207131163</v>
      </c>
      <c r="C310">
        <v>9129.0099999999984</v>
      </c>
      <c r="D310">
        <v>-933.16277928688203</v>
      </c>
    </row>
    <row r="311" spans="1:4" x14ac:dyDescent="0.2">
      <c r="A311" s="73">
        <v>45092</v>
      </c>
      <c r="B311">
        <v>8072.8933613182708</v>
      </c>
      <c r="C311">
        <v>9129.0099999999984</v>
      </c>
      <c r="D311">
        <v>-1056.1166386817281</v>
      </c>
    </row>
    <row r="312" spans="1:4" x14ac:dyDescent="0.2">
      <c r="A312" s="73">
        <v>45091</v>
      </c>
      <c r="B312">
        <v>8110.4190819877704</v>
      </c>
      <c r="C312">
        <v>9129.0099999999984</v>
      </c>
      <c r="D312">
        <v>-1018.590918012228</v>
      </c>
    </row>
    <row r="313" spans="1:4" x14ac:dyDescent="0.2">
      <c r="A313" s="73">
        <v>45090</v>
      </c>
      <c r="B313">
        <v>8511.0459997619218</v>
      </c>
      <c r="C313">
        <v>9129.0099999999984</v>
      </c>
      <c r="D313">
        <v>-617.96400023807655</v>
      </c>
    </row>
    <row r="314" spans="1:4" x14ac:dyDescent="0.2">
      <c r="A314" s="73">
        <v>45089</v>
      </c>
      <c r="B314">
        <v>8483.5565586892426</v>
      </c>
      <c r="C314">
        <v>9129.0099999999984</v>
      </c>
      <c r="D314">
        <v>-645.45344131075581</v>
      </c>
    </row>
    <row r="315" spans="1:4" x14ac:dyDescent="0.2">
      <c r="A315" s="73">
        <v>45088</v>
      </c>
      <c r="B315">
        <v>8442.9642357248958</v>
      </c>
      <c r="C315">
        <v>9129.0099999999984</v>
      </c>
      <c r="D315">
        <v>-686.04576427510256</v>
      </c>
    </row>
    <row r="316" spans="1:4" x14ac:dyDescent="0.2">
      <c r="A316" s="73">
        <v>45087</v>
      </c>
      <c r="B316">
        <v>8435.4862281391179</v>
      </c>
      <c r="C316">
        <v>9122.6999999999971</v>
      </c>
      <c r="D316">
        <v>-687.21377186087921</v>
      </c>
    </row>
    <row r="317" spans="1:4" x14ac:dyDescent="0.2">
      <c r="A317" s="73">
        <v>45086</v>
      </c>
      <c r="B317">
        <v>8965.6249509001918</v>
      </c>
      <c r="C317">
        <v>9122.6999999999971</v>
      </c>
      <c r="D317">
        <v>-157.07504909980531</v>
      </c>
    </row>
    <row r="318" spans="1:4" x14ac:dyDescent="0.2">
      <c r="A318" s="73">
        <v>45085</v>
      </c>
      <c r="B318">
        <v>9015.8419717770303</v>
      </c>
      <c r="C318">
        <v>9122.6999999999971</v>
      </c>
      <c r="D318">
        <v>-106.85802822296679</v>
      </c>
    </row>
    <row r="319" spans="1:4" x14ac:dyDescent="0.2">
      <c r="A319" s="73">
        <v>45084</v>
      </c>
      <c r="B319">
        <v>8955.0842326782622</v>
      </c>
      <c r="C319">
        <v>9122.6999999999971</v>
      </c>
      <c r="D319">
        <v>-167.61576732173489</v>
      </c>
    </row>
    <row r="320" spans="1:4" x14ac:dyDescent="0.2">
      <c r="A320" s="73">
        <v>45083</v>
      </c>
      <c r="B320">
        <v>9269.5046414077242</v>
      </c>
      <c r="C320">
        <v>9122.6999999999971</v>
      </c>
      <c r="D320">
        <v>146.8046414077271</v>
      </c>
    </row>
    <row r="321" spans="1:4" x14ac:dyDescent="0.2">
      <c r="A321" s="73">
        <v>45082</v>
      </c>
      <c r="B321">
        <v>8996.9876399163186</v>
      </c>
      <c r="C321">
        <v>9122.6999999999971</v>
      </c>
      <c r="D321">
        <v>-125.7123600836785</v>
      </c>
    </row>
    <row r="322" spans="1:4" x14ac:dyDescent="0.2">
      <c r="A322" s="73">
        <v>45081</v>
      </c>
      <c r="B322">
        <v>9455.1490956731541</v>
      </c>
      <c r="C322">
        <v>9122.6999999999971</v>
      </c>
      <c r="D322">
        <v>332.44909567315699</v>
      </c>
    </row>
    <row r="323" spans="1:4" x14ac:dyDescent="0.2">
      <c r="A323" s="73">
        <v>45080</v>
      </c>
      <c r="B323">
        <v>8386.2200408920235</v>
      </c>
      <c r="C323">
        <v>8123.7299999999977</v>
      </c>
      <c r="D323">
        <v>262.49004089202572</v>
      </c>
    </row>
    <row r="324" spans="1:4" x14ac:dyDescent="0.2">
      <c r="A324" s="73">
        <v>45079</v>
      </c>
      <c r="B324">
        <v>8463.7175236778494</v>
      </c>
      <c r="C324">
        <v>8123.7299999999977</v>
      </c>
      <c r="D324">
        <v>339.98752367785158</v>
      </c>
    </row>
    <row r="325" spans="1:4" x14ac:dyDescent="0.2">
      <c r="A325" s="73">
        <v>45078</v>
      </c>
      <c r="B325">
        <v>8258.5944661930262</v>
      </c>
      <c r="C325">
        <v>8123.7299999999977</v>
      </c>
      <c r="D325">
        <v>134.86446619302839</v>
      </c>
    </row>
    <row r="326" spans="1:4" x14ac:dyDescent="0.2">
      <c r="A326" s="73">
        <v>45077</v>
      </c>
      <c r="B326">
        <v>8404.5745684799585</v>
      </c>
      <c r="C326">
        <v>8123.7299999999977</v>
      </c>
      <c r="D326">
        <v>280.8445684799608</v>
      </c>
    </row>
    <row r="327" spans="1:4" x14ac:dyDescent="0.2">
      <c r="A327" s="73">
        <v>45076</v>
      </c>
      <c r="B327">
        <v>8526.9167850566446</v>
      </c>
      <c r="C327">
        <v>8123.7299999999977</v>
      </c>
      <c r="D327">
        <v>403.18678505664678</v>
      </c>
    </row>
    <row r="328" spans="1:4" x14ac:dyDescent="0.2">
      <c r="A328" s="73">
        <v>45075</v>
      </c>
      <c r="B328">
        <v>8394.0659239965662</v>
      </c>
      <c r="C328">
        <v>8123.7299999999977</v>
      </c>
      <c r="D328">
        <v>270.33592399656851</v>
      </c>
    </row>
    <row r="329" spans="1:4" x14ac:dyDescent="0.2">
      <c r="A329" s="73">
        <v>45074</v>
      </c>
      <c r="B329">
        <v>8411.227677703635</v>
      </c>
      <c r="C329">
        <v>8123.7299999999977</v>
      </c>
      <c r="D329">
        <v>287.49767770363718</v>
      </c>
    </row>
    <row r="330" spans="1:4" x14ac:dyDescent="0.2">
      <c r="A330" s="73">
        <v>45073</v>
      </c>
      <c r="B330">
        <v>8134.2170470231704</v>
      </c>
      <c r="C330">
        <v>8123.7299999999977</v>
      </c>
      <c r="D330">
        <v>10.487047023172639</v>
      </c>
    </row>
    <row r="331" spans="1:4" x14ac:dyDescent="0.2">
      <c r="A331" s="73">
        <v>45072</v>
      </c>
      <c r="B331">
        <v>8105.4435968347734</v>
      </c>
      <c r="C331">
        <v>8123.7299999999977</v>
      </c>
      <c r="D331">
        <v>-18.286403165225241</v>
      </c>
    </row>
    <row r="332" spans="1:4" x14ac:dyDescent="0.2">
      <c r="A332" s="73">
        <v>45071</v>
      </c>
      <c r="B332">
        <v>7928.2450697248951</v>
      </c>
      <c r="C332">
        <v>8123.7299999999977</v>
      </c>
      <c r="D332">
        <v>-195.4849302751027</v>
      </c>
    </row>
    <row r="333" spans="1:4" x14ac:dyDescent="0.2">
      <c r="A333" s="73">
        <v>45070</v>
      </c>
      <c r="B333">
        <v>7950.2262865611046</v>
      </c>
      <c r="C333">
        <v>8123.7299999999977</v>
      </c>
      <c r="D333">
        <v>-173.5037134388931</v>
      </c>
    </row>
    <row r="334" spans="1:4" x14ac:dyDescent="0.2">
      <c r="A334" s="73">
        <v>45069</v>
      </c>
      <c r="B334">
        <v>8163.8024561315542</v>
      </c>
      <c r="C334">
        <v>8123.7299999999977</v>
      </c>
      <c r="D334">
        <v>40.072456131556457</v>
      </c>
    </row>
    <row r="335" spans="1:4" x14ac:dyDescent="0.2">
      <c r="A335" s="73">
        <v>45068</v>
      </c>
      <c r="B335">
        <v>8088.3859374488547</v>
      </c>
      <c r="C335">
        <v>8123.7299999999977</v>
      </c>
      <c r="D335">
        <v>-35.344062551142997</v>
      </c>
    </row>
    <row r="336" spans="1:4" x14ac:dyDescent="0.2">
      <c r="A336" s="73">
        <v>45067</v>
      </c>
      <c r="B336">
        <v>8035.5546325191972</v>
      </c>
      <c r="C336">
        <v>8120.6299999999983</v>
      </c>
      <c r="D336">
        <v>-85.075367480801106</v>
      </c>
    </row>
    <row r="337" spans="1:4" x14ac:dyDescent="0.2">
      <c r="A337" s="73">
        <v>45066</v>
      </c>
      <c r="B337">
        <v>8151.0380482185901</v>
      </c>
      <c r="C337">
        <v>8120.6299999999983</v>
      </c>
      <c r="D337">
        <v>30.40804821859183</v>
      </c>
    </row>
    <row r="338" spans="1:4" x14ac:dyDescent="0.2">
      <c r="A338" s="73">
        <v>45065</v>
      </c>
      <c r="B338">
        <v>8132.5574644560911</v>
      </c>
      <c r="C338">
        <v>8120.6299999999983</v>
      </c>
      <c r="D338">
        <v>11.927464456092819</v>
      </c>
    </row>
    <row r="339" spans="1:4" x14ac:dyDescent="0.2">
      <c r="A339" s="73">
        <v>45064</v>
      </c>
      <c r="B339">
        <v>8076.4119969432377</v>
      </c>
      <c r="C339">
        <v>8120.6299999999983</v>
      </c>
      <c r="D339">
        <v>-44.218003056760608</v>
      </c>
    </row>
    <row r="340" spans="1:4" x14ac:dyDescent="0.2">
      <c r="A340" s="73">
        <v>45063</v>
      </c>
      <c r="B340">
        <v>8108.6212301790547</v>
      </c>
      <c r="C340">
        <v>8120.6299999999983</v>
      </c>
      <c r="D340">
        <v>-12.0087698209436</v>
      </c>
    </row>
    <row r="341" spans="1:4" x14ac:dyDescent="0.2">
      <c r="A341" s="73">
        <v>45062</v>
      </c>
      <c r="B341">
        <v>8018.310479003454</v>
      </c>
      <c r="C341">
        <v>8120.6299999999983</v>
      </c>
      <c r="D341">
        <v>-102.3195209965443</v>
      </c>
    </row>
    <row r="342" spans="1:4" x14ac:dyDescent="0.2">
      <c r="A342" s="73">
        <v>45061</v>
      </c>
      <c r="B342">
        <v>7961.3662887755472</v>
      </c>
      <c r="C342">
        <v>8120.6299999999983</v>
      </c>
      <c r="D342">
        <v>-159.2637112244511</v>
      </c>
    </row>
    <row r="343" spans="1:4" x14ac:dyDescent="0.2">
      <c r="A343" s="73">
        <v>45060</v>
      </c>
      <c r="B343">
        <v>7895.001104964238</v>
      </c>
      <c r="C343">
        <v>8120.6299999999983</v>
      </c>
      <c r="D343">
        <v>-225.62889503576031</v>
      </c>
    </row>
    <row r="344" spans="1:4" x14ac:dyDescent="0.2">
      <c r="A344" s="73">
        <v>45059</v>
      </c>
      <c r="B344">
        <v>7856.2770349846851</v>
      </c>
      <c r="C344">
        <v>8120.6299999999983</v>
      </c>
      <c r="D344">
        <v>-264.3529650153132</v>
      </c>
    </row>
    <row r="345" spans="1:4" x14ac:dyDescent="0.2">
      <c r="A345" s="73">
        <v>45058</v>
      </c>
      <c r="B345">
        <v>7921.514515879494</v>
      </c>
      <c r="C345">
        <v>8086.0399999999981</v>
      </c>
      <c r="D345">
        <v>-164.52548412050419</v>
      </c>
    </row>
    <row r="346" spans="1:4" x14ac:dyDescent="0.2">
      <c r="A346" s="73">
        <v>45057</v>
      </c>
      <c r="B346">
        <v>7784.8358440995671</v>
      </c>
      <c r="C346">
        <v>8086.0399999999981</v>
      </c>
      <c r="D346">
        <v>-301.20415590043098</v>
      </c>
    </row>
    <row r="347" spans="1:4" x14ac:dyDescent="0.2">
      <c r="A347" s="73">
        <v>45056</v>
      </c>
      <c r="B347">
        <v>8046.7708859730374</v>
      </c>
      <c r="C347">
        <v>8086.0399999999981</v>
      </c>
      <c r="D347">
        <v>-39.269114026960779</v>
      </c>
    </row>
    <row r="348" spans="1:4" x14ac:dyDescent="0.2">
      <c r="A348" s="73">
        <v>45055</v>
      </c>
      <c r="B348">
        <v>8008.1845671538531</v>
      </c>
      <c r="C348">
        <v>8086.0399999999981</v>
      </c>
      <c r="D348">
        <v>-77.85543284614505</v>
      </c>
    </row>
    <row r="349" spans="1:4" x14ac:dyDescent="0.2">
      <c r="A349" s="73">
        <v>45054</v>
      </c>
      <c r="B349">
        <v>7990.438341863678</v>
      </c>
      <c r="C349">
        <v>8035.0199999999986</v>
      </c>
      <c r="D349">
        <v>-44.581658136320577</v>
      </c>
    </row>
    <row r="350" spans="1:4" x14ac:dyDescent="0.2">
      <c r="A350" s="73">
        <v>45053</v>
      </c>
      <c r="B350">
        <v>8303.5187448385132</v>
      </c>
      <c r="C350">
        <v>8035.0199999999986</v>
      </c>
      <c r="D350">
        <v>268.49874483851448</v>
      </c>
    </row>
    <row r="351" spans="1:4" x14ac:dyDescent="0.2">
      <c r="A351" s="73">
        <v>45052</v>
      </c>
      <c r="B351">
        <v>8354.9891707469415</v>
      </c>
      <c r="C351">
        <v>8035.0199999999986</v>
      </c>
      <c r="D351">
        <v>319.96917074694278</v>
      </c>
    </row>
    <row r="352" spans="1:4" x14ac:dyDescent="0.2">
      <c r="A352" s="73">
        <v>45051</v>
      </c>
      <c r="B352">
        <v>8628.1410246420492</v>
      </c>
      <c r="C352">
        <v>8035.0199999999986</v>
      </c>
      <c r="D352">
        <v>593.12102464205054</v>
      </c>
    </row>
    <row r="353" spans="1:4" x14ac:dyDescent="0.2">
      <c r="A353" s="73">
        <v>45050</v>
      </c>
      <c r="B353">
        <v>8370.2120614000123</v>
      </c>
      <c r="C353">
        <v>8035.0199999999986</v>
      </c>
      <c r="D353">
        <v>335.1920614000137</v>
      </c>
    </row>
    <row r="354" spans="1:4" x14ac:dyDescent="0.2">
      <c r="A354" s="73">
        <v>45049</v>
      </c>
      <c r="B354">
        <v>8472.110547626944</v>
      </c>
      <c r="C354">
        <v>8035.0199999999986</v>
      </c>
      <c r="D354">
        <v>437.09054762694541</v>
      </c>
    </row>
    <row r="355" spans="1:4" x14ac:dyDescent="0.2">
      <c r="A355" s="73">
        <v>45048</v>
      </c>
      <c r="B355">
        <v>8423.1400169121043</v>
      </c>
      <c r="C355">
        <v>8035.0199999999986</v>
      </c>
      <c r="D355">
        <v>388.12001691210571</v>
      </c>
    </row>
    <row r="356" spans="1:4" x14ac:dyDescent="0.2">
      <c r="A356" s="73">
        <v>45047</v>
      </c>
      <c r="B356">
        <v>8370.3421099703992</v>
      </c>
      <c r="C356">
        <v>8035.0199999999986</v>
      </c>
      <c r="D356">
        <v>335.32210997040062</v>
      </c>
    </row>
    <row r="357" spans="1:4" x14ac:dyDescent="0.2">
      <c r="A357" s="73">
        <v>45046</v>
      </c>
      <c r="B357">
        <v>8680.6037904772711</v>
      </c>
      <c r="C357">
        <v>8035.0199999999986</v>
      </c>
      <c r="D357">
        <v>645.58379047727249</v>
      </c>
    </row>
    <row r="358" spans="1:4" x14ac:dyDescent="0.2">
      <c r="A358" s="73">
        <v>45045</v>
      </c>
      <c r="B358">
        <v>8641.9999969055825</v>
      </c>
      <c r="C358">
        <v>8035.0199999999986</v>
      </c>
      <c r="D358">
        <v>606.9799969055839</v>
      </c>
    </row>
    <row r="359" spans="1:4" x14ac:dyDescent="0.2">
      <c r="A359" s="73">
        <v>45044</v>
      </c>
      <c r="B359">
        <v>8629.9272840153826</v>
      </c>
      <c r="C359">
        <v>8035.0199999999986</v>
      </c>
      <c r="D359">
        <v>594.90728401538399</v>
      </c>
    </row>
    <row r="360" spans="1:4" x14ac:dyDescent="0.2">
      <c r="A360" s="73">
        <v>45043</v>
      </c>
      <c r="B360">
        <v>8639.4844177479063</v>
      </c>
      <c r="C360">
        <v>8035.0199999999986</v>
      </c>
      <c r="D360">
        <v>604.46441774790765</v>
      </c>
    </row>
    <row r="361" spans="1:4" x14ac:dyDescent="0.2">
      <c r="A361" s="73">
        <v>45042</v>
      </c>
      <c r="B361">
        <v>8479.0641642490991</v>
      </c>
      <c r="C361">
        <v>8035.0199999999986</v>
      </c>
      <c r="D361">
        <v>444.0441642491005</v>
      </c>
    </row>
    <row r="362" spans="1:4" x14ac:dyDescent="0.2">
      <c r="A362" s="73">
        <v>45041</v>
      </c>
      <c r="B362">
        <v>8559.08992168849</v>
      </c>
      <c r="C362">
        <v>8035.0199999999986</v>
      </c>
      <c r="D362">
        <v>524.06992168849138</v>
      </c>
    </row>
    <row r="363" spans="1:4" x14ac:dyDescent="0.2">
      <c r="A363" s="73">
        <v>45040</v>
      </c>
      <c r="B363">
        <v>8396.5931318790554</v>
      </c>
      <c r="C363">
        <v>8035.0199999999986</v>
      </c>
      <c r="D363">
        <v>361.57313187905669</v>
      </c>
    </row>
    <row r="364" spans="1:4" x14ac:dyDescent="0.2">
      <c r="A364" s="73">
        <v>45039</v>
      </c>
      <c r="B364">
        <v>8474.79752214986</v>
      </c>
      <c r="C364">
        <v>8035.0199999999986</v>
      </c>
      <c r="D364">
        <v>439.7775221498614</v>
      </c>
    </row>
    <row r="365" spans="1:4" x14ac:dyDescent="0.2">
      <c r="A365" s="73">
        <v>45038</v>
      </c>
      <c r="B365">
        <v>8593.0289612325341</v>
      </c>
      <c r="C365">
        <v>8035.0199999999986</v>
      </c>
      <c r="D365">
        <v>558.00896123253551</v>
      </c>
    </row>
    <row r="366" spans="1:4" x14ac:dyDescent="0.2">
      <c r="A366" s="73">
        <v>45037</v>
      </c>
      <c r="B366">
        <v>8350.6197233377661</v>
      </c>
      <c r="C366">
        <v>8035.0199999999986</v>
      </c>
      <c r="D366">
        <v>315.5997233377675</v>
      </c>
    </row>
    <row r="367" spans="1:4" x14ac:dyDescent="0.2">
      <c r="A367" s="73">
        <v>45036</v>
      </c>
      <c r="B367">
        <v>8755.4458449541416</v>
      </c>
      <c r="C367">
        <v>8035.0199999999986</v>
      </c>
      <c r="D367">
        <v>720.42584495414303</v>
      </c>
    </row>
    <row r="368" spans="1:4" x14ac:dyDescent="0.2">
      <c r="A368" s="73">
        <v>45035</v>
      </c>
      <c r="B368">
        <v>8888.3417994876418</v>
      </c>
      <c r="C368">
        <v>8035.0199999999986</v>
      </c>
      <c r="D368">
        <v>853.32179948764315</v>
      </c>
    </row>
    <row r="369" spans="1:4" x14ac:dyDescent="0.2">
      <c r="A369" s="73">
        <v>45034</v>
      </c>
      <c r="B369">
        <v>8749.915484044297</v>
      </c>
      <c r="C369">
        <v>7095.3399999999983</v>
      </c>
      <c r="D369">
        <v>1654.5754840442989</v>
      </c>
    </row>
    <row r="370" spans="1:4" x14ac:dyDescent="0.2">
      <c r="A370" s="73">
        <v>45033</v>
      </c>
      <c r="B370">
        <v>8558.9181637269176</v>
      </c>
      <c r="C370">
        <v>7095.3399999999983</v>
      </c>
      <c r="D370">
        <v>1463.578163726919</v>
      </c>
    </row>
    <row r="371" spans="1:4" x14ac:dyDescent="0.2">
      <c r="A371" s="73">
        <v>45032</v>
      </c>
      <c r="B371">
        <v>8787.8075316299273</v>
      </c>
      <c r="C371">
        <v>7095.3399999999983</v>
      </c>
      <c r="D371">
        <v>1692.467531629929</v>
      </c>
    </row>
    <row r="372" spans="1:4" x14ac:dyDescent="0.2">
      <c r="A372" s="73">
        <v>45031</v>
      </c>
      <c r="B372">
        <v>8725.8987985117801</v>
      </c>
      <c r="C372">
        <v>7095.3399999999983</v>
      </c>
      <c r="D372">
        <v>1630.558798511782</v>
      </c>
    </row>
    <row r="373" spans="1:4" x14ac:dyDescent="0.2">
      <c r="A373" s="73">
        <v>45030</v>
      </c>
      <c r="B373">
        <v>8686.4290394986965</v>
      </c>
      <c r="C373">
        <v>7095.3399999999983</v>
      </c>
      <c r="D373">
        <v>1591.089039498698</v>
      </c>
    </row>
    <row r="374" spans="1:4" x14ac:dyDescent="0.2">
      <c r="A374" s="73">
        <v>45029</v>
      </c>
      <c r="B374">
        <v>8460.6025626997161</v>
      </c>
      <c r="C374">
        <v>7095.3399999999983</v>
      </c>
      <c r="D374">
        <v>1365.262562699718</v>
      </c>
    </row>
    <row r="375" spans="1:4" x14ac:dyDescent="0.2">
      <c r="A375" s="73">
        <v>45028</v>
      </c>
      <c r="B375">
        <v>8151.5374522034581</v>
      </c>
      <c r="C375">
        <v>7095.3399999999983</v>
      </c>
      <c r="D375">
        <v>1056.19745220346</v>
      </c>
    </row>
    <row r="376" spans="1:4" x14ac:dyDescent="0.2">
      <c r="A376" s="73">
        <v>45027</v>
      </c>
      <c r="B376">
        <v>8197.7278953353343</v>
      </c>
      <c r="C376">
        <v>7095.3399999999983</v>
      </c>
      <c r="D376">
        <v>1102.387895335336</v>
      </c>
    </row>
    <row r="377" spans="1:4" x14ac:dyDescent="0.2">
      <c r="A377" s="73">
        <v>45026</v>
      </c>
      <c r="B377">
        <v>8244.1738556771852</v>
      </c>
      <c r="C377">
        <v>7095.3399999999983</v>
      </c>
      <c r="D377">
        <v>1148.8338556771871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FA445AB-4BA7-4645-AA4D-5576CFAEA4A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</vt:i4>
      </vt:variant>
    </vt:vector>
  </HeadingPairs>
  <TitlesOfParts>
    <vt:vector size="12" baseType="lpstr">
      <vt:lpstr>Portfolio</vt:lpstr>
      <vt:lpstr>Transactions</vt:lpstr>
      <vt:lpstr>Transactions (After Sales)</vt:lpstr>
      <vt:lpstr>Currency Transactions</vt:lpstr>
      <vt:lpstr>Currency Data</vt:lpstr>
      <vt:lpstr>Tax Calc</vt:lpstr>
      <vt:lpstr>8949 Data</vt:lpstr>
      <vt:lpstr>After Sales</vt:lpstr>
      <vt:lpstr>Current Prices</vt:lpstr>
      <vt:lpstr>Portfolios</vt:lpstr>
      <vt:lpstr>Value &amp; Cost Basis</vt:lpstr>
      <vt:lpstr>CHART_RANGE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Theriault, James E</dc:creator>
  <cp:lastModifiedBy>Theriault, James E</cp:lastModifiedBy>
  <dcterms:created xsi:type="dcterms:W3CDTF">2024-02-19T03:26:05Z</dcterms:created>
  <dcterms:modified xsi:type="dcterms:W3CDTF">2024-04-19T23:28:58Z</dcterms:modified>
</cp:coreProperties>
</file>